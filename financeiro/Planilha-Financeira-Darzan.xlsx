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Agenda" sheetId="3" state="visible" r:id="rId5"/>
    <sheet name="Trabalhos" sheetId="4" state="visible" r:id="rId6"/>
    <sheet name="Orçamentos" sheetId="5" state="visible" r:id="rId7"/>
    <sheet name="Clientes" sheetId="6" state="visible" r:id="rId8"/>
    <sheet name="Freelancers" sheetId="7" state="visible" r:id="rId9"/>
    <sheet name="Gastos" sheetId="8" state="visible" r:id="rId10"/>
    <sheet name="Equipamentos" sheetId="9" state="visible" r:id="rId11"/>
    <sheet name="Lis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<sst xmlns="http://schemas.openxmlformats.org/spreadsheetml/2006/main" count="380" uniqueCount="232">
  <si>
    <t xml:space="preserve">Controle Financeiro — Darzan Produções</t>
  </si>
  <si>
    <t xml:space="preserve">Storymaker &amp; Videomaker · Campinas e região</t>
  </si>
  <si>
    <t xml:space="preserve">COMO FUNCIONA</t>
  </si>
  <si>
    <t xml:space="preserve">1. Você só anota</t>
  </si>
  <si>
    <t xml:space="preserve">Preencha as abas de lançamento (Trabalhos, Orçamentos, Clientes, Freelancers, Gastos e Equipamentos). O Resumo e a Agenda se calculam sozinhos.</t>
  </si>
  <si>
    <t xml:space="preserve">2. Cores das colunas</t>
  </si>
  <si>
    <t xml:space="preserve">Colunas BRANCAS = você digita. Colunas CINZAS = automáticas, não digite nelas. Célula AMARELA no Resumo = ano que você quer ver.</t>
  </si>
  <si>
    <t xml:space="preserve">3. Menus</t>
  </si>
  <si>
    <t xml:space="preserve">Várias colunas têm uma setinha com opções (tipo de evento, status...). Para mudar as opções, edite a aba "Listas".</t>
  </si>
  <si>
    <t xml:space="preserve">4. Código do trabalho</t>
  </si>
  <si>
    <t xml:space="preserve">Cada trabalho tem um código (T001, T002, T003...). Use o mesmo código em Freelancers e Gastos para o sistema saber de qual trabalho é cada gasto.</t>
  </si>
  <si>
    <t xml:space="preserve">5. Linhas de exemplo</t>
  </si>
  <si>
    <t xml:space="preserve">As linhas marcadas com "EXEMPLO" servem só para você ver como funciona. Apague essas linhas (selecione e aperte Delete) antes de começar a usar de verdade.</t>
  </si>
  <si>
    <t xml:space="preserve">O QUE ANOTAR EM CADA ABA</t>
  </si>
  <si>
    <t xml:space="preserve">Resumo</t>
  </si>
  <si>
    <t xml:space="preserve">Seu painel: ganho bruto, lucro, gastos com freelancer, taxa de fechamento de orçamentos, resultados por mês e por tipo de evento.</t>
  </si>
  <si>
    <t xml:space="preserve">Agenda</t>
  </si>
  <si>
    <t xml:space="preserve">Lista automática dos próximos eventos, puxada da aba Trabalhos (só aparecem datas de hoje em diante).</t>
  </si>
  <si>
    <t xml:space="preserve">Trabalhos</t>
  </si>
  <si>
    <t xml:space="preserve">Cada evento fechado: data, cliente, tipo, valor cobrado e quanto já recebeu. Freelancers, outros gastos e lucro são calculados.</t>
  </si>
  <si>
    <t xml:space="preserve">Orçamentos</t>
  </si>
  <si>
    <t xml:space="preserve">TODO orçamento que você passar, fechando ou não. Mude o status para Fechado ou Recusado quando o cliente responder.</t>
  </si>
  <si>
    <t xml:space="preserve">Clientes</t>
  </si>
  <si>
    <t xml:space="preserve">Contato dos clientes e como te conheceram. O total de trabalhos e quanto cada um já pagou são automáticos.</t>
  </si>
  <si>
    <t xml:space="preserve">Freelancers</t>
  </si>
  <si>
    <t xml:space="preserve">Cada pagamento a freelancer, com o código do trabalho. Assim você vê quanto gastou com freela em cada trabalho.</t>
  </si>
  <si>
    <t xml:space="preserve">Gastos</t>
  </si>
  <si>
    <t xml:space="preserve">Despesas do dia a dia: combustível, apps, cursos, anúncios... Se o gasto for de um trabalho específico, coloque o código dele.</t>
  </si>
  <si>
    <t xml:space="preserve">Equipamentos</t>
  </si>
  <si>
    <t xml:space="preserve">Tudo que você comprou para trabalhar. O Resumo mostra quanto já investiu e quanto do investimento o lucro já pagou.</t>
  </si>
  <si>
    <t xml:space="preserve">Listas</t>
  </si>
  <si>
    <t xml:space="preserve">As opções dos menus. Pode adicionar novas opções nas linhas vazias.</t>
  </si>
  <si>
    <t xml:space="preserve">DICAS</t>
  </si>
  <si>
    <t xml:space="preserve">Datas</t>
  </si>
  <si>
    <t xml:space="preserve">Digite sempre no formato dia/mês/ano, por exemplo 14/03/2026.</t>
  </si>
  <si>
    <t xml:space="preserve">Valores</t>
  </si>
  <si>
    <t xml:space="preserve">Digite só o número (ex: 2500 ou 2500,50). O "R$" aparece sozinho.</t>
  </si>
  <si>
    <t xml:space="preserve">Lucro</t>
  </si>
  <si>
    <t xml:space="preserve">Lucro = ganho bruto − freelancers − outros gastos. Equipamentos ficam separados porque são investimento, não gasto do mês.</t>
  </si>
  <si>
    <t xml:space="preserve">Não apague</t>
  </si>
  <si>
    <t xml:space="preserve">Não apague colunas nem as linhas de título. Para remover um lançamento, apague só o conteúdo da linha.</t>
  </si>
  <si>
    <t xml:space="preserve">Painel financeiro — Darzan Produções</t>
  </si>
  <si>
    <t xml:space="preserve">Tudo aqui é automático. Só troque o ano na célula amarela.</t>
  </si>
  <si>
    <t xml:space="preserve">Ano que você quer ver:</t>
  </si>
  <si>
    <t xml:space="preserve">Indicador</t>
  </si>
  <si>
    <t xml:space="preserve">No ano escolhido</t>
  </si>
  <si>
    <t xml:space="preserve">Desde o início</t>
  </si>
  <si>
    <t xml:space="preserve">Mês</t>
  </si>
  <si>
    <t xml:space="preserve">Ganho bruto</t>
  </si>
  <si>
    <t xml:space="preserve">Outros gastos</t>
  </si>
  <si>
    <t xml:space="preserve">Orçam. passados</t>
  </si>
  <si>
    <t xml:space="preserve">Orçam. fechados</t>
  </si>
  <si>
    <t xml:space="preserve">Ganho bruto (valor cobrado)</t>
  </si>
  <si>
    <t xml:space="preserve">Janeiro</t>
  </si>
  <si>
    <t xml:space="preserve">Já recebido</t>
  </si>
  <si>
    <t xml:space="preserve">Fevereiro</t>
  </si>
  <si>
    <t xml:space="preserve">A receber</t>
  </si>
  <si>
    <t xml:space="preserve">Março</t>
  </si>
  <si>
    <t xml:space="preserve">Gastos com freelancers</t>
  </si>
  <si>
    <t xml:space="preserve">Abril</t>
  </si>
  <si>
    <t xml:space="preserve">Maio</t>
  </si>
  <si>
    <t xml:space="preserve">LUCRO (bruto − freelas − gastos)</t>
  </si>
  <si>
    <t xml:space="preserve">Junho</t>
  </si>
  <si>
    <t xml:space="preserve">Margem de lucro</t>
  </si>
  <si>
    <t xml:space="preserve">Julho</t>
  </si>
  <si>
    <t xml:space="preserve">Trabalhos fechados</t>
  </si>
  <si>
    <t xml:space="preserve">Agosto</t>
  </si>
  <si>
    <t xml:space="preserve">Valor médio por trabalho</t>
  </si>
  <si>
    <t xml:space="preserve">Setembro</t>
  </si>
  <si>
    <t xml:space="preserve">Orçamentos passados</t>
  </si>
  <si>
    <t xml:space="preserve">Outubro</t>
  </si>
  <si>
    <t xml:space="preserve">Orçamentos fechados</t>
  </si>
  <si>
    <t xml:space="preserve">Novembro</t>
  </si>
  <si>
    <t xml:space="preserve">Taxa de fechamento</t>
  </si>
  <si>
    <t xml:space="preserve">Dezembro</t>
  </si>
  <si>
    <t xml:space="preserve">Orçamentos aguardando resposta</t>
  </si>
  <si>
    <t xml:space="preserve">TOTAL</t>
  </si>
  <si>
    <t xml:space="preserve">Investido em equipamentos</t>
  </si>
  <si>
    <t xml:space="preserve">Equipamentos já pagos pelo lucro</t>
  </si>
  <si>
    <t xml:space="preserve">—</t>
  </si>
  <si>
    <t xml:space="preserve">Clientes cadastrados</t>
  </si>
  <si>
    <t xml:space="preserve">"Equipamentos já pagos pelo lucro" = quanto do valor investido em equipamentos o seu lucro total já cobriu (100% = já se pagaram).</t>
  </si>
  <si>
    <t xml:space="preserve">Resultado por tipo de evento (ano escolhido)</t>
  </si>
  <si>
    <t xml:space="preserve">Tipo de evento</t>
  </si>
  <si>
    <t xml:space="preserve">Valor médio</t>
  </si>
  <si>
    <t xml:space="preserve">Taxa fecham.</t>
  </si>
  <si>
    <t xml:space="preserve">Lucro por tipo = valor cobrado − freelancers − gastos ligados ao trabalho (pelo código).</t>
  </si>
  <si>
    <t xml:space="preserve">De onde vêm seus clientes</t>
  </si>
  <si>
    <t xml:space="preserve">Como conheceu</t>
  </si>
  <si>
    <t xml:space="preserve">Total cobrado</t>
  </si>
  <si>
    <t xml:space="preserve">Gráficos (ano escolhido)</t>
  </si>
  <si>
    <t xml:space="preserve">Agenda — próximos eventos</t>
  </si>
  <si>
    <t xml:space="preserve">Automática: puxa da aba Trabalhos todos os eventos de hoje em diante, em ordem de data.</t>
  </si>
  <si>
    <t xml:space="preserve">#</t>
  </si>
  <si>
    <t xml:space="preserve">Data</t>
  </si>
  <si>
    <t xml:space="preserve">Faltam (dias)</t>
  </si>
  <si>
    <t xml:space="preserve">Horário</t>
  </si>
  <si>
    <t xml:space="preserve">Cliente</t>
  </si>
  <si>
    <t xml:space="preserve">Local / cidade</t>
  </si>
  <si>
    <t xml:space="preserve">Código</t>
  </si>
  <si>
    <t xml:space="preserve">Linhas em amarelo = evento nos próximos 7 dias.</t>
  </si>
  <si>
    <t xml:space="preserve">Um evento por linha. Colunas cinzas são automáticas. Use T001, T002, T003... no código.</t>
  </si>
  <si>
    <t xml:space="preserve">Data do evento</t>
  </si>
  <si>
    <t xml:space="preserve">Valor cobrado</t>
  </si>
  <si>
    <t xml:space="preserve">Valor recebido</t>
  </si>
  <si>
    <t xml:space="preserve">Pagamento</t>
  </si>
  <si>
    <t xml:space="preserve">Observações</t>
  </si>
  <si>
    <t xml:space="preserve">Ordem agenda</t>
  </si>
  <si>
    <t xml:space="preserve">T001</t>
  </si>
  <si>
    <t xml:space="preserve">Cliente Exemplo 1</t>
  </si>
  <si>
    <t xml:space="preserve">Casamento</t>
  </si>
  <si>
    <t xml:space="preserve">Campinas</t>
  </si>
  <si>
    <t xml:space="preserve">EXEMPLO — apague esta linha</t>
  </si>
  <si>
    <t xml:space="preserve">T002</t>
  </si>
  <si>
    <t xml:space="preserve">Empresa Exemplo</t>
  </si>
  <si>
    <t xml:space="preserve">Empresa</t>
  </si>
  <si>
    <t xml:space="preserve">Valinhos</t>
  </si>
  <si>
    <t xml:space="preserve">T003</t>
  </si>
  <si>
    <t xml:space="preserve">Cliente Exemplo 2</t>
  </si>
  <si>
    <t xml:space="preserve">Chá revelação</t>
  </si>
  <si>
    <t xml:space="preserve">T004</t>
  </si>
  <si>
    <t xml:space="preserve">Cliente Exemplo 3</t>
  </si>
  <si>
    <t xml:space="preserve">Aniversário</t>
  </si>
  <si>
    <t xml:space="preserve">Hortolândia</t>
  </si>
  <si>
    <t xml:space="preserve">T005</t>
  </si>
  <si>
    <t xml:space="preserve">Cliente Exemplo 4</t>
  </si>
  <si>
    <t xml:space="preserve">Indaiatuba</t>
  </si>
  <si>
    <t xml:space="preserve">Anote TODOS os orçamentos, fechando ou não. É isso que mostra a sua taxa de fechamento.</t>
  </si>
  <si>
    <t xml:space="preserve">Data do envio</t>
  </si>
  <si>
    <t xml:space="preserve">Valor orçado</t>
  </si>
  <si>
    <t xml:space="preserve">Status</t>
  </si>
  <si>
    <t xml:space="preserve">Fechado</t>
  </si>
  <si>
    <t xml:space="preserve">Cliente Exemplo 5</t>
  </si>
  <si>
    <t xml:space="preserve">Recusado</t>
  </si>
  <si>
    <t xml:space="preserve">EXEMPLO — apague esta linha (achou caro)</t>
  </si>
  <si>
    <t xml:space="preserve">Cliente Exemplo 6</t>
  </si>
  <si>
    <t xml:space="preserve">EXEMPLO — apague esta linha (data ocupada)</t>
  </si>
  <si>
    <t xml:space="preserve">Cliente Exemplo 7</t>
  </si>
  <si>
    <t xml:space="preserve">Aguardando</t>
  </si>
  <si>
    <t xml:space="preserve">Um cliente por linha. Use o MESMO nome nas abas Trabalhos e Orçamentos.</t>
  </si>
  <si>
    <t xml:space="preserve">Nome</t>
  </si>
  <si>
    <t xml:space="preserve">WhatsApp</t>
  </si>
  <si>
    <t xml:space="preserve">Instagram</t>
  </si>
  <si>
    <t xml:space="preserve">Cidade</t>
  </si>
  <si>
    <t xml:space="preserve">Total já cobrado</t>
  </si>
  <si>
    <t xml:space="preserve">(19) 90000-0001</t>
  </si>
  <si>
    <t xml:space="preserve">@exemplo1</t>
  </si>
  <si>
    <t xml:space="preserve">(19) 90000-0002</t>
  </si>
  <si>
    <t xml:space="preserve">@empresaexemplo</t>
  </si>
  <si>
    <t xml:space="preserve">Indicação</t>
  </si>
  <si>
    <t xml:space="preserve">(19) 90000-0003</t>
  </si>
  <si>
    <t xml:space="preserve">@exemplo2</t>
  </si>
  <si>
    <t xml:space="preserve">(19) 90000-0004</t>
  </si>
  <si>
    <t xml:space="preserve">@exemplo3</t>
  </si>
  <si>
    <t xml:space="preserve">Site</t>
  </si>
  <si>
    <t xml:space="preserve">(19) 90000-0005</t>
  </si>
  <si>
    <t xml:space="preserve">@exemplo4</t>
  </si>
  <si>
    <t xml:space="preserve">Pagamentos a freelancers</t>
  </si>
  <si>
    <t xml:space="preserve">Um pagamento por linha. O código do trabalho liga o gasto ao evento (T001, T002...).</t>
  </si>
  <si>
    <t xml:space="preserve">Código do trabalho</t>
  </si>
  <si>
    <t xml:space="preserve">Nome do freelancer</t>
  </si>
  <si>
    <t xml:space="preserve">Função</t>
  </si>
  <si>
    <t xml:space="preserve">Valor pago</t>
  </si>
  <si>
    <t xml:space="preserve">Já pago?</t>
  </si>
  <si>
    <t xml:space="preserve">Freela Exemplo A</t>
  </si>
  <si>
    <t xml:space="preserve">Fotógrafo</t>
  </si>
  <si>
    <t xml:space="preserve">Sim</t>
  </si>
  <si>
    <t xml:space="preserve">Freela Exemplo B</t>
  </si>
  <si>
    <t xml:space="preserve">Assistente</t>
  </si>
  <si>
    <t xml:space="preserve">Freela Exemplo C</t>
  </si>
  <si>
    <t xml:space="preserve">Editor</t>
  </si>
  <si>
    <t xml:space="preserve">Não</t>
  </si>
  <si>
    <t xml:space="preserve">Despesas do negócio. Se for de um trabalho específico, coloque o código dele.</t>
  </si>
  <si>
    <t xml:space="preserve">Categoria</t>
  </si>
  <si>
    <t xml:space="preserve">Descrição</t>
  </si>
  <si>
    <t xml:space="preserve">Valor</t>
  </si>
  <si>
    <t xml:space="preserve">Código do trabalho (opcional)</t>
  </si>
  <si>
    <t xml:space="preserve">Combustível / transporte</t>
  </si>
  <si>
    <t xml:space="preserve">Gasolina ida e volta</t>
  </si>
  <si>
    <t xml:space="preserve">Aplicativos / software</t>
  </si>
  <si>
    <t xml:space="preserve">Assinatura app de edição</t>
  </si>
  <si>
    <t xml:space="preserve">Anúncios / marketing</t>
  </si>
  <si>
    <t xml:space="preserve">Impulsionamento Instagram</t>
  </si>
  <si>
    <t xml:space="preserve">Alimentação</t>
  </si>
  <si>
    <t xml:space="preserve">Lanche no evento</t>
  </si>
  <si>
    <t xml:space="preserve">Equipamentos (investimentos)</t>
  </si>
  <si>
    <t xml:space="preserve">Tudo o que você comprou para trabalhar.</t>
  </si>
  <si>
    <t xml:space="preserve">Equipamento</t>
  </si>
  <si>
    <t xml:space="preserve">Data da compra</t>
  </si>
  <si>
    <t xml:space="preserve">Forma de pagamento</t>
  </si>
  <si>
    <t xml:space="preserve">Situação</t>
  </si>
  <si>
    <t xml:space="preserve">Celular (exemplo)</t>
  </si>
  <si>
    <t xml:space="preserve">Celular</t>
  </si>
  <si>
    <t xml:space="preserve">Parcelado</t>
  </si>
  <si>
    <t xml:space="preserve">Em uso</t>
  </si>
  <si>
    <t xml:space="preserve">Gimbal (exemplo)</t>
  </si>
  <si>
    <t xml:space="preserve">Estabilizador / gimbal</t>
  </si>
  <si>
    <t xml:space="preserve">Pix</t>
  </si>
  <si>
    <t xml:space="preserve">Microfone sem fio (exemplo)</t>
  </si>
  <si>
    <t xml:space="preserve">Áudio</t>
  </si>
  <si>
    <t xml:space="preserve">Cartão de crédito</t>
  </si>
  <si>
    <t xml:space="preserve">Luz LED (exemplo)</t>
  </si>
  <si>
    <t xml:space="preserve">Iluminação</t>
  </si>
  <si>
    <t xml:space="preserve">Opções dos menus</t>
  </si>
  <si>
    <t xml:space="preserve">Pode adicionar novas opções nas linhas vazias de cada coluna. Evite renomear "Fechado", "Aguardando" e "Recusado".</t>
  </si>
  <si>
    <t xml:space="preserve">Tipos de evento</t>
  </si>
  <si>
    <t xml:space="preserve">Status do orçamento</t>
  </si>
  <si>
    <t xml:space="preserve">Função do freelancer</t>
  </si>
  <si>
    <t xml:space="preserve">Categorias de gasto</t>
  </si>
  <si>
    <t xml:space="preserve">Categorias de equipamento</t>
  </si>
  <si>
    <t xml:space="preserve">Como o cliente conheceu</t>
  </si>
  <si>
    <t xml:space="preserve">Situação do equipamento</t>
  </si>
  <si>
    <t xml:space="preserve">Sim / Não</t>
  </si>
  <si>
    <t xml:space="preserve">Câmera</t>
  </si>
  <si>
    <t xml:space="preserve">Videomaker</t>
  </si>
  <si>
    <t xml:space="preserve">Vendido</t>
  </si>
  <si>
    <t xml:space="preserve">Dinheiro</t>
  </si>
  <si>
    <t xml:space="preserve">Storymaker</t>
  </si>
  <si>
    <t xml:space="preserve">Lente</t>
  </si>
  <si>
    <t xml:space="preserve">Quebrado / perdido</t>
  </si>
  <si>
    <t xml:space="preserve">Cursos</t>
  </si>
  <si>
    <t xml:space="preserve">Google</t>
  </si>
  <si>
    <t xml:space="preserve">Cartão de débito</t>
  </si>
  <si>
    <t xml:space="preserve">Outro</t>
  </si>
  <si>
    <t xml:space="preserve">Drone</t>
  </si>
  <si>
    <t xml:space="preserve">Manutenção</t>
  </si>
  <si>
    <t xml:space="preserve">Evento</t>
  </si>
  <si>
    <t xml:space="preserve">Boleto</t>
  </si>
  <si>
    <t xml:space="preserve">Acessórios</t>
  </si>
  <si>
    <t xml:space="preserve">Impostos / taxas</t>
  </si>
  <si>
    <t xml:space="preserve">Computador</t>
  </si>
  <si>
    <t xml:space="preserve">Armazenamento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</si>
</sst>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[RED]&quot;-R$ &quot;#,##0.00;\-"/>
    <numFmt numFmtId="166" formatCode="0;\-0;\-"/>
    <numFmt numFmtId="167" formatCode="0.0%;\-0.0%;\-"/>
    <numFmt numFmtId="168" formatCode="dd/mm/yyyy"/>
    <numFmt numFmtId="169" formatCode="0"/>
    <numFmt numFmtId="170" formatCode="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1713"/>
      <name val="Arial"/>
      <family val="0"/>
      <charset val="1"/>
    </font>
    <font>
      <i val="true"/>
      <sz val="10"/>
      <color rgb="FF7A6F62"/>
      <name val="Arial"/>
      <family val="0"/>
      <charset val="1"/>
    </font>
    <font>
      <b val="true"/>
      <sz val="11"/>
      <color rgb="FFD6A85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D6A85F"/>
      <name val="Arial"/>
      <family val="0"/>
      <charset val="1"/>
    </font>
    <font>
      <b val="true"/>
      <sz val="11"/>
      <color rgb="FF1C1713"/>
      <name val="Arial"/>
      <family val="0"/>
      <charset val="1"/>
    </font>
    <font>
      <b val="true"/>
      <sz val="12"/>
      <color rgb="FF1C17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713"/>
        <bgColor rgb="FF222222"/>
      </patternFill>
    </fill>
    <fill>
      <patternFill patternType="solid">
        <fgColor rgb="FFFFF3C4"/>
        <bgColor rgb="FFFFF0C2"/>
      </patternFill>
    </fill>
    <fill>
      <patternFill patternType="solid">
        <fgColor rgb="FFF6E7C8"/>
        <bgColor rgb="FFFFF0C2"/>
      </patternFill>
    </fill>
    <fill>
      <patternFill patternType="solid">
        <fgColor rgb="FFEFEBE4"/>
        <bgColor rgb="FFF6E7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0C2"/>
        </patternFill>
      </fill>
    </dxf>
    <dxf>
      <font>
        <color rgb="FFFFFFFF"/>
      </font>
    </dxf>
    <dxf>
      <font>
        <name val="Arial"/>
        <charset val="1"/>
        <family val="0"/>
        <b val="1"/>
        <color rgb="FF1E7B34"/>
      </font>
      <fill>
        <patternFill>
          <bgColor rgb="FFD7F0DD"/>
        </patternFill>
      </fill>
    </dxf>
    <dxf>
      <font>
        <name val="Arial"/>
        <charset val="1"/>
        <family val="0"/>
        <b val="1"/>
        <color rgb="FF8A610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A12828"/>
      </font>
      <fill>
        <patternFill>
          <bgColor rgb="FFFB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A6100"/>
      <rgbColor rgb="FF800080"/>
      <rgbColor rgb="FF008080"/>
      <rgbColor rgb="FFBBBBBB"/>
      <rgbColor rgb="FF878787"/>
      <rgbColor rgb="FF9999FF"/>
      <rgbColor rgb="FFC0504D"/>
      <rgbColor rgb="FFFFF3C4"/>
      <rgbColor rgb="FFEFEBE4"/>
      <rgbColor rgb="FF660066"/>
      <rgbColor rgb="FFD6A8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E7C8"/>
      <rgbColor rgb="FFD7F0DD"/>
      <rgbColor rgb="FFFFF0C2"/>
      <rgbColor rgb="FFD9D2C5"/>
      <rgbColor rgb="FFFF99CC"/>
      <rgbColor rgb="FFCC99FF"/>
      <rgbColor rgb="FFFBDADA"/>
      <rgbColor rgb="FF4F81BD"/>
      <rgbColor rgb="FF4BACC6"/>
      <rgbColor rgb="FF9BBB59"/>
      <rgbColor rgb="FFFFCC00"/>
      <rgbColor rgb="FFFF9900"/>
      <rgbColor rgb="FFFF6600"/>
      <rgbColor rgb="FF8064A2"/>
      <rgbColor rgb="FF7A6F62"/>
      <rgbColor rgb="FF003366"/>
      <rgbColor rgb="FF339966"/>
      <rgbColor rgb="FF1C1713"/>
      <rgbColor rgb="FF222222"/>
      <rgbColor rgb="FFA12828"/>
      <rgbColor rgb="FF993366"/>
      <rgbColor rgb="FF555555"/>
      <rgbColor rgb="FF3A2E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Ganho bruto x Lucro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Resumo!G6</c:f>
              <c:strCache>
                <c:ptCount val="1"/>
                <c:pt idx="0">
                  <c:v>Ganho bruto</c:v>
                </c:pt>
              </c:strCache>
            </c:strRef>
          </c:tx>
          <c:spPr>
            <a:solidFill>
              <a:srgbClr val="d6a8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Resumo!$F$7:$F$18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Resumo!$G$7:$G$18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3500</c:v>
                </c:pt>
                <c:pt idx="3">
                  <c:v>0</c:v>
                </c:pt>
                <c:pt idx="4">
                  <c:v>0</c:v>
                </c:pt>
                <c:pt idx="5">
                  <c:v>1800</c:v>
                </c:pt>
                <c:pt idx="6">
                  <c:v>0</c:v>
                </c:pt>
                <c:pt idx="7">
                  <c:v>900</c:v>
                </c:pt>
                <c:pt idx="8">
                  <c:v>0</c:v>
                </c:pt>
                <c:pt idx="9">
                  <c:v>0</c:v>
                </c:pt>
                <c:pt idx="10">
                  <c:v>1200</c:v>
                </c:pt>
                <c:pt idx="11">
                  <c:v>4200</c:v>
                </c:pt>
              </c:numCache>
            </c:numRef>
          </c:val>
        </c:ser>
        <c:ser>
          <c:idx val="1"/>
          <c:order val="1"/>
          <c:tx>
            <c:strRef>
              <c:f>Resumo!J6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3a2e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Resumo!$F$7:$F$18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Resumo!$J$7:$J$18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2770</c:v>
                </c:pt>
                <c:pt idx="3">
                  <c:v>-60</c:v>
                </c:pt>
                <c:pt idx="4">
                  <c:v>0</c:v>
                </c:pt>
                <c:pt idx="5">
                  <c:v>1550</c:v>
                </c:pt>
                <c:pt idx="6">
                  <c:v>-150</c:v>
                </c:pt>
                <c:pt idx="7">
                  <c:v>860</c:v>
                </c:pt>
                <c:pt idx="8">
                  <c:v>0</c:v>
                </c:pt>
                <c:pt idx="9">
                  <c:v>0</c:v>
                </c:pt>
                <c:pt idx="10">
                  <c:v>1200</c:v>
                </c:pt>
                <c:pt idx="11">
                  <c:v>3950</c:v>
                </c:pt>
              </c:numCache>
            </c:numRef>
          </c:val>
        </c:ser>
        <c:gapWidth val="150"/>
        <c:overlap val="0"/>
        <c:axId val="39787833"/>
        <c:axId val="61185108"/>
      </c:barChart>
      <c:catAx>
        <c:axId val="39787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85108"/>
        <c:crosses val="autoZero"/>
        <c:auto val="1"/>
        <c:lblAlgn val="ctr"/>
        <c:lblOffset val="100"/>
        <c:noMultiLvlLbl val="0"/>
      </c:catAx>
      <c:valAx>
        <c:axId val="61185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7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Ganho bruto por tipo de evento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Resumo!D27</c:f>
              <c:strCache>
                <c:ptCount val="1"/>
                <c:pt idx="0">
                  <c:v>Ganho bruto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Resumo!$B$28:$B$32</c:f>
              <c:strCache>
                <c:ptCount val="5"/>
                <c:pt idx="0">
                  <c:v>Casamento</c:v>
                </c:pt>
                <c:pt idx="1">
                  <c:v>Empresa</c:v>
                </c:pt>
                <c:pt idx="2">
                  <c:v>Aniversário</c:v>
                </c:pt>
                <c:pt idx="3">
                  <c:v>Chá revelação</c:v>
                </c:pt>
                <c:pt idx="4">
                  <c:v>Outro</c:v>
                </c:pt>
              </c:strCache>
            </c:strRef>
          </c:cat>
          <c:val>
            <c:numRef>
              <c:f>Resumo!$D$28:$D$32</c:f>
              <c:numCache>
                <c:formatCode>"R$ "#,##0.00;[RED]"-R$ "#,##0.00;\-</c:formatCode>
                <c:ptCount val="5"/>
                <c:pt idx="0">
                  <c:v>7700</c:v>
                </c:pt>
                <c:pt idx="1">
                  <c:v>1800</c:v>
                </c:pt>
                <c:pt idx="2">
                  <c:v>1200</c:v>
                </c:pt>
                <c:pt idx="3">
                  <c:v>900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46</xdr:row>
      <xdr:rowOff>0</xdr:rowOff>
    </xdr:from>
    <xdr:to>
      <xdr:col>6</xdr:col>
      <xdr:colOff>206280</xdr:colOff>
      <xdr:row>61</xdr:row>
      <xdr:rowOff>21960</xdr:rowOff>
    </xdr:to>
    <xdr:graphicFrame>
      <xdr:nvGraphicFramePr>
        <xdr:cNvPr id="0" name="Chart 1"/>
        <xdr:cNvGraphicFramePr/>
      </xdr:nvGraphicFramePr>
      <xdr:xfrm>
        <a:off x="211320" y="103536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46</xdr:row>
      <xdr:rowOff>0</xdr:rowOff>
    </xdr:from>
    <xdr:to>
      <xdr:col>10</xdr:col>
      <xdr:colOff>90720</xdr:colOff>
      <xdr:row>61</xdr:row>
      <xdr:rowOff>21960</xdr:rowOff>
    </xdr:to>
    <xdr:graphicFrame>
      <xdr:nvGraphicFramePr>
        <xdr:cNvPr id="1" name="Chart 2"/>
        <xdr:cNvGraphicFramePr/>
      </xdr:nvGraphicFramePr>
      <xdr:xfrm>
        <a:off x="6484680" y="103536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6F62"/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0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30" hidden="false" customHeight="true" outlineLevel="0" collapsed="false">
      <c r="B9" s="5" t="s">
        <v>9</v>
      </c>
      <c r="C9" s="6" t="s">
        <v>10</v>
      </c>
    </row>
    <row r="10" customFormat="false" ht="30" hidden="false" customHeight="tru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7"/>
    </row>
    <row r="12" customFormat="false" ht="15" hidden="false" customHeight="false" outlineLevel="0" collapsed="false">
      <c r="B12" s="3" t="s">
        <v>13</v>
      </c>
      <c r="C12" s="4"/>
    </row>
    <row r="13" customFormat="false" ht="30" hidden="false" customHeight="true" outlineLevel="0" collapsed="false">
      <c r="B13" s="5" t="s">
        <v>14</v>
      </c>
      <c r="C13" s="6" t="s">
        <v>15</v>
      </c>
    </row>
    <row r="14" customFormat="false" ht="30" hidden="false" customHeight="true" outlineLevel="0" collapsed="false">
      <c r="B14" s="5" t="s">
        <v>16</v>
      </c>
      <c r="C14" s="6" t="s">
        <v>17</v>
      </c>
    </row>
    <row r="15" customFormat="false" ht="30" hidden="false" customHeight="true" outlineLevel="0" collapsed="false">
      <c r="B15" s="5" t="s">
        <v>18</v>
      </c>
      <c r="C15" s="6" t="s">
        <v>19</v>
      </c>
    </row>
    <row r="16" customFormat="false" ht="30" hidden="false" customHeight="true" outlineLevel="0" collapsed="false">
      <c r="B16" s="5" t="s">
        <v>20</v>
      </c>
      <c r="C16" s="6" t="s">
        <v>21</v>
      </c>
    </row>
    <row r="17" customFormat="false" ht="30" hidden="false" customHeight="true" outlineLevel="0" collapsed="false">
      <c r="B17" s="5" t="s">
        <v>22</v>
      </c>
      <c r="C17" s="6" t="s">
        <v>23</v>
      </c>
    </row>
    <row r="18" customFormat="false" ht="30" hidden="false" customHeight="true" outlineLevel="0" collapsed="false">
      <c r="B18" s="5" t="s">
        <v>24</v>
      </c>
      <c r="C18" s="6" t="s">
        <v>25</v>
      </c>
    </row>
    <row r="19" customFormat="false" ht="30" hidden="false" customHeight="true" outlineLevel="0" collapsed="false">
      <c r="B19" s="5" t="s">
        <v>26</v>
      </c>
      <c r="C19" s="6" t="s">
        <v>27</v>
      </c>
    </row>
    <row r="20" customFormat="false" ht="30" hidden="false" customHeight="true" outlineLevel="0" collapsed="false">
      <c r="B20" s="5" t="s">
        <v>28</v>
      </c>
      <c r="C20" s="6" t="s">
        <v>29</v>
      </c>
    </row>
    <row r="21" customFormat="false" ht="30" hidden="false" customHeight="true" outlineLevel="0" collapsed="false">
      <c r="B21" s="5" t="s">
        <v>30</v>
      </c>
      <c r="C21" s="6" t="s">
        <v>31</v>
      </c>
    </row>
    <row r="22" customFormat="false" ht="15" hidden="false" customHeight="false" outlineLevel="0" collapsed="false">
      <c r="B22" s="7"/>
    </row>
    <row r="23" customFormat="false" ht="15" hidden="false" customHeight="false" outlineLevel="0" collapsed="false">
      <c r="B23" s="3" t="s">
        <v>32</v>
      </c>
      <c r="C23" s="4"/>
    </row>
    <row r="24" customFormat="false" ht="30" hidden="false" customHeight="true" outlineLevel="0" collapsed="false">
      <c r="B24" s="5" t="s">
        <v>33</v>
      </c>
      <c r="C24" s="6" t="s">
        <v>34</v>
      </c>
    </row>
    <row r="25" customFormat="false" ht="30" hidden="false" customHeight="true" outlineLevel="0" collapsed="false">
      <c r="B25" s="5" t="s">
        <v>35</v>
      </c>
      <c r="C25" s="6" t="s">
        <v>36</v>
      </c>
    </row>
    <row r="26" customFormat="false" ht="30" hidden="false" customHeight="true" outlineLevel="0" collapsed="false">
      <c r="B26" s="5" t="s">
        <v>37</v>
      </c>
      <c r="C26" s="6" t="s">
        <v>38</v>
      </c>
    </row>
    <row r="27" customFormat="false" ht="30" hidden="false" customHeight="true" outlineLevel="0" collapsed="false">
      <c r="B27" s="5" t="s">
        <v>39</v>
      </c>
      <c r="C27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A85F"/>
    <pageSetUpPr fitToPage="false"/>
  </sheetPr>
  <dimension ref="B1:M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10" min="7" style="0" width="15"/>
    <col collapsed="false" customWidth="true" hidden="false" outlineLevel="0" max="12" min="11" style="0" width="13"/>
    <col collapsed="false" customWidth="true" hidden="false" outlineLevel="0" max="13" min="13" style="0" width="12"/>
  </cols>
  <sheetData>
    <row r="1" customFormat="false" ht="30" hidden="false" customHeight="true" outlineLevel="0" collapsed="false">
      <c r="B1" s="1" t="s">
        <v>41</v>
      </c>
    </row>
    <row r="2" customFormat="false" ht="15" hidden="false" customHeight="false" outlineLevel="0" collapsed="false">
      <c r="B2" s="2" t="s">
        <v>42</v>
      </c>
    </row>
    <row r="4" customFormat="false" ht="15" hidden="false" customHeight="false" outlineLevel="0" collapsed="false">
      <c r="B4" s="8" t="s">
        <v>43</v>
      </c>
      <c r="C4" s="9" t="n">
        <v>2026</v>
      </c>
    </row>
    <row r="6" customFormat="false" ht="27.75" hidden="false" customHeight="true" outlineLevel="0" collapsed="false">
      <c r="B6" s="10" t="s">
        <v>44</v>
      </c>
      <c r="C6" s="10" t="s">
        <v>45</v>
      </c>
      <c r="D6" s="10" t="s">
        <v>46</v>
      </c>
      <c r="F6" s="10" t="s">
        <v>47</v>
      </c>
      <c r="G6" s="10" t="s">
        <v>48</v>
      </c>
      <c r="H6" s="10" t="s">
        <v>24</v>
      </c>
      <c r="I6" s="10" t="s">
        <v>49</v>
      </c>
      <c r="J6" s="10" t="s">
        <v>37</v>
      </c>
      <c r="K6" s="10" t="s">
        <v>18</v>
      </c>
      <c r="L6" s="10" t="s">
        <v>50</v>
      </c>
      <c r="M6" s="10" t="s">
        <v>51</v>
      </c>
    </row>
    <row r="7" customFormat="false" ht="19.5" hidden="false" customHeight="true" outlineLevel="0" collapsed="false">
      <c r="B7" s="11" t="s">
        <v>52</v>
      </c>
      <c r="C7" s="12" t="n">
        <f aca="false">SUMIFS(Trabalhos!$G$5:$G$504,Trabalhos!$B$5:$B$504,"&gt;="&amp;DATE($C$4,1,1),Trabalhos!$B$5:$B$504,"&lt;"&amp;DATE($C$4+1,1,1))</f>
        <v>11600</v>
      </c>
      <c r="D7" s="12" t="n">
        <f aca="false">SUM(Trabalhos!$G$5:$G$504)</f>
        <v>11600</v>
      </c>
      <c r="F7" s="13" t="s">
        <v>53</v>
      </c>
      <c r="G7" s="14" t="n">
        <f aca="false">SUMIFS(Trabalhos!$G$5:$G$504,Trabalhos!$B$5:$B$504,"&gt;="&amp;DATE($C$4,1,1),Trabalhos!$B$5:$B$504,"&lt;"&amp;DATE($C$4,1+1,1))</f>
        <v>0</v>
      </c>
      <c r="H7" s="14" t="n">
        <f aca="false">SUMIFS(Freelancers!$E$5:$E$504,Freelancers!$A$5:$A$504,"&gt;="&amp;DATE($C$4,1,1),Freelancers!$A$5:$A$504,"&lt;"&amp;DATE($C$4,1+1,1))</f>
        <v>0</v>
      </c>
      <c r="I7" s="14" t="n">
        <f aca="false">SUMIFS(Gastos!$D$5:$D$504,Gastos!$A$5:$A$504,"&gt;="&amp;DATE($C$4,1,1),Gastos!$A$5:$A$504,"&lt;"&amp;DATE($C$4,1+1,1))</f>
        <v>0</v>
      </c>
      <c r="J7" s="14" t="n">
        <f aca="false">G7-H7-I7</f>
        <v>0</v>
      </c>
      <c r="K7" s="13" t="n">
        <f aca="false">COUNTIFS(Trabalhos!$B$5:$B$504,"&gt;="&amp;DATE($C$4,1,1),Trabalhos!$B$5:$B$504,"&lt;"&amp;DATE($C$4,1+1,1))</f>
        <v>0</v>
      </c>
      <c r="L7" s="13" t="n">
        <f aca="false">COUNTIFS(Orçamentos!$A$5:$A$504,"&gt;="&amp;DATE($C$4,1,1),Orçamentos!$A$5:$A$504,"&lt;"&amp;DATE($C$4,1+1,1))</f>
        <v>1</v>
      </c>
      <c r="M7" s="13" t="n">
        <f aca="false">COUNTIFS(Orçamentos!$A$5:$A$504,"&gt;="&amp;DATE($C$4,1,1),Orçamentos!$A$5:$A$504,"&lt;"&amp;DATE($C$4,1+1,1),Orçamentos!$F$5:$F$504,"Fechado")</f>
        <v>1</v>
      </c>
    </row>
    <row r="8" customFormat="false" ht="19.5" hidden="false" customHeight="true" outlineLevel="0" collapsed="false">
      <c r="B8" s="11" t="s">
        <v>54</v>
      </c>
      <c r="C8" s="12" t="n">
        <f aca="false">SUMIFS(Trabalhos!$H$5:$H$504,Trabalhos!$B$5:$B$504,"&gt;="&amp;DATE($C$4,1,1),Trabalhos!$B$5:$B$504,"&lt;"&amp;DATE($C$4+1,1,1))</f>
        <v>8900</v>
      </c>
      <c r="D8" s="12" t="n">
        <f aca="false">SUM(Trabalhos!$H$5:$H$504)</f>
        <v>8900</v>
      </c>
      <c r="F8" s="13" t="s">
        <v>55</v>
      </c>
      <c r="G8" s="14" t="n">
        <f aca="false">SUMIFS(Trabalhos!$G$5:$G$504,Trabalhos!$B$5:$B$504,"&gt;="&amp;DATE($C$4,2,1),Trabalhos!$B$5:$B$504,"&lt;"&amp;DATE($C$4,2+1,1))</f>
        <v>0</v>
      </c>
      <c r="H8" s="14" t="n">
        <f aca="false">SUMIFS(Freelancers!$E$5:$E$504,Freelancers!$A$5:$A$504,"&gt;="&amp;DATE($C$4,2,1),Freelancers!$A$5:$A$504,"&lt;"&amp;DATE($C$4,2+1,1))</f>
        <v>0</v>
      </c>
      <c r="I8" s="14" t="n">
        <f aca="false">SUMIFS(Gastos!$D$5:$D$504,Gastos!$A$5:$A$504,"&gt;="&amp;DATE($C$4,2,1),Gastos!$A$5:$A$504,"&lt;"&amp;DATE($C$4,2+1,1))</f>
        <v>0</v>
      </c>
      <c r="J8" s="14" t="n">
        <f aca="false">G8-H8-I8</f>
        <v>0</v>
      </c>
      <c r="K8" s="13" t="n">
        <f aca="false">COUNTIFS(Trabalhos!$B$5:$B$504,"&gt;="&amp;DATE($C$4,2,1),Trabalhos!$B$5:$B$504,"&lt;"&amp;DATE($C$4,2+1,1))</f>
        <v>0</v>
      </c>
      <c r="L8" s="13" t="n">
        <f aca="false">COUNTIFS(Orçamentos!$A$5:$A$504,"&gt;="&amp;DATE($C$4,2,1),Orçamentos!$A$5:$A$504,"&lt;"&amp;DATE($C$4,2+1,1))</f>
        <v>1</v>
      </c>
      <c r="M8" s="13" t="n">
        <f aca="false">COUNTIFS(Orçamentos!$A$5:$A$504,"&gt;="&amp;DATE($C$4,2,1),Orçamentos!$A$5:$A$504,"&lt;"&amp;DATE($C$4,2+1,1),Orçamentos!$F$5:$F$504,"Fechado")</f>
        <v>0</v>
      </c>
    </row>
    <row r="9" customFormat="false" ht="19.5" hidden="false" customHeight="true" outlineLevel="0" collapsed="false">
      <c r="B9" s="11" t="s">
        <v>56</v>
      </c>
      <c r="C9" s="12" t="n">
        <f aca="false">C7-C8</f>
        <v>2700</v>
      </c>
      <c r="D9" s="12" t="n">
        <f aca="false">D7-D8</f>
        <v>2700</v>
      </c>
      <c r="F9" s="13" t="s">
        <v>57</v>
      </c>
      <c r="G9" s="14" t="n">
        <f aca="false">SUMIFS(Trabalhos!$G$5:$G$504,Trabalhos!$B$5:$B$504,"&gt;="&amp;DATE($C$4,3,1),Trabalhos!$B$5:$B$504,"&lt;"&amp;DATE($C$4,3+1,1))</f>
        <v>3500</v>
      </c>
      <c r="H9" s="14" t="n">
        <f aca="false">SUMIFS(Freelancers!$E$5:$E$504,Freelancers!$A$5:$A$504,"&gt;="&amp;DATE($C$4,3,1),Freelancers!$A$5:$A$504,"&lt;"&amp;DATE($C$4,3+1,1))</f>
        <v>650</v>
      </c>
      <c r="I9" s="14" t="n">
        <f aca="false">SUMIFS(Gastos!$D$5:$D$504,Gastos!$A$5:$A$504,"&gt;="&amp;DATE($C$4,3,1),Gastos!$A$5:$A$504,"&lt;"&amp;DATE($C$4,3+1,1))</f>
        <v>80</v>
      </c>
      <c r="J9" s="14" t="n">
        <f aca="false">G9-H9-I9</f>
        <v>2770</v>
      </c>
      <c r="K9" s="13" t="n">
        <f aca="false">COUNTIFS(Trabalhos!$B$5:$B$504,"&gt;="&amp;DATE($C$4,3,1),Trabalhos!$B$5:$B$504,"&lt;"&amp;DATE($C$4,3+1,1))</f>
        <v>1</v>
      </c>
      <c r="L9" s="13" t="n">
        <f aca="false">COUNTIFS(Orçamentos!$A$5:$A$504,"&gt;="&amp;DATE($C$4,3,1),Orçamentos!$A$5:$A$504,"&lt;"&amp;DATE($C$4,3+1,1))</f>
        <v>0</v>
      </c>
      <c r="M9" s="13" t="n">
        <f aca="false">COUNTIFS(Orçamentos!$A$5:$A$504,"&gt;="&amp;DATE($C$4,3,1),Orçamentos!$A$5:$A$504,"&lt;"&amp;DATE($C$4,3+1,1),Orçamentos!$F$5:$F$504,"Fechado")</f>
        <v>0</v>
      </c>
    </row>
    <row r="10" customFormat="false" ht="19.5" hidden="false" customHeight="true" outlineLevel="0" collapsed="false">
      <c r="B10" s="11" t="s">
        <v>58</v>
      </c>
      <c r="C10" s="12" t="n">
        <f aca="false">SUMIFS(Freelancers!$E$5:$E$504,Freelancers!$A$5:$A$504,"&gt;="&amp;DATE($C$4,1,1),Freelancers!$A$5:$A$504,"&lt;"&amp;DATE($C$4+1,1,1))</f>
        <v>1150</v>
      </c>
      <c r="D10" s="12" t="n">
        <f aca="false">SUM(Freelancers!$E$5:$E$504)</f>
        <v>1150</v>
      </c>
      <c r="F10" s="13" t="s">
        <v>59</v>
      </c>
      <c r="G10" s="14" t="n">
        <f aca="false">SUMIFS(Trabalhos!$G$5:$G$504,Trabalhos!$B$5:$B$504,"&gt;="&amp;DATE($C$4,4,1),Trabalhos!$B$5:$B$504,"&lt;"&amp;DATE($C$4,4+1,1))</f>
        <v>0</v>
      </c>
      <c r="H10" s="14" t="n">
        <f aca="false">SUMIFS(Freelancers!$E$5:$E$504,Freelancers!$A$5:$A$504,"&gt;="&amp;DATE($C$4,4,1),Freelancers!$A$5:$A$504,"&lt;"&amp;DATE($C$4,4+1,1))</f>
        <v>0</v>
      </c>
      <c r="I10" s="14" t="n">
        <f aca="false">SUMIFS(Gastos!$D$5:$D$504,Gastos!$A$5:$A$504,"&gt;="&amp;DATE($C$4,4,1),Gastos!$A$5:$A$504,"&lt;"&amp;DATE($C$4,4+1,1))</f>
        <v>60</v>
      </c>
      <c r="J10" s="14" t="n">
        <f aca="false">G10-H10-I10</f>
        <v>-60</v>
      </c>
      <c r="K10" s="13" t="n">
        <f aca="false">COUNTIFS(Trabalhos!$B$5:$B$504,"&gt;="&amp;DATE($C$4,4,1),Trabalhos!$B$5:$B$504,"&lt;"&amp;DATE($C$4,4+1,1))</f>
        <v>0</v>
      </c>
      <c r="L10" s="13" t="n">
        <f aca="false">COUNTIFS(Orçamentos!$A$5:$A$504,"&gt;="&amp;DATE($C$4,4,1),Orçamentos!$A$5:$A$504,"&lt;"&amp;DATE($C$4,4+1,1))</f>
        <v>0</v>
      </c>
      <c r="M10" s="13" t="n">
        <f aca="false">COUNTIFS(Orçamentos!$A$5:$A$504,"&gt;="&amp;DATE($C$4,4,1),Orçamentos!$A$5:$A$504,"&lt;"&amp;DATE($C$4,4+1,1),Orçamentos!$F$5:$F$504,"Fechado")</f>
        <v>0</v>
      </c>
    </row>
    <row r="11" customFormat="false" ht="19.5" hidden="false" customHeight="true" outlineLevel="0" collapsed="false">
      <c r="B11" s="11" t="s">
        <v>49</v>
      </c>
      <c r="C11" s="12" t="n">
        <f aca="false">SUMIFS(Gastos!$D$5:$D$504,Gastos!$A$5:$A$504,"&gt;="&amp;DATE($C$4,1,1),Gastos!$A$5:$A$504,"&lt;"&amp;DATE($C$4+1,1,1))</f>
        <v>330</v>
      </c>
      <c r="D11" s="12" t="n">
        <f aca="false">SUM(Gastos!$D$5:$D$504)</f>
        <v>330</v>
      </c>
      <c r="F11" s="13" t="s">
        <v>60</v>
      </c>
      <c r="G11" s="14" t="n">
        <f aca="false">SUMIFS(Trabalhos!$G$5:$G$504,Trabalhos!$B$5:$B$504,"&gt;="&amp;DATE($C$4,5,1),Trabalhos!$B$5:$B$504,"&lt;"&amp;DATE($C$4,5+1,1))</f>
        <v>0</v>
      </c>
      <c r="H11" s="14" t="n">
        <f aca="false">SUMIFS(Freelancers!$E$5:$E$504,Freelancers!$A$5:$A$504,"&gt;="&amp;DATE($C$4,5,1),Freelancers!$A$5:$A$504,"&lt;"&amp;DATE($C$4,5+1,1))</f>
        <v>0</v>
      </c>
      <c r="I11" s="14" t="n">
        <f aca="false">SUMIFS(Gastos!$D$5:$D$504,Gastos!$A$5:$A$504,"&gt;="&amp;DATE($C$4,5,1),Gastos!$A$5:$A$504,"&lt;"&amp;DATE($C$4,5+1,1))</f>
        <v>0</v>
      </c>
      <c r="J11" s="14" t="n">
        <f aca="false">G11-H11-I11</f>
        <v>0</v>
      </c>
      <c r="K11" s="13" t="n">
        <f aca="false">COUNTIFS(Trabalhos!$B$5:$B$504,"&gt;="&amp;DATE($C$4,5,1),Trabalhos!$B$5:$B$504,"&lt;"&amp;DATE($C$4,5+1,1))</f>
        <v>0</v>
      </c>
      <c r="L11" s="13" t="n">
        <f aca="false">COUNTIFS(Orçamentos!$A$5:$A$504,"&gt;="&amp;DATE($C$4,5,1),Orçamentos!$A$5:$A$504,"&lt;"&amp;DATE($C$4,5+1,1))</f>
        <v>1</v>
      </c>
      <c r="M11" s="13" t="n">
        <f aca="false">COUNTIFS(Orçamentos!$A$5:$A$504,"&gt;="&amp;DATE($C$4,5,1),Orçamentos!$A$5:$A$504,"&lt;"&amp;DATE($C$4,5+1,1),Orçamentos!$F$5:$F$504,"Fechado")</f>
        <v>1</v>
      </c>
    </row>
    <row r="12" customFormat="false" ht="19.5" hidden="false" customHeight="true" outlineLevel="0" collapsed="false">
      <c r="B12" s="15" t="s">
        <v>61</v>
      </c>
      <c r="C12" s="16" t="n">
        <f aca="false">C7-C10-C11</f>
        <v>10120</v>
      </c>
      <c r="D12" s="16" t="n">
        <f aca="false">D7-D10-D11</f>
        <v>10120</v>
      </c>
      <c r="F12" s="13" t="s">
        <v>62</v>
      </c>
      <c r="G12" s="14" t="n">
        <f aca="false">SUMIFS(Trabalhos!$G$5:$G$504,Trabalhos!$B$5:$B$504,"&gt;="&amp;DATE($C$4,6,1),Trabalhos!$B$5:$B$504,"&lt;"&amp;DATE($C$4,6+1,1))</f>
        <v>1800</v>
      </c>
      <c r="H12" s="14" t="n">
        <f aca="false">SUMIFS(Freelancers!$E$5:$E$504,Freelancers!$A$5:$A$504,"&gt;="&amp;DATE($C$4,6,1),Freelancers!$A$5:$A$504,"&lt;"&amp;DATE($C$4,6+1,1))</f>
        <v>250</v>
      </c>
      <c r="I12" s="14" t="n">
        <f aca="false">SUMIFS(Gastos!$D$5:$D$504,Gastos!$A$5:$A$504,"&gt;="&amp;DATE($C$4,6,1),Gastos!$A$5:$A$504,"&lt;"&amp;DATE($C$4,6+1,1))</f>
        <v>0</v>
      </c>
      <c r="J12" s="14" t="n">
        <f aca="false">G12-H12-I12</f>
        <v>1550</v>
      </c>
      <c r="K12" s="13" t="n">
        <f aca="false">COUNTIFS(Trabalhos!$B$5:$B$504,"&gt;="&amp;DATE($C$4,6,1),Trabalhos!$B$5:$B$504,"&lt;"&amp;DATE($C$4,6+1,1))</f>
        <v>1</v>
      </c>
      <c r="L12" s="13" t="n">
        <f aca="false">COUNTIFS(Orçamentos!$A$5:$A$504,"&gt;="&amp;DATE($C$4,6,1),Orçamentos!$A$5:$A$504,"&lt;"&amp;DATE($C$4,6+1,1))</f>
        <v>1</v>
      </c>
      <c r="M12" s="13" t="n">
        <f aca="false">COUNTIFS(Orçamentos!$A$5:$A$504,"&gt;="&amp;DATE($C$4,6,1),Orçamentos!$A$5:$A$504,"&lt;"&amp;DATE($C$4,6+1,1),Orçamentos!$F$5:$F$504,"Fechado")</f>
        <v>1</v>
      </c>
    </row>
    <row r="13" customFormat="false" ht="19.5" hidden="false" customHeight="true" outlineLevel="0" collapsed="false">
      <c r="B13" s="11" t="s">
        <v>63</v>
      </c>
      <c r="C13" s="17" t="n">
        <f aca="false">IF(C7=0,0,C12/C7)</f>
        <v>0.872413793103448</v>
      </c>
      <c r="D13" s="17" t="n">
        <f aca="false">IF(D7=0,0,D12/D7)</f>
        <v>0.872413793103448</v>
      </c>
      <c r="F13" s="13" t="s">
        <v>64</v>
      </c>
      <c r="G13" s="14" t="n">
        <f aca="false">SUMIFS(Trabalhos!$G$5:$G$504,Trabalhos!$B$5:$B$504,"&gt;="&amp;DATE($C$4,7,1),Trabalhos!$B$5:$B$504,"&lt;"&amp;DATE($C$4,7+1,1))</f>
        <v>0</v>
      </c>
      <c r="H13" s="14" t="n">
        <f aca="false">SUMIFS(Freelancers!$E$5:$E$504,Freelancers!$A$5:$A$504,"&gt;="&amp;DATE($C$4,7,1),Freelancers!$A$5:$A$504,"&lt;"&amp;DATE($C$4,7+1,1))</f>
        <v>0</v>
      </c>
      <c r="I13" s="14" t="n">
        <f aca="false">SUMIFS(Gastos!$D$5:$D$504,Gastos!$A$5:$A$504,"&gt;="&amp;DATE($C$4,7,1),Gastos!$A$5:$A$504,"&lt;"&amp;DATE($C$4,7+1,1))</f>
        <v>150</v>
      </c>
      <c r="J13" s="14" t="n">
        <f aca="false">G13-H13-I13</f>
        <v>-150</v>
      </c>
      <c r="K13" s="13" t="n">
        <f aca="false">COUNTIFS(Trabalhos!$B$5:$B$504,"&gt;="&amp;DATE($C$4,7,1),Trabalhos!$B$5:$B$504,"&lt;"&amp;DATE($C$4,7+1,1))</f>
        <v>0</v>
      </c>
      <c r="L13" s="13" t="n">
        <f aca="false">COUNTIFS(Orçamentos!$A$5:$A$504,"&gt;="&amp;DATE($C$4,7,1),Orçamentos!$A$5:$A$504,"&lt;"&amp;DATE($C$4,7+1,1))</f>
        <v>1</v>
      </c>
      <c r="M13" s="13" t="n">
        <f aca="false">COUNTIFS(Orçamentos!$A$5:$A$504,"&gt;="&amp;DATE($C$4,7,1),Orçamentos!$A$5:$A$504,"&lt;"&amp;DATE($C$4,7+1,1),Orçamentos!$F$5:$F$504,"Fechado")</f>
        <v>0</v>
      </c>
    </row>
    <row r="14" customFormat="false" ht="19.5" hidden="false" customHeight="true" outlineLevel="0" collapsed="false">
      <c r="B14" s="11" t="s">
        <v>65</v>
      </c>
      <c r="C14" s="18" t="n">
        <f aca="false">COUNTIFS(Trabalhos!$B$5:$B$504,"&gt;="&amp;DATE($C$4,1,1),Trabalhos!$B$5:$B$504,"&lt;"&amp;DATE($C$4+1,1,1))</f>
        <v>5</v>
      </c>
      <c r="D14" s="18" t="n">
        <f aca="false">COUNT(Trabalhos!$B$5:$B$504)</f>
        <v>5</v>
      </c>
      <c r="F14" s="13" t="s">
        <v>66</v>
      </c>
      <c r="G14" s="14" t="n">
        <f aca="false">SUMIFS(Trabalhos!$G$5:$G$504,Trabalhos!$B$5:$B$504,"&gt;="&amp;DATE($C$4,8,1),Trabalhos!$B$5:$B$504,"&lt;"&amp;DATE($C$4,8+1,1))</f>
        <v>900</v>
      </c>
      <c r="H14" s="14" t="n">
        <f aca="false">SUMIFS(Freelancers!$E$5:$E$504,Freelancers!$A$5:$A$504,"&gt;="&amp;DATE($C$4,8,1),Freelancers!$A$5:$A$504,"&lt;"&amp;DATE($C$4,8+1,1))</f>
        <v>0</v>
      </c>
      <c r="I14" s="14" t="n">
        <f aca="false">SUMIFS(Gastos!$D$5:$D$504,Gastos!$A$5:$A$504,"&gt;="&amp;DATE($C$4,8,1),Gastos!$A$5:$A$504,"&lt;"&amp;DATE($C$4,8+1,1))</f>
        <v>40</v>
      </c>
      <c r="J14" s="14" t="n">
        <f aca="false">G14-H14-I14</f>
        <v>860</v>
      </c>
      <c r="K14" s="13" t="n">
        <f aca="false">COUNTIFS(Trabalhos!$B$5:$B$504,"&gt;="&amp;DATE($C$4,8,1),Trabalhos!$B$5:$B$504,"&lt;"&amp;DATE($C$4,8+1,1))</f>
        <v>1</v>
      </c>
      <c r="L14" s="13" t="n">
        <f aca="false">COUNTIFS(Orçamentos!$A$5:$A$504,"&gt;="&amp;DATE($C$4,8,1),Orçamentos!$A$5:$A$504,"&lt;"&amp;DATE($C$4,8+1,1))</f>
        <v>1</v>
      </c>
      <c r="M14" s="13" t="n">
        <f aca="false">COUNTIFS(Orçamentos!$A$5:$A$504,"&gt;="&amp;DATE($C$4,8,1),Orçamentos!$A$5:$A$504,"&lt;"&amp;DATE($C$4,8+1,1),Orçamentos!$F$5:$F$504,"Fechado")</f>
        <v>1</v>
      </c>
    </row>
    <row r="15" customFormat="false" ht="19.5" hidden="false" customHeight="true" outlineLevel="0" collapsed="false">
      <c r="B15" s="11" t="s">
        <v>67</v>
      </c>
      <c r="C15" s="12" t="n">
        <f aca="false">IF(C14=0,0,C7/C14)</f>
        <v>2320</v>
      </c>
      <c r="D15" s="12" t="n">
        <f aca="false">IF(D14=0,0,D7/D14)</f>
        <v>2320</v>
      </c>
      <c r="F15" s="13" t="s">
        <v>68</v>
      </c>
      <c r="G15" s="14" t="n">
        <f aca="false">SUMIFS(Trabalhos!$G$5:$G$504,Trabalhos!$B$5:$B$504,"&gt;="&amp;DATE($C$4,9,1),Trabalhos!$B$5:$B$504,"&lt;"&amp;DATE($C$4,9+1,1))</f>
        <v>0</v>
      </c>
      <c r="H15" s="14" t="n">
        <f aca="false">SUMIFS(Freelancers!$E$5:$E$504,Freelancers!$A$5:$A$504,"&gt;="&amp;DATE($C$4,9,1),Freelancers!$A$5:$A$504,"&lt;"&amp;DATE($C$4,9+1,1))</f>
        <v>0</v>
      </c>
      <c r="I15" s="14" t="n">
        <f aca="false">SUMIFS(Gastos!$D$5:$D$504,Gastos!$A$5:$A$504,"&gt;="&amp;DATE($C$4,9,1),Gastos!$A$5:$A$504,"&lt;"&amp;DATE($C$4,9+1,1))</f>
        <v>0</v>
      </c>
      <c r="J15" s="14" t="n">
        <f aca="false">G15-H15-I15</f>
        <v>0</v>
      </c>
      <c r="K15" s="13" t="n">
        <f aca="false">COUNTIFS(Trabalhos!$B$5:$B$504,"&gt;="&amp;DATE($C$4,9,1),Trabalhos!$B$5:$B$504,"&lt;"&amp;DATE($C$4,9+1,1))</f>
        <v>0</v>
      </c>
      <c r="L15" s="13" t="n">
        <f aca="false">COUNTIFS(Orçamentos!$A$5:$A$504,"&gt;="&amp;DATE($C$4,9,1),Orçamentos!$A$5:$A$504,"&lt;"&amp;DATE($C$4,9+1,1))</f>
        <v>1</v>
      </c>
      <c r="M15" s="13" t="n">
        <f aca="false">COUNTIFS(Orçamentos!$A$5:$A$504,"&gt;="&amp;DATE($C$4,9,1),Orçamentos!$A$5:$A$504,"&lt;"&amp;DATE($C$4,9+1,1),Orçamentos!$F$5:$F$504,"Fechado")</f>
        <v>1</v>
      </c>
    </row>
    <row r="16" customFormat="false" ht="19.5" hidden="false" customHeight="true" outlineLevel="0" collapsed="false">
      <c r="B16" s="11" t="s">
        <v>69</v>
      </c>
      <c r="C16" s="18" t="n">
        <f aca="false">COUNTIFS(Orçamentos!$A$5:$A$504,"&gt;="&amp;DATE($C$4,1,1),Orçamentos!$A$5:$A$504,"&lt;"&amp;DATE($C$4+1,1,1))</f>
        <v>8</v>
      </c>
      <c r="D16" s="18" t="n">
        <f aca="false">COUNT(Orçamentos!$A$5:$A$504)</f>
        <v>8</v>
      </c>
      <c r="F16" s="13" t="s">
        <v>70</v>
      </c>
      <c r="G16" s="14" t="n">
        <f aca="false">SUMIFS(Trabalhos!$G$5:$G$504,Trabalhos!$B$5:$B$504,"&gt;="&amp;DATE($C$4,10,1),Trabalhos!$B$5:$B$504,"&lt;"&amp;DATE($C$4,10+1,1))</f>
        <v>0</v>
      </c>
      <c r="H16" s="14" t="n">
        <f aca="false">SUMIFS(Freelancers!$E$5:$E$504,Freelancers!$A$5:$A$504,"&gt;="&amp;DATE($C$4,10,1),Freelancers!$A$5:$A$504,"&lt;"&amp;DATE($C$4,10+1,1))</f>
        <v>0</v>
      </c>
      <c r="I16" s="14" t="n">
        <f aca="false">SUMIFS(Gastos!$D$5:$D$504,Gastos!$A$5:$A$504,"&gt;="&amp;DATE($C$4,10,1),Gastos!$A$5:$A$504,"&lt;"&amp;DATE($C$4,10+1,1))</f>
        <v>0</v>
      </c>
      <c r="J16" s="14" t="n">
        <f aca="false">G16-H16-I16</f>
        <v>0</v>
      </c>
      <c r="K16" s="13" t="n">
        <f aca="false">COUNTIFS(Trabalhos!$B$5:$B$504,"&gt;="&amp;DATE($C$4,10,1),Trabalhos!$B$5:$B$504,"&lt;"&amp;DATE($C$4,10+1,1))</f>
        <v>0</v>
      </c>
      <c r="L16" s="13" t="n">
        <f aca="false">COUNTIFS(Orçamentos!$A$5:$A$504,"&gt;="&amp;DATE($C$4,10,1),Orçamentos!$A$5:$A$504,"&lt;"&amp;DATE($C$4,10+1,1))</f>
        <v>1</v>
      </c>
      <c r="M16" s="13" t="n">
        <f aca="false">COUNTIFS(Orçamentos!$A$5:$A$504,"&gt;="&amp;DATE($C$4,10,1),Orçamentos!$A$5:$A$504,"&lt;"&amp;DATE($C$4,10+1,1),Orçamentos!$F$5:$F$504,"Fechado")</f>
        <v>0</v>
      </c>
    </row>
    <row r="17" customFormat="false" ht="19.5" hidden="false" customHeight="true" outlineLevel="0" collapsed="false">
      <c r="B17" s="11" t="s">
        <v>71</v>
      </c>
      <c r="C17" s="18" t="n">
        <f aca="false">COUNTIFS(Orçamentos!$A$5:$A$504,"&gt;="&amp;DATE($C$4,1,1),Orçamentos!$A$5:$A$504,"&lt;"&amp;DATE($C$4+1,1,1),Orçamentos!$F$5:$F$504,"Fechado")</f>
        <v>5</v>
      </c>
      <c r="D17" s="18" t="n">
        <f aca="false">COUNTIF(Orçamentos!$F$5:$F$504,"Fechado")</f>
        <v>5</v>
      </c>
      <c r="F17" s="13" t="s">
        <v>72</v>
      </c>
      <c r="G17" s="14" t="n">
        <f aca="false">SUMIFS(Trabalhos!$G$5:$G$504,Trabalhos!$B$5:$B$504,"&gt;="&amp;DATE($C$4,11,1),Trabalhos!$B$5:$B$504,"&lt;"&amp;DATE($C$4,11+1,1))</f>
        <v>1200</v>
      </c>
      <c r="H17" s="14" t="n">
        <f aca="false">SUMIFS(Freelancers!$E$5:$E$504,Freelancers!$A$5:$A$504,"&gt;="&amp;DATE($C$4,11,1),Freelancers!$A$5:$A$504,"&lt;"&amp;DATE($C$4,11+1,1))</f>
        <v>0</v>
      </c>
      <c r="I17" s="14" t="n">
        <f aca="false">SUMIFS(Gastos!$D$5:$D$504,Gastos!$A$5:$A$504,"&gt;="&amp;DATE($C$4,11,1),Gastos!$A$5:$A$504,"&lt;"&amp;DATE($C$4,11+1,1))</f>
        <v>0</v>
      </c>
      <c r="J17" s="14" t="n">
        <f aca="false">G17-H17-I17</f>
        <v>1200</v>
      </c>
      <c r="K17" s="13" t="n">
        <f aca="false">COUNTIFS(Trabalhos!$B$5:$B$504,"&gt;="&amp;DATE($C$4,11,1),Trabalhos!$B$5:$B$504,"&lt;"&amp;DATE($C$4,11+1,1))</f>
        <v>1</v>
      </c>
      <c r="L17" s="13" t="n">
        <f aca="false">COUNTIFS(Orçamentos!$A$5:$A$504,"&gt;="&amp;DATE($C$4,11,1),Orçamentos!$A$5:$A$504,"&lt;"&amp;DATE($C$4,11+1,1))</f>
        <v>0</v>
      </c>
      <c r="M17" s="13" t="n">
        <f aca="false">COUNTIFS(Orçamentos!$A$5:$A$504,"&gt;="&amp;DATE($C$4,11,1),Orçamentos!$A$5:$A$504,"&lt;"&amp;DATE($C$4,11+1,1),Orçamentos!$F$5:$F$504,"Fechado")</f>
        <v>0</v>
      </c>
    </row>
    <row r="18" customFormat="false" ht="19.5" hidden="false" customHeight="true" outlineLevel="0" collapsed="false">
      <c r="B18" s="11" t="s">
        <v>73</v>
      </c>
      <c r="C18" s="17" t="n">
        <f aca="false">IF(C16=0,0,C17/C16)</f>
        <v>0.625</v>
      </c>
      <c r="D18" s="17" t="n">
        <f aca="false">IF(D16=0,0,D17/D16)</f>
        <v>0.625</v>
      </c>
      <c r="F18" s="13" t="s">
        <v>74</v>
      </c>
      <c r="G18" s="14" t="n">
        <f aca="false">SUMIFS(Trabalhos!$G$5:$G$504,Trabalhos!$B$5:$B$504,"&gt;="&amp;DATE($C$4,12,1),Trabalhos!$B$5:$B$504,"&lt;"&amp;DATE($C$4,12+1,1))</f>
        <v>4200</v>
      </c>
      <c r="H18" s="14" t="n">
        <f aca="false">SUMIFS(Freelancers!$E$5:$E$504,Freelancers!$A$5:$A$504,"&gt;="&amp;DATE($C$4,12,1),Freelancers!$A$5:$A$504,"&lt;"&amp;DATE($C$4,12+1,1))</f>
        <v>250</v>
      </c>
      <c r="I18" s="14" t="n">
        <f aca="false">SUMIFS(Gastos!$D$5:$D$504,Gastos!$A$5:$A$504,"&gt;="&amp;DATE($C$4,12,1),Gastos!$A$5:$A$504,"&lt;"&amp;DATE($C$4,12+1,1))</f>
        <v>0</v>
      </c>
      <c r="J18" s="14" t="n">
        <f aca="false">G18-H18-I18</f>
        <v>3950</v>
      </c>
      <c r="K18" s="13" t="n">
        <f aca="false">COUNTIFS(Trabalhos!$B$5:$B$504,"&gt;="&amp;DATE($C$4,12,1),Trabalhos!$B$5:$B$504,"&lt;"&amp;DATE($C$4,12+1,1))</f>
        <v>1</v>
      </c>
      <c r="L18" s="13" t="n">
        <f aca="false">COUNTIFS(Orçamentos!$A$5:$A$504,"&gt;="&amp;DATE($C$4,12,1),Orçamentos!$A$5:$A$504,"&lt;"&amp;DATE($C$4,12+1,1))</f>
        <v>0</v>
      </c>
      <c r="M18" s="13" t="n">
        <f aca="false">COUNTIFS(Orçamentos!$A$5:$A$504,"&gt;="&amp;DATE($C$4,12,1),Orçamentos!$A$5:$A$504,"&lt;"&amp;DATE($C$4,12+1,1),Orçamentos!$F$5:$F$504,"Fechado")</f>
        <v>0</v>
      </c>
    </row>
    <row r="19" customFormat="false" ht="19.5" hidden="false" customHeight="true" outlineLevel="0" collapsed="false">
      <c r="B19" s="11" t="s">
        <v>75</v>
      </c>
      <c r="C19" s="18" t="n">
        <f aca="false">COUNTIFS(Orçamentos!$A$5:$A$504,"&gt;="&amp;DATE($C$4,1,1),Orçamentos!$A$5:$A$504,"&lt;"&amp;DATE($C$4+1,1,1),Orçamentos!$F$5:$F$504,"Aguardando")</f>
        <v>1</v>
      </c>
      <c r="D19" s="18" t="n">
        <f aca="false">COUNTIF(Orçamentos!$F$5:$F$504,"Aguardando")</f>
        <v>1</v>
      </c>
      <c r="F19" s="19" t="s">
        <v>76</v>
      </c>
      <c r="G19" s="20" t="n">
        <f aca="false">SUM(G7:G18)</f>
        <v>11600</v>
      </c>
      <c r="H19" s="20" t="n">
        <f aca="false">SUM(H7:H18)</f>
        <v>1150</v>
      </c>
      <c r="I19" s="20" t="n">
        <f aca="false">SUM(I7:I18)</f>
        <v>330</v>
      </c>
      <c r="J19" s="20" t="n">
        <f aca="false">SUM(J7:J18)</f>
        <v>10120</v>
      </c>
      <c r="K19" s="19" t="n">
        <f aca="false">SUM(K7:K18)</f>
        <v>5</v>
      </c>
      <c r="L19" s="19" t="n">
        <f aca="false">SUM(L7:L18)</f>
        <v>8</v>
      </c>
      <c r="M19" s="19" t="n">
        <f aca="false">SUM(M7:M18)</f>
        <v>5</v>
      </c>
    </row>
    <row r="20" customFormat="false" ht="19.5" hidden="false" customHeight="true" outlineLevel="0" collapsed="false">
      <c r="B20" s="11" t="s">
        <v>77</v>
      </c>
      <c r="C20" s="12" t="n">
        <f aca="false">SUMIFS(Equipamentos!$D$5:$D$504,Equipamentos!$C$5:$C$504,"&gt;="&amp;DATE($C$4,1,1),Equipamentos!$C$5:$C$504,"&lt;"&amp;DATE($C$4+1,1,1))</f>
        <v>1000</v>
      </c>
      <c r="D20" s="12" t="n">
        <f aca="false">SUM(Equipamentos!$D$5:$D$504)</f>
        <v>8900</v>
      </c>
    </row>
    <row r="21" customFormat="false" ht="19.5" hidden="false" customHeight="true" outlineLevel="0" collapsed="false">
      <c r="B21" s="11" t="s">
        <v>78</v>
      </c>
      <c r="C21" s="17" t="s">
        <v>79</v>
      </c>
      <c r="D21" s="17" t="n">
        <f aca="false">IF(D20=0,0,MAX(0,D12)/D20)</f>
        <v>1.13707865168539</v>
      </c>
    </row>
    <row r="22" customFormat="false" ht="19.5" hidden="false" customHeight="true" outlineLevel="0" collapsed="false">
      <c r="B22" s="11" t="s">
        <v>80</v>
      </c>
      <c r="C22" s="18" t="s">
        <v>79</v>
      </c>
      <c r="D22" s="18" t="n">
        <f aca="false">COUNTA(Clientes!$A$5:$A$504)</f>
        <v>5</v>
      </c>
    </row>
    <row r="24" customFormat="false" ht="15" hidden="false" customHeight="true" outlineLevel="0" collapsed="false">
      <c r="B24" s="21" t="s">
        <v>81</v>
      </c>
      <c r="C24" s="21"/>
      <c r="D24" s="21"/>
    </row>
    <row r="25" customFormat="false" ht="15" hidden="false" customHeight="false" outlineLevel="0" collapsed="false">
      <c r="B25" s="21"/>
      <c r="C25" s="21"/>
      <c r="D25" s="21"/>
    </row>
    <row r="26" customFormat="false" ht="15" hidden="false" customHeight="false" outlineLevel="0" collapsed="false">
      <c r="B26" s="22" t="s">
        <v>82</v>
      </c>
    </row>
    <row r="27" customFormat="false" ht="27.75" hidden="false" customHeight="true" outlineLevel="0" collapsed="false">
      <c r="B27" s="10" t="s">
        <v>83</v>
      </c>
      <c r="C27" s="10" t="s">
        <v>18</v>
      </c>
      <c r="D27" s="10" t="s">
        <v>48</v>
      </c>
      <c r="E27" s="23"/>
      <c r="F27" s="10" t="s">
        <v>24</v>
      </c>
      <c r="G27" s="10" t="s">
        <v>37</v>
      </c>
      <c r="H27" s="10" t="s">
        <v>84</v>
      </c>
      <c r="I27" s="10" t="s">
        <v>50</v>
      </c>
      <c r="J27" s="10" t="s">
        <v>85</v>
      </c>
    </row>
    <row r="28" customFormat="false" ht="15" hidden="false" customHeight="false" outlineLevel="0" collapsed="false">
      <c r="B28" s="24" t="str">
        <f aca="false">Listas!$A$5</f>
        <v>Casamento</v>
      </c>
      <c r="C28" s="13" t="n">
        <f aca="false">COUNTIFS(Trabalhos!$B$5:$B$504,"&gt;="&amp;DATE($C$4,1,1),Trabalhos!$B$5:$B$504,"&lt;"&amp;DATE($C$4+1,1,1),Trabalhos!$E$5:$E$504,$B28)</f>
        <v>2</v>
      </c>
      <c r="D28" s="14" t="n">
        <f aca="false">SUMIFS(Trabalhos!$G$5:$G$504,Trabalhos!$B$5:$B$504,"&gt;="&amp;DATE($C$4,1,1),Trabalhos!$B$5:$B$504,"&lt;"&amp;DATE($C$4+1,1,1),Trabalhos!$E$5:$E$504,$B28)</f>
        <v>7700</v>
      </c>
      <c r="F28" s="14" t="n">
        <f aca="false">SUMIFS(Trabalhos!$J$5:$J$504,Trabalhos!$B$5:$B$504,"&gt;="&amp;DATE($C$4,1,1),Trabalhos!$B$5:$B$504,"&lt;"&amp;DATE($C$4+1,1,1),Trabalhos!$E$5:$E$504,$B28)</f>
        <v>900</v>
      </c>
      <c r="G28" s="14" t="n">
        <f aca="false">SUMIFS(Trabalhos!$L$5:$L$504,Trabalhos!$B$5:$B$504,"&gt;="&amp;DATE($C$4,1,1),Trabalhos!$B$5:$B$504,"&lt;"&amp;DATE($C$4+1,1,1),Trabalhos!$E$5:$E$504,$B28)</f>
        <v>6720</v>
      </c>
      <c r="H28" s="14" t="n">
        <f aca="false">IF(C28=0,0,D28/C28)</f>
        <v>3850</v>
      </c>
      <c r="I28" s="13" t="n">
        <f aca="false">COUNTIFS(Orçamentos!$A$5:$A$504,"&gt;="&amp;DATE($C$4,1,1),Orçamentos!$A$5:$A$504,"&lt;"&amp;DATE($C$4+1,1,1),Orçamentos!$C$5:$C$504,$B28)</f>
        <v>3</v>
      </c>
      <c r="J28" s="25" t="n">
        <f aca="false">IF(I28=0,0,COUNTIFS(Orçamentos!$A$5:$A$504,"&gt;="&amp;DATE($C$4,1,1),Orçamentos!$A$5:$A$504,"&lt;"&amp;DATE($C$4+1,1,1),Orçamentos!$C$5:$C$504,$B28,Orçamentos!$F$5:$F$504,"Fechado")/I28)</f>
        <v>0.666666666666667</v>
      </c>
    </row>
    <row r="29" customFormat="false" ht="15" hidden="false" customHeight="false" outlineLevel="0" collapsed="false">
      <c r="B29" s="24" t="str">
        <f aca="false">Listas!$A$6</f>
        <v>Empresa</v>
      </c>
      <c r="C29" s="13" t="n">
        <f aca="false">COUNTIFS(Trabalhos!$B$5:$B$504,"&gt;="&amp;DATE($C$4,1,1),Trabalhos!$B$5:$B$504,"&lt;"&amp;DATE($C$4+1,1,1),Trabalhos!$E$5:$E$504,$B29)</f>
        <v>1</v>
      </c>
      <c r="D29" s="14" t="n">
        <f aca="false">SUMIFS(Trabalhos!$G$5:$G$504,Trabalhos!$B$5:$B$504,"&gt;="&amp;DATE($C$4,1,1),Trabalhos!$B$5:$B$504,"&lt;"&amp;DATE($C$4+1,1,1),Trabalhos!$E$5:$E$504,$B29)</f>
        <v>1800</v>
      </c>
      <c r="F29" s="14" t="n">
        <f aca="false">SUMIFS(Trabalhos!$J$5:$J$504,Trabalhos!$B$5:$B$504,"&gt;="&amp;DATE($C$4,1,1),Trabalhos!$B$5:$B$504,"&lt;"&amp;DATE($C$4+1,1,1),Trabalhos!$E$5:$E$504,$B29)</f>
        <v>250</v>
      </c>
      <c r="G29" s="14" t="n">
        <f aca="false">SUMIFS(Trabalhos!$L$5:$L$504,Trabalhos!$B$5:$B$504,"&gt;="&amp;DATE($C$4,1,1),Trabalhos!$B$5:$B$504,"&lt;"&amp;DATE($C$4+1,1,1),Trabalhos!$E$5:$E$504,$B29)</f>
        <v>1550</v>
      </c>
      <c r="H29" s="14" t="n">
        <f aca="false">IF(C29=0,0,D29/C29)</f>
        <v>1800</v>
      </c>
      <c r="I29" s="13" t="n">
        <f aca="false">COUNTIFS(Orçamentos!$A$5:$A$504,"&gt;="&amp;DATE($C$4,1,1),Orçamentos!$A$5:$A$504,"&lt;"&amp;DATE($C$4+1,1,1),Orçamentos!$C$5:$C$504,$B29)</f>
        <v>1</v>
      </c>
      <c r="J29" s="25" t="n">
        <f aca="false">IF(I29=0,0,COUNTIFS(Orçamentos!$A$5:$A$504,"&gt;="&amp;DATE($C$4,1,1),Orçamentos!$A$5:$A$504,"&lt;"&amp;DATE($C$4+1,1,1),Orçamentos!$C$5:$C$504,$B29,Orçamentos!$F$5:$F$504,"Fechado")/I29)</f>
        <v>1</v>
      </c>
    </row>
    <row r="30" customFormat="false" ht="15" hidden="false" customHeight="false" outlineLevel="0" collapsed="false">
      <c r="B30" s="24" t="str">
        <f aca="false">Listas!$A$7</f>
        <v>Aniversário</v>
      </c>
      <c r="C30" s="13" t="n">
        <f aca="false">COUNTIFS(Trabalhos!$B$5:$B$504,"&gt;="&amp;DATE($C$4,1,1),Trabalhos!$B$5:$B$504,"&lt;"&amp;DATE($C$4+1,1,1),Trabalhos!$E$5:$E$504,$B30)</f>
        <v>1</v>
      </c>
      <c r="D30" s="14" t="n">
        <f aca="false">SUMIFS(Trabalhos!$G$5:$G$504,Trabalhos!$B$5:$B$504,"&gt;="&amp;DATE($C$4,1,1),Trabalhos!$B$5:$B$504,"&lt;"&amp;DATE($C$4+1,1,1),Trabalhos!$E$5:$E$504,$B30)</f>
        <v>1200</v>
      </c>
      <c r="F30" s="14" t="n">
        <f aca="false">SUMIFS(Trabalhos!$J$5:$J$504,Trabalhos!$B$5:$B$504,"&gt;="&amp;DATE($C$4,1,1),Trabalhos!$B$5:$B$504,"&lt;"&amp;DATE($C$4+1,1,1),Trabalhos!$E$5:$E$504,$B30)</f>
        <v>0</v>
      </c>
      <c r="G30" s="14" t="n">
        <f aca="false">SUMIFS(Trabalhos!$L$5:$L$504,Trabalhos!$B$5:$B$504,"&gt;="&amp;DATE($C$4,1,1),Trabalhos!$B$5:$B$504,"&lt;"&amp;DATE($C$4+1,1,1),Trabalhos!$E$5:$E$504,$B30)</f>
        <v>1200</v>
      </c>
      <c r="H30" s="14" t="n">
        <f aca="false">IF(C30=0,0,D30/C30)</f>
        <v>1200</v>
      </c>
      <c r="I30" s="13" t="n">
        <f aca="false">COUNTIFS(Orçamentos!$A$5:$A$504,"&gt;="&amp;DATE($C$4,1,1),Orçamentos!$A$5:$A$504,"&lt;"&amp;DATE($C$4+1,1,1),Orçamentos!$C$5:$C$504,$B30)</f>
        <v>2</v>
      </c>
      <c r="J30" s="25" t="n">
        <f aca="false">IF(I30=0,0,COUNTIFS(Orçamentos!$A$5:$A$504,"&gt;="&amp;DATE($C$4,1,1),Orçamentos!$A$5:$A$504,"&lt;"&amp;DATE($C$4+1,1,1),Orçamentos!$C$5:$C$504,$B30,Orçamentos!$F$5:$F$504,"Fechado")/I30)</f>
        <v>0.5</v>
      </c>
    </row>
    <row r="31" customFormat="false" ht="15" hidden="false" customHeight="false" outlineLevel="0" collapsed="false">
      <c r="B31" s="24" t="str">
        <f aca="false">Listas!$A$8</f>
        <v>Chá revelação</v>
      </c>
      <c r="C31" s="13" t="n">
        <f aca="false">COUNTIFS(Trabalhos!$B$5:$B$504,"&gt;="&amp;DATE($C$4,1,1),Trabalhos!$B$5:$B$504,"&lt;"&amp;DATE($C$4+1,1,1),Trabalhos!$E$5:$E$504,$B31)</f>
        <v>1</v>
      </c>
      <c r="D31" s="14" t="n">
        <f aca="false">SUMIFS(Trabalhos!$G$5:$G$504,Trabalhos!$B$5:$B$504,"&gt;="&amp;DATE($C$4,1,1),Trabalhos!$B$5:$B$504,"&lt;"&amp;DATE($C$4+1,1,1),Trabalhos!$E$5:$E$504,$B31)</f>
        <v>900</v>
      </c>
      <c r="F31" s="14" t="n">
        <f aca="false">SUMIFS(Trabalhos!$J$5:$J$504,Trabalhos!$B$5:$B$504,"&gt;="&amp;DATE($C$4,1,1),Trabalhos!$B$5:$B$504,"&lt;"&amp;DATE($C$4+1,1,1),Trabalhos!$E$5:$E$504,$B31)</f>
        <v>0</v>
      </c>
      <c r="G31" s="14" t="n">
        <f aca="false">SUMIFS(Trabalhos!$L$5:$L$504,Trabalhos!$B$5:$B$504,"&gt;="&amp;DATE($C$4,1,1),Trabalhos!$B$5:$B$504,"&lt;"&amp;DATE($C$4+1,1,1),Trabalhos!$E$5:$E$504,$B31)</f>
        <v>860</v>
      </c>
      <c r="H31" s="14" t="n">
        <f aca="false">IF(C31=0,0,D31/C31)</f>
        <v>900</v>
      </c>
      <c r="I31" s="13" t="n">
        <f aca="false">COUNTIFS(Orçamentos!$A$5:$A$504,"&gt;="&amp;DATE($C$4,1,1),Orçamentos!$A$5:$A$504,"&lt;"&amp;DATE($C$4+1,1,1),Orçamentos!$C$5:$C$504,$B31)</f>
        <v>2</v>
      </c>
      <c r="J31" s="25" t="n">
        <f aca="false">IF(I31=0,0,COUNTIFS(Orçamentos!$A$5:$A$504,"&gt;="&amp;DATE($C$4,1,1),Orçamentos!$A$5:$A$504,"&lt;"&amp;DATE($C$4+1,1,1),Orçamentos!$C$5:$C$504,$B31,Orçamentos!$F$5:$F$504,"Fechado")/I31)</f>
        <v>0.5</v>
      </c>
    </row>
    <row r="32" customFormat="false" ht="15" hidden="false" customHeight="false" outlineLevel="0" collapsed="false">
      <c r="B32" s="24" t="str">
        <f aca="false">Listas!$A$9</f>
        <v>Outro</v>
      </c>
      <c r="C32" s="13" t="n">
        <f aca="false">COUNTIFS(Trabalhos!$B$5:$B$504,"&gt;="&amp;DATE($C$4,1,1),Trabalhos!$B$5:$B$504,"&lt;"&amp;DATE($C$4+1,1,1),Trabalhos!$E$5:$E$504,$B32)</f>
        <v>0</v>
      </c>
      <c r="D32" s="14" t="n">
        <f aca="false">SUMIFS(Trabalhos!$G$5:$G$504,Trabalhos!$B$5:$B$504,"&gt;="&amp;DATE($C$4,1,1),Trabalhos!$B$5:$B$504,"&lt;"&amp;DATE($C$4+1,1,1),Trabalhos!$E$5:$E$504,$B32)</f>
        <v>0</v>
      </c>
      <c r="F32" s="14" t="n">
        <f aca="false">SUMIFS(Trabalhos!$J$5:$J$504,Trabalhos!$B$5:$B$504,"&gt;="&amp;DATE($C$4,1,1),Trabalhos!$B$5:$B$504,"&lt;"&amp;DATE($C$4+1,1,1),Trabalhos!$E$5:$E$504,$B32)</f>
        <v>0</v>
      </c>
      <c r="G32" s="14" t="n">
        <f aca="false">SUMIFS(Trabalhos!$L$5:$L$504,Trabalhos!$B$5:$B$504,"&gt;="&amp;DATE($C$4,1,1),Trabalhos!$B$5:$B$504,"&lt;"&amp;DATE($C$4+1,1,1),Trabalhos!$E$5:$E$504,$B32)</f>
        <v>0</v>
      </c>
      <c r="H32" s="14" t="n">
        <f aca="false">IF(C32=0,0,D32/C32)</f>
        <v>0</v>
      </c>
      <c r="I32" s="13" t="n">
        <f aca="false">COUNTIFS(Orçamentos!$A$5:$A$504,"&gt;="&amp;DATE($C$4,1,1),Orçamentos!$A$5:$A$504,"&lt;"&amp;DATE($C$4+1,1,1),Orçamentos!$C$5:$C$504,$B32)</f>
        <v>0</v>
      </c>
      <c r="J32" s="25" t="n">
        <f aca="false">IF(I32=0,0,COUNTIFS(Orçamentos!$A$5:$A$504,"&gt;="&amp;DATE($C$4,1,1),Orçamentos!$A$5:$A$504,"&lt;"&amp;DATE($C$4+1,1,1),Orçamentos!$C$5:$C$504,$B32,Orçamentos!$F$5:$F$504,"Fechado")/I32)</f>
        <v>0</v>
      </c>
    </row>
    <row r="33" customFormat="false" ht="15" hidden="false" customHeight="false" outlineLevel="0" collapsed="false">
      <c r="B33" s="2" t="s">
        <v>86</v>
      </c>
    </row>
    <row r="35" customFormat="false" ht="15" hidden="false" customHeight="false" outlineLevel="0" collapsed="false">
      <c r="B35" s="22" t="s">
        <v>87</v>
      </c>
    </row>
    <row r="36" customFormat="false" ht="27.75" hidden="false" customHeight="true" outlineLevel="0" collapsed="false">
      <c r="B36" s="10" t="s">
        <v>88</v>
      </c>
      <c r="C36" s="10" t="s">
        <v>22</v>
      </c>
      <c r="D36" s="10" t="s">
        <v>89</v>
      </c>
    </row>
    <row r="37" customFormat="false" ht="15" hidden="false" customHeight="false" outlineLevel="0" collapsed="false">
      <c r="B37" s="24" t="str">
        <f aca="false">Listas!$F$5</f>
        <v>Instagram</v>
      </c>
      <c r="C37" s="13" t="n">
        <f aca="false">COUNTIF(Clientes!$E$5:$E$504,$B37)</f>
        <v>2</v>
      </c>
      <c r="D37" s="14" t="n">
        <f aca="false">SUMIFS(Clientes!$G$5:$G$504,Clientes!$E$5:$E$504,$B37)</f>
        <v>4400</v>
      </c>
    </row>
    <row r="38" customFormat="false" ht="15" hidden="false" customHeight="false" outlineLevel="0" collapsed="false">
      <c r="B38" s="24" t="str">
        <f aca="false">Listas!$F$6</f>
        <v>Indicação</v>
      </c>
      <c r="C38" s="13" t="n">
        <f aca="false">COUNTIF(Clientes!$E$5:$E$504,$B38)</f>
        <v>2</v>
      </c>
      <c r="D38" s="14" t="n">
        <f aca="false">SUMIFS(Clientes!$G$5:$G$504,Clientes!$E$5:$E$504,$B38)</f>
        <v>6000</v>
      </c>
    </row>
    <row r="39" customFormat="false" ht="15" hidden="false" customHeight="false" outlineLevel="0" collapsed="false">
      <c r="B39" s="24" t="str">
        <f aca="false">Listas!$F$7</f>
        <v>Site</v>
      </c>
      <c r="C39" s="13" t="n">
        <f aca="false">COUNTIF(Clientes!$E$5:$E$504,$B39)</f>
        <v>1</v>
      </c>
      <c r="D39" s="14" t="n">
        <f aca="false">SUMIFS(Clientes!$G$5:$G$504,Clientes!$E$5:$E$504,$B39)</f>
        <v>1200</v>
      </c>
    </row>
    <row r="40" customFormat="false" ht="15" hidden="false" customHeight="false" outlineLevel="0" collapsed="false">
      <c r="B40" s="24" t="str">
        <f aca="false">Listas!$F$8</f>
        <v>Google</v>
      </c>
      <c r="C40" s="13" t="n">
        <f aca="false">COUNTIF(Clientes!$E$5:$E$504,$B40)</f>
        <v>0</v>
      </c>
      <c r="D40" s="14" t="n">
        <f aca="false">SUMIFS(Clientes!$G$5:$G$504,Clientes!$E$5:$E$504,$B40)</f>
        <v>0</v>
      </c>
    </row>
    <row r="41" customFormat="false" ht="15" hidden="false" customHeight="false" outlineLevel="0" collapsed="false">
      <c r="B41" s="24" t="str">
        <f aca="false">Listas!$F$9</f>
        <v>WhatsApp</v>
      </c>
      <c r="C41" s="13" t="n">
        <f aca="false">COUNTIF(Clientes!$E$5:$E$504,$B41)</f>
        <v>0</v>
      </c>
      <c r="D41" s="14" t="n">
        <f aca="false">SUMIFS(Clientes!$G$5:$G$504,Clientes!$E$5:$E$504,$B41)</f>
        <v>0</v>
      </c>
    </row>
    <row r="42" customFormat="false" ht="15" hidden="false" customHeight="false" outlineLevel="0" collapsed="false">
      <c r="B42" s="24" t="str">
        <f aca="false">Listas!$F$10</f>
        <v>Evento</v>
      </c>
      <c r="C42" s="13" t="n">
        <f aca="false">COUNTIF(Clientes!$E$5:$E$504,$B42)</f>
        <v>0</v>
      </c>
      <c r="D42" s="14" t="n">
        <f aca="false">SUMIFS(Clientes!$G$5:$G$504,Clientes!$E$5:$E$504,$B42)</f>
        <v>0</v>
      </c>
    </row>
    <row r="43" customFormat="false" ht="15" hidden="false" customHeight="false" outlineLevel="0" collapsed="false">
      <c r="B43" s="24" t="str">
        <f aca="false">Listas!$F$11</f>
        <v>Outro</v>
      </c>
      <c r="C43" s="13" t="n">
        <f aca="false">COUNTIF(Clientes!$E$5:$E$504,$B43)</f>
        <v>0</v>
      </c>
      <c r="D43" s="14" t="n">
        <f aca="false">SUMIFS(Clientes!$G$5:$G$504,Clientes!$E$5:$E$504,$B43)</f>
        <v>0</v>
      </c>
    </row>
    <row r="45" customFormat="false" ht="15" hidden="false" customHeight="false" outlineLevel="0" collapsed="false">
      <c r="B45" s="22" t="s">
        <v>90</v>
      </c>
    </row>
  </sheetData>
  <mergeCells count="1">
    <mergeCell ref="B24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A85F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0" t="s">
        <v>93</v>
      </c>
      <c r="B4" s="10" t="s">
        <v>94</v>
      </c>
      <c r="C4" s="10" t="s">
        <v>95</v>
      </c>
      <c r="D4" s="10" t="s">
        <v>96</v>
      </c>
      <c r="E4" s="10" t="s">
        <v>97</v>
      </c>
      <c r="F4" s="10" t="s">
        <v>83</v>
      </c>
      <c r="G4" s="10" t="s">
        <v>98</v>
      </c>
      <c r="H4" s="10" t="s">
        <v>99</v>
      </c>
      <c r="I4" s="10" t="s">
        <v>56</v>
      </c>
    </row>
    <row r="5" customFormat="false" ht="15" hidden="false" customHeight="false" outlineLevel="0" collapsed="false">
      <c r="A5" s="26" t="n">
        <v>1</v>
      </c>
      <c r="B5" s="27" t="n">
        <f aca="false">IFERROR(INDEX(Trabalhos!$B$5:$B$504,MATCH($A5,Trabalhos!$O$5:$O$504,0)),"")</f>
        <v>46347</v>
      </c>
      <c r="C5" s="28" t="n">
        <f aca="true">IF(B5="","",B5-TODAY())</f>
        <v>39</v>
      </c>
      <c r="D5" s="29" t="n">
        <f aca="false">IFERROR(INDEX(Trabalhos!$C$5:$C$504,MATCH($A5,Trabalhos!$O$5:$O$504,0)),"")</f>
        <v>0.833333333333333</v>
      </c>
      <c r="E5" s="30" t="str">
        <f aca="false">IFERROR(INDEX(Trabalhos!$D$5:$D$504,MATCH($A5,Trabalhos!$O$5:$O$504,0)),"")</f>
        <v>Cliente Exemplo 3</v>
      </c>
      <c r="F5" s="30" t="str">
        <f aca="false">IFERROR(INDEX(Trabalhos!$E$5:$E$504,MATCH($A5,Trabalhos!$O$5:$O$504,0)),"")</f>
        <v>Aniversário</v>
      </c>
      <c r="G5" s="30" t="str">
        <f aca="false">IFERROR(INDEX(Trabalhos!$F$5:$F$504,MATCH($A5,Trabalhos!$O$5:$O$504,0)),"")</f>
        <v>Hortolândia</v>
      </c>
      <c r="H5" s="30" t="str">
        <f aca="false">IFERROR(INDEX(Trabalhos!$A$5:$A$504,MATCH($A5,Trabalhos!$O$5:$O$504,0)),"")</f>
        <v>T004</v>
      </c>
      <c r="I5" s="31" t="n">
        <f aca="false">IFERROR(INDEX(Trabalhos!$I$5:$I$504,MATCH($A5,Trabalhos!$O$5:$O$504,0)),"")</f>
        <v>600</v>
      </c>
    </row>
    <row r="6" customFormat="false" ht="15" hidden="false" customHeight="false" outlineLevel="0" collapsed="false">
      <c r="A6" s="26" t="n">
        <v>2</v>
      </c>
      <c r="B6" s="27" t="n">
        <f aca="false">IFERROR(INDEX(Trabalhos!$B$5:$B$504,MATCH($A6,Trabalhos!$O$5:$O$504,0)),"")</f>
        <v>46361</v>
      </c>
      <c r="C6" s="28" t="n">
        <f aca="true">IF(B6="","",B6-TODAY())</f>
        <v>53</v>
      </c>
      <c r="D6" s="29" t="n">
        <f aca="false">IFERROR(INDEX(Trabalhos!$C$5:$C$504,MATCH($A6,Trabalhos!$O$5:$O$504,0)),"")</f>
        <v>0.708333333333333</v>
      </c>
      <c r="E6" s="30" t="str">
        <f aca="false">IFERROR(INDEX(Trabalhos!$D$5:$D$504,MATCH($A6,Trabalhos!$O$5:$O$504,0)),"")</f>
        <v>Cliente Exemplo 4</v>
      </c>
      <c r="F6" s="30" t="str">
        <f aca="false">IFERROR(INDEX(Trabalhos!$E$5:$E$504,MATCH($A6,Trabalhos!$O$5:$O$504,0)),"")</f>
        <v>Casamento</v>
      </c>
      <c r="G6" s="30" t="str">
        <f aca="false">IFERROR(INDEX(Trabalhos!$F$5:$F$504,MATCH($A6,Trabalhos!$O$5:$O$504,0)),"")</f>
        <v>Indaiatuba</v>
      </c>
      <c r="H6" s="30" t="str">
        <f aca="false">IFERROR(INDEX(Trabalhos!$A$5:$A$504,MATCH($A6,Trabalhos!$O$5:$O$504,0)),"")</f>
        <v>T005</v>
      </c>
      <c r="I6" s="31" t="n">
        <f aca="false">IFERROR(INDEX(Trabalhos!$I$5:$I$504,MATCH($A6,Trabalhos!$O$5:$O$504,0)),"")</f>
        <v>2100</v>
      </c>
    </row>
    <row r="7" customFormat="false" ht="15" hidden="false" customHeight="false" outlineLevel="0" collapsed="false">
      <c r="A7" s="26" t="n">
        <v>3</v>
      </c>
      <c r="B7" s="27" t="str">
        <f aca="false">IFERROR(INDEX(Trabalhos!$B$5:$B$504,MATCH($A7,Trabalhos!$O$5:$O$504,0)),"")</f>
        <v/>
      </c>
      <c r="C7" s="28" t="str">
        <f aca="true">IF(B7="","",B7-TODAY())</f>
        <v/>
      </c>
      <c r="D7" s="29" t="str">
        <f aca="false">IFERROR(INDEX(Trabalhos!$C$5:$C$504,MATCH($A7,Trabalhos!$O$5:$O$504,0)),"")</f>
        <v/>
      </c>
      <c r="E7" s="30" t="str">
        <f aca="false">IFERROR(INDEX(Trabalhos!$D$5:$D$504,MATCH($A7,Trabalhos!$O$5:$O$504,0)),"")</f>
        <v/>
      </c>
      <c r="F7" s="30" t="str">
        <f aca="false">IFERROR(INDEX(Trabalhos!$E$5:$E$504,MATCH($A7,Trabalhos!$O$5:$O$504,0)),"")</f>
        <v/>
      </c>
      <c r="G7" s="30" t="str">
        <f aca="false">IFERROR(INDEX(Trabalhos!$F$5:$F$504,MATCH($A7,Trabalhos!$O$5:$O$504,0)),"")</f>
        <v/>
      </c>
      <c r="H7" s="30" t="str">
        <f aca="false">IFERROR(INDEX(Trabalhos!$A$5:$A$504,MATCH($A7,Trabalhos!$O$5:$O$504,0)),"")</f>
        <v/>
      </c>
      <c r="I7" s="31" t="str">
        <f aca="false">IFERROR(INDEX(Trabalhos!$I$5:$I$504,MATCH($A7,Trabalhos!$O$5:$O$504,0)),"")</f>
        <v/>
      </c>
    </row>
    <row r="8" customFormat="false" ht="15" hidden="false" customHeight="false" outlineLevel="0" collapsed="false">
      <c r="A8" s="26" t="n">
        <v>4</v>
      </c>
      <c r="B8" s="27" t="str">
        <f aca="false">IFERROR(INDEX(Trabalhos!$B$5:$B$504,MATCH($A8,Trabalhos!$O$5:$O$504,0)),"")</f>
        <v/>
      </c>
      <c r="C8" s="28" t="str">
        <f aca="true">IF(B8="","",B8-TODAY())</f>
        <v/>
      </c>
      <c r="D8" s="29" t="str">
        <f aca="false">IFERROR(INDEX(Trabalhos!$C$5:$C$504,MATCH($A8,Trabalhos!$O$5:$O$504,0)),"")</f>
        <v/>
      </c>
      <c r="E8" s="30" t="str">
        <f aca="false">IFERROR(INDEX(Trabalhos!$D$5:$D$504,MATCH($A8,Trabalhos!$O$5:$O$504,0)),"")</f>
        <v/>
      </c>
      <c r="F8" s="30" t="str">
        <f aca="false">IFERROR(INDEX(Trabalhos!$E$5:$E$504,MATCH($A8,Trabalhos!$O$5:$O$504,0)),"")</f>
        <v/>
      </c>
      <c r="G8" s="30" t="str">
        <f aca="false">IFERROR(INDEX(Trabalhos!$F$5:$F$504,MATCH($A8,Trabalhos!$O$5:$O$504,0)),"")</f>
        <v/>
      </c>
      <c r="H8" s="30" t="str">
        <f aca="false">IFERROR(INDEX(Trabalhos!$A$5:$A$504,MATCH($A8,Trabalhos!$O$5:$O$504,0)),"")</f>
        <v/>
      </c>
      <c r="I8" s="31" t="str">
        <f aca="false">IFERROR(INDEX(Trabalhos!$I$5:$I$504,MATCH($A8,Trabalhos!$O$5:$O$504,0)),"")</f>
        <v/>
      </c>
    </row>
    <row r="9" customFormat="false" ht="15" hidden="false" customHeight="false" outlineLevel="0" collapsed="false">
      <c r="A9" s="26" t="n">
        <v>5</v>
      </c>
      <c r="B9" s="27" t="str">
        <f aca="false">IFERROR(INDEX(Trabalhos!$B$5:$B$504,MATCH($A9,Trabalhos!$O$5:$O$504,0)),"")</f>
        <v/>
      </c>
      <c r="C9" s="28" t="str">
        <f aca="true">IF(B9="","",B9-TODAY())</f>
        <v/>
      </c>
      <c r="D9" s="29" t="str">
        <f aca="false">IFERROR(INDEX(Trabalhos!$C$5:$C$504,MATCH($A9,Trabalhos!$O$5:$O$504,0)),"")</f>
        <v/>
      </c>
      <c r="E9" s="30" t="str">
        <f aca="false">IFERROR(INDEX(Trabalhos!$D$5:$D$504,MATCH($A9,Trabalhos!$O$5:$O$504,0)),"")</f>
        <v/>
      </c>
      <c r="F9" s="30" t="str">
        <f aca="false">IFERROR(INDEX(Trabalhos!$E$5:$E$504,MATCH($A9,Trabalhos!$O$5:$O$504,0)),"")</f>
        <v/>
      </c>
      <c r="G9" s="30" t="str">
        <f aca="false">IFERROR(INDEX(Trabalhos!$F$5:$F$504,MATCH($A9,Trabalhos!$O$5:$O$504,0)),"")</f>
        <v/>
      </c>
      <c r="H9" s="30" t="str">
        <f aca="false">IFERROR(INDEX(Trabalhos!$A$5:$A$504,MATCH($A9,Trabalhos!$O$5:$O$504,0)),"")</f>
        <v/>
      </c>
      <c r="I9" s="31" t="str">
        <f aca="false">IFERROR(INDEX(Trabalhos!$I$5:$I$504,MATCH($A9,Trabalhos!$O$5:$O$504,0)),"")</f>
        <v/>
      </c>
    </row>
    <row r="10" customFormat="false" ht="15" hidden="false" customHeight="false" outlineLevel="0" collapsed="false">
      <c r="A10" s="26" t="n">
        <v>6</v>
      </c>
      <c r="B10" s="27" t="str">
        <f aca="false">IFERROR(INDEX(Trabalhos!$B$5:$B$504,MATCH($A10,Trabalhos!$O$5:$O$504,0)),"")</f>
        <v/>
      </c>
      <c r="C10" s="28" t="str">
        <f aca="true">IF(B10="","",B10-TODAY())</f>
        <v/>
      </c>
      <c r="D10" s="29" t="str">
        <f aca="false">IFERROR(INDEX(Trabalhos!$C$5:$C$504,MATCH($A10,Trabalhos!$O$5:$O$504,0)),"")</f>
        <v/>
      </c>
      <c r="E10" s="30" t="str">
        <f aca="false">IFERROR(INDEX(Trabalhos!$D$5:$D$504,MATCH($A10,Trabalhos!$O$5:$O$504,0)),"")</f>
        <v/>
      </c>
      <c r="F10" s="30" t="str">
        <f aca="false">IFERROR(INDEX(Trabalhos!$E$5:$E$504,MATCH($A10,Trabalhos!$O$5:$O$504,0)),"")</f>
        <v/>
      </c>
      <c r="G10" s="30" t="str">
        <f aca="false">IFERROR(INDEX(Trabalhos!$F$5:$F$504,MATCH($A10,Trabalhos!$O$5:$O$504,0)),"")</f>
        <v/>
      </c>
      <c r="H10" s="30" t="str">
        <f aca="false">IFERROR(INDEX(Trabalhos!$A$5:$A$504,MATCH($A10,Trabalhos!$O$5:$O$504,0)),"")</f>
        <v/>
      </c>
      <c r="I10" s="31" t="str">
        <f aca="false">IFERROR(INDEX(Trabalhos!$I$5:$I$504,MATCH($A10,Trabalhos!$O$5:$O$504,0)),"")</f>
        <v/>
      </c>
    </row>
    <row r="11" customFormat="false" ht="15" hidden="false" customHeight="false" outlineLevel="0" collapsed="false">
      <c r="A11" s="26" t="n">
        <v>7</v>
      </c>
      <c r="B11" s="27" t="str">
        <f aca="false">IFERROR(INDEX(Trabalhos!$B$5:$B$504,MATCH($A11,Trabalhos!$O$5:$O$504,0)),"")</f>
        <v/>
      </c>
      <c r="C11" s="28" t="str">
        <f aca="true">IF(B11="","",B11-TODAY())</f>
        <v/>
      </c>
      <c r="D11" s="29" t="str">
        <f aca="false">IFERROR(INDEX(Trabalhos!$C$5:$C$504,MATCH($A11,Trabalhos!$O$5:$O$504,0)),"")</f>
        <v/>
      </c>
      <c r="E11" s="30" t="str">
        <f aca="false">IFERROR(INDEX(Trabalhos!$D$5:$D$504,MATCH($A11,Trabalhos!$O$5:$O$504,0)),"")</f>
        <v/>
      </c>
      <c r="F11" s="30" t="str">
        <f aca="false">IFERROR(INDEX(Trabalhos!$E$5:$E$504,MATCH($A11,Trabalhos!$O$5:$O$504,0)),"")</f>
        <v/>
      </c>
      <c r="G11" s="30" t="str">
        <f aca="false">IFERROR(INDEX(Trabalhos!$F$5:$F$504,MATCH($A11,Trabalhos!$O$5:$O$504,0)),"")</f>
        <v/>
      </c>
      <c r="H11" s="30" t="str">
        <f aca="false">IFERROR(INDEX(Trabalhos!$A$5:$A$504,MATCH($A11,Trabalhos!$O$5:$O$504,0)),"")</f>
        <v/>
      </c>
      <c r="I11" s="31" t="str">
        <f aca="false">IFERROR(INDEX(Trabalhos!$I$5:$I$504,MATCH($A11,Trabalhos!$O$5:$O$504,0)),"")</f>
        <v/>
      </c>
    </row>
    <row r="12" customFormat="false" ht="15" hidden="false" customHeight="false" outlineLevel="0" collapsed="false">
      <c r="A12" s="26" t="n">
        <v>8</v>
      </c>
      <c r="B12" s="27" t="str">
        <f aca="false">IFERROR(INDEX(Trabalhos!$B$5:$B$504,MATCH($A12,Trabalhos!$O$5:$O$504,0)),"")</f>
        <v/>
      </c>
      <c r="C12" s="28" t="str">
        <f aca="true">IF(B12="","",B12-TODAY())</f>
        <v/>
      </c>
      <c r="D12" s="29" t="str">
        <f aca="false">IFERROR(INDEX(Trabalhos!$C$5:$C$504,MATCH($A12,Trabalhos!$O$5:$O$504,0)),"")</f>
        <v/>
      </c>
      <c r="E12" s="30" t="str">
        <f aca="false">IFERROR(INDEX(Trabalhos!$D$5:$D$504,MATCH($A12,Trabalhos!$O$5:$O$504,0)),"")</f>
        <v/>
      </c>
      <c r="F12" s="30" t="str">
        <f aca="false">IFERROR(INDEX(Trabalhos!$E$5:$E$504,MATCH($A12,Trabalhos!$O$5:$O$504,0)),"")</f>
        <v/>
      </c>
      <c r="G12" s="30" t="str">
        <f aca="false">IFERROR(INDEX(Trabalhos!$F$5:$F$504,MATCH($A12,Trabalhos!$O$5:$O$504,0)),"")</f>
        <v/>
      </c>
      <c r="H12" s="30" t="str">
        <f aca="false">IFERROR(INDEX(Trabalhos!$A$5:$A$504,MATCH($A12,Trabalhos!$O$5:$O$504,0)),"")</f>
        <v/>
      </c>
      <c r="I12" s="31" t="str">
        <f aca="false">IFERROR(INDEX(Trabalhos!$I$5:$I$504,MATCH($A12,Trabalhos!$O$5:$O$504,0)),"")</f>
        <v/>
      </c>
    </row>
    <row r="13" customFormat="false" ht="15" hidden="false" customHeight="false" outlineLevel="0" collapsed="false">
      <c r="A13" s="26" t="n">
        <v>9</v>
      </c>
      <c r="B13" s="27" t="str">
        <f aca="false">IFERROR(INDEX(Trabalhos!$B$5:$B$504,MATCH($A13,Trabalhos!$O$5:$O$504,0)),"")</f>
        <v/>
      </c>
      <c r="C13" s="28" t="str">
        <f aca="true">IF(B13="","",B13-TODAY())</f>
        <v/>
      </c>
      <c r="D13" s="29" t="str">
        <f aca="false">IFERROR(INDEX(Trabalhos!$C$5:$C$504,MATCH($A13,Trabalhos!$O$5:$O$504,0)),"")</f>
        <v/>
      </c>
      <c r="E13" s="30" t="str">
        <f aca="false">IFERROR(INDEX(Trabalhos!$D$5:$D$504,MATCH($A13,Trabalhos!$O$5:$O$504,0)),"")</f>
        <v/>
      </c>
      <c r="F13" s="30" t="str">
        <f aca="false">IFERROR(INDEX(Trabalhos!$E$5:$E$504,MATCH($A13,Trabalhos!$O$5:$O$504,0)),"")</f>
        <v/>
      </c>
      <c r="G13" s="30" t="str">
        <f aca="false">IFERROR(INDEX(Trabalhos!$F$5:$F$504,MATCH($A13,Trabalhos!$O$5:$O$504,0)),"")</f>
        <v/>
      </c>
      <c r="H13" s="30" t="str">
        <f aca="false">IFERROR(INDEX(Trabalhos!$A$5:$A$504,MATCH($A13,Trabalhos!$O$5:$O$504,0)),"")</f>
        <v/>
      </c>
      <c r="I13" s="31" t="str">
        <f aca="false">IFERROR(INDEX(Trabalhos!$I$5:$I$504,MATCH($A13,Trabalhos!$O$5:$O$504,0)),"")</f>
        <v/>
      </c>
    </row>
    <row r="14" customFormat="false" ht="15" hidden="false" customHeight="false" outlineLevel="0" collapsed="false">
      <c r="A14" s="26" t="n">
        <v>10</v>
      </c>
      <c r="B14" s="27" t="str">
        <f aca="false">IFERROR(INDEX(Trabalhos!$B$5:$B$504,MATCH($A14,Trabalhos!$O$5:$O$504,0)),"")</f>
        <v/>
      </c>
      <c r="C14" s="28" t="str">
        <f aca="true">IF(B14="","",B14-TODAY())</f>
        <v/>
      </c>
      <c r="D14" s="29" t="str">
        <f aca="false">IFERROR(INDEX(Trabalhos!$C$5:$C$504,MATCH($A14,Trabalhos!$O$5:$O$504,0)),"")</f>
        <v/>
      </c>
      <c r="E14" s="30" t="str">
        <f aca="false">IFERROR(INDEX(Trabalhos!$D$5:$D$504,MATCH($A14,Trabalhos!$O$5:$O$504,0)),"")</f>
        <v/>
      </c>
      <c r="F14" s="30" t="str">
        <f aca="false">IFERROR(INDEX(Trabalhos!$E$5:$E$504,MATCH($A14,Trabalhos!$O$5:$O$504,0)),"")</f>
        <v/>
      </c>
      <c r="G14" s="30" t="str">
        <f aca="false">IFERROR(INDEX(Trabalhos!$F$5:$F$504,MATCH($A14,Trabalhos!$O$5:$O$504,0)),"")</f>
        <v/>
      </c>
      <c r="H14" s="30" t="str">
        <f aca="false">IFERROR(INDEX(Trabalhos!$A$5:$A$504,MATCH($A14,Trabalhos!$O$5:$O$504,0)),"")</f>
        <v/>
      </c>
      <c r="I14" s="31" t="str">
        <f aca="false">IFERROR(INDEX(Trabalhos!$I$5:$I$504,MATCH($A14,Trabalhos!$O$5:$O$504,0)),"")</f>
        <v/>
      </c>
    </row>
    <row r="15" customFormat="false" ht="15" hidden="false" customHeight="false" outlineLevel="0" collapsed="false">
      <c r="A15" s="26" t="n">
        <v>11</v>
      </c>
      <c r="B15" s="27" t="str">
        <f aca="false">IFERROR(INDEX(Trabalhos!$B$5:$B$504,MATCH($A15,Trabalhos!$O$5:$O$504,0)),"")</f>
        <v/>
      </c>
      <c r="C15" s="28" t="str">
        <f aca="true">IF(B15="","",B15-TODAY())</f>
        <v/>
      </c>
      <c r="D15" s="29" t="str">
        <f aca="false">IFERROR(INDEX(Trabalhos!$C$5:$C$504,MATCH($A15,Trabalhos!$O$5:$O$504,0)),"")</f>
        <v/>
      </c>
      <c r="E15" s="30" t="str">
        <f aca="false">IFERROR(INDEX(Trabalhos!$D$5:$D$504,MATCH($A15,Trabalhos!$O$5:$O$504,0)),"")</f>
        <v/>
      </c>
      <c r="F15" s="30" t="str">
        <f aca="false">IFERROR(INDEX(Trabalhos!$E$5:$E$504,MATCH($A15,Trabalhos!$O$5:$O$504,0)),"")</f>
        <v/>
      </c>
      <c r="G15" s="30" t="str">
        <f aca="false">IFERROR(INDEX(Trabalhos!$F$5:$F$504,MATCH($A15,Trabalhos!$O$5:$O$504,0)),"")</f>
        <v/>
      </c>
      <c r="H15" s="30" t="str">
        <f aca="false">IFERROR(INDEX(Trabalhos!$A$5:$A$504,MATCH($A15,Trabalhos!$O$5:$O$504,0)),"")</f>
        <v/>
      </c>
      <c r="I15" s="31" t="str">
        <f aca="false">IFERROR(INDEX(Trabalhos!$I$5:$I$504,MATCH($A15,Trabalhos!$O$5:$O$504,0)),"")</f>
        <v/>
      </c>
    </row>
    <row r="16" customFormat="false" ht="15" hidden="false" customHeight="false" outlineLevel="0" collapsed="false">
      <c r="A16" s="26" t="n">
        <v>12</v>
      </c>
      <c r="B16" s="27" t="str">
        <f aca="false">IFERROR(INDEX(Trabalhos!$B$5:$B$504,MATCH($A16,Trabalhos!$O$5:$O$504,0)),"")</f>
        <v/>
      </c>
      <c r="C16" s="28" t="str">
        <f aca="true">IF(B16="","",B16-TODAY())</f>
        <v/>
      </c>
      <c r="D16" s="29" t="str">
        <f aca="false">IFERROR(INDEX(Trabalhos!$C$5:$C$504,MATCH($A16,Trabalhos!$O$5:$O$504,0)),"")</f>
        <v/>
      </c>
      <c r="E16" s="30" t="str">
        <f aca="false">IFERROR(INDEX(Trabalhos!$D$5:$D$504,MATCH($A16,Trabalhos!$O$5:$O$504,0)),"")</f>
        <v/>
      </c>
      <c r="F16" s="30" t="str">
        <f aca="false">IFERROR(INDEX(Trabalhos!$E$5:$E$504,MATCH($A16,Trabalhos!$O$5:$O$504,0)),"")</f>
        <v/>
      </c>
      <c r="G16" s="30" t="str">
        <f aca="false">IFERROR(INDEX(Trabalhos!$F$5:$F$504,MATCH($A16,Trabalhos!$O$5:$O$504,0)),"")</f>
        <v/>
      </c>
      <c r="H16" s="30" t="str">
        <f aca="false">IFERROR(INDEX(Trabalhos!$A$5:$A$504,MATCH($A16,Trabalhos!$O$5:$O$504,0)),"")</f>
        <v/>
      </c>
      <c r="I16" s="31" t="str">
        <f aca="false">IFERROR(INDEX(Trabalhos!$I$5:$I$504,MATCH($A16,Trabalhos!$O$5:$O$504,0)),"")</f>
        <v/>
      </c>
    </row>
    <row r="17" customFormat="false" ht="15" hidden="false" customHeight="false" outlineLevel="0" collapsed="false">
      <c r="A17" s="26" t="n">
        <v>13</v>
      </c>
      <c r="B17" s="27" t="str">
        <f aca="false">IFERROR(INDEX(Trabalhos!$B$5:$B$504,MATCH($A17,Trabalhos!$O$5:$O$504,0)),"")</f>
        <v/>
      </c>
      <c r="C17" s="28" t="str">
        <f aca="true">IF(B17="","",B17-TODAY())</f>
        <v/>
      </c>
      <c r="D17" s="29" t="str">
        <f aca="false">IFERROR(INDEX(Trabalhos!$C$5:$C$504,MATCH($A17,Trabalhos!$O$5:$O$504,0)),"")</f>
        <v/>
      </c>
      <c r="E17" s="30" t="str">
        <f aca="false">IFERROR(INDEX(Trabalhos!$D$5:$D$504,MATCH($A17,Trabalhos!$O$5:$O$504,0)),"")</f>
        <v/>
      </c>
      <c r="F17" s="30" t="str">
        <f aca="false">IFERROR(INDEX(Trabalhos!$E$5:$E$504,MATCH($A17,Trabalhos!$O$5:$O$504,0)),"")</f>
        <v/>
      </c>
      <c r="G17" s="30" t="str">
        <f aca="false">IFERROR(INDEX(Trabalhos!$F$5:$F$504,MATCH($A17,Trabalhos!$O$5:$O$504,0)),"")</f>
        <v/>
      </c>
      <c r="H17" s="30" t="str">
        <f aca="false">IFERROR(INDEX(Trabalhos!$A$5:$A$504,MATCH($A17,Trabalhos!$O$5:$O$504,0)),"")</f>
        <v/>
      </c>
      <c r="I17" s="31" t="str">
        <f aca="false">IFERROR(INDEX(Trabalhos!$I$5:$I$504,MATCH($A17,Trabalhos!$O$5:$O$504,0)),"")</f>
        <v/>
      </c>
    </row>
    <row r="18" customFormat="false" ht="15" hidden="false" customHeight="false" outlineLevel="0" collapsed="false">
      <c r="A18" s="26" t="n">
        <v>14</v>
      </c>
      <c r="B18" s="27" t="str">
        <f aca="false">IFERROR(INDEX(Trabalhos!$B$5:$B$504,MATCH($A18,Trabalhos!$O$5:$O$504,0)),"")</f>
        <v/>
      </c>
      <c r="C18" s="28" t="str">
        <f aca="true">IF(B18="","",B18-TODAY())</f>
        <v/>
      </c>
      <c r="D18" s="29" t="str">
        <f aca="false">IFERROR(INDEX(Trabalhos!$C$5:$C$504,MATCH($A18,Trabalhos!$O$5:$O$504,0)),"")</f>
        <v/>
      </c>
      <c r="E18" s="30" t="str">
        <f aca="false">IFERROR(INDEX(Trabalhos!$D$5:$D$504,MATCH($A18,Trabalhos!$O$5:$O$504,0)),"")</f>
        <v/>
      </c>
      <c r="F18" s="30" t="str">
        <f aca="false">IFERROR(INDEX(Trabalhos!$E$5:$E$504,MATCH($A18,Trabalhos!$O$5:$O$504,0)),"")</f>
        <v/>
      </c>
      <c r="G18" s="30" t="str">
        <f aca="false">IFERROR(INDEX(Trabalhos!$F$5:$F$504,MATCH($A18,Trabalhos!$O$5:$O$504,0)),"")</f>
        <v/>
      </c>
      <c r="H18" s="30" t="str">
        <f aca="false">IFERROR(INDEX(Trabalhos!$A$5:$A$504,MATCH($A18,Trabalhos!$O$5:$O$504,0)),"")</f>
        <v/>
      </c>
      <c r="I18" s="31" t="str">
        <f aca="false">IFERROR(INDEX(Trabalhos!$I$5:$I$504,MATCH($A18,Trabalhos!$O$5:$O$504,0)),"")</f>
        <v/>
      </c>
    </row>
    <row r="19" customFormat="false" ht="15" hidden="false" customHeight="false" outlineLevel="0" collapsed="false">
      <c r="A19" s="26" t="n">
        <v>15</v>
      </c>
      <c r="B19" s="27" t="str">
        <f aca="false">IFERROR(INDEX(Trabalhos!$B$5:$B$504,MATCH($A19,Trabalhos!$O$5:$O$504,0)),"")</f>
        <v/>
      </c>
      <c r="C19" s="28" t="str">
        <f aca="true">IF(B19="","",B19-TODAY())</f>
        <v/>
      </c>
      <c r="D19" s="29" t="str">
        <f aca="false">IFERROR(INDEX(Trabalhos!$C$5:$C$504,MATCH($A19,Trabalhos!$O$5:$O$504,0)),"")</f>
        <v/>
      </c>
      <c r="E19" s="30" t="str">
        <f aca="false">IFERROR(INDEX(Trabalhos!$D$5:$D$504,MATCH($A19,Trabalhos!$O$5:$O$504,0)),"")</f>
        <v/>
      </c>
      <c r="F19" s="30" t="str">
        <f aca="false">IFERROR(INDEX(Trabalhos!$E$5:$E$504,MATCH($A19,Trabalhos!$O$5:$O$504,0)),"")</f>
        <v/>
      </c>
      <c r="G19" s="30" t="str">
        <f aca="false">IFERROR(INDEX(Trabalhos!$F$5:$F$504,MATCH($A19,Trabalhos!$O$5:$O$504,0)),"")</f>
        <v/>
      </c>
      <c r="H19" s="30" t="str">
        <f aca="false">IFERROR(INDEX(Trabalhos!$A$5:$A$504,MATCH($A19,Trabalhos!$O$5:$O$504,0)),"")</f>
        <v/>
      </c>
      <c r="I19" s="31" t="str">
        <f aca="false">IFERROR(INDEX(Trabalhos!$I$5:$I$504,MATCH($A19,Trabalhos!$O$5:$O$504,0)),"")</f>
        <v/>
      </c>
    </row>
    <row r="20" customFormat="false" ht="15" hidden="false" customHeight="false" outlineLevel="0" collapsed="false">
      <c r="A20" s="26" t="n">
        <v>16</v>
      </c>
      <c r="B20" s="27" t="str">
        <f aca="false">IFERROR(INDEX(Trabalhos!$B$5:$B$504,MATCH($A20,Trabalhos!$O$5:$O$504,0)),"")</f>
        <v/>
      </c>
      <c r="C20" s="28" t="str">
        <f aca="true">IF(B20="","",B20-TODAY())</f>
        <v/>
      </c>
      <c r="D20" s="29" t="str">
        <f aca="false">IFERROR(INDEX(Trabalhos!$C$5:$C$504,MATCH($A20,Trabalhos!$O$5:$O$504,0)),"")</f>
        <v/>
      </c>
      <c r="E20" s="30" t="str">
        <f aca="false">IFERROR(INDEX(Trabalhos!$D$5:$D$504,MATCH($A20,Trabalhos!$O$5:$O$504,0)),"")</f>
        <v/>
      </c>
      <c r="F20" s="30" t="str">
        <f aca="false">IFERROR(INDEX(Trabalhos!$E$5:$E$504,MATCH($A20,Trabalhos!$O$5:$O$504,0)),"")</f>
        <v/>
      </c>
      <c r="G20" s="30" t="str">
        <f aca="false">IFERROR(INDEX(Trabalhos!$F$5:$F$504,MATCH($A20,Trabalhos!$O$5:$O$504,0)),"")</f>
        <v/>
      </c>
      <c r="H20" s="30" t="str">
        <f aca="false">IFERROR(INDEX(Trabalhos!$A$5:$A$504,MATCH($A20,Trabalhos!$O$5:$O$504,0)),"")</f>
        <v/>
      </c>
      <c r="I20" s="31" t="str">
        <f aca="false">IFERROR(INDEX(Trabalhos!$I$5:$I$504,MATCH($A20,Trabalhos!$O$5:$O$504,0)),"")</f>
        <v/>
      </c>
    </row>
    <row r="21" customFormat="false" ht="15" hidden="false" customHeight="false" outlineLevel="0" collapsed="false">
      <c r="A21" s="26" t="n">
        <v>17</v>
      </c>
      <c r="B21" s="27" t="str">
        <f aca="false">IFERROR(INDEX(Trabalhos!$B$5:$B$504,MATCH($A21,Trabalhos!$O$5:$O$504,0)),"")</f>
        <v/>
      </c>
      <c r="C21" s="28" t="str">
        <f aca="true">IF(B21="","",B21-TODAY())</f>
        <v/>
      </c>
      <c r="D21" s="29" t="str">
        <f aca="false">IFERROR(INDEX(Trabalhos!$C$5:$C$504,MATCH($A21,Trabalhos!$O$5:$O$504,0)),"")</f>
        <v/>
      </c>
      <c r="E21" s="30" t="str">
        <f aca="false">IFERROR(INDEX(Trabalhos!$D$5:$D$504,MATCH($A21,Trabalhos!$O$5:$O$504,0)),"")</f>
        <v/>
      </c>
      <c r="F21" s="30" t="str">
        <f aca="false">IFERROR(INDEX(Trabalhos!$E$5:$E$504,MATCH($A21,Trabalhos!$O$5:$O$504,0)),"")</f>
        <v/>
      </c>
      <c r="G21" s="30" t="str">
        <f aca="false">IFERROR(INDEX(Trabalhos!$F$5:$F$504,MATCH($A21,Trabalhos!$O$5:$O$504,0)),"")</f>
        <v/>
      </c>
      <c r="H21" s="30" t="str">
        <f aca="false">IFERROR(INDEX(Trabalhos!$A$5:$A$504,MATCH($A21,Trabalhos!$O$5:$O$504,0)),"")</f>
        <v/>
      </c>
      <c r="I21" s="31" t="str">
        <f aca="false">IFERROR(INDEX(Trabalhos!$I$5:$I$504,MATCH($A21,Trabalhos!$O$5:$O$504,0)),"")</f>
        <v/>
      </c>
    </row>
    <row r="22" customFormat="false" ht="15" hidden="false" customHeight="false" outlineLevel="0" collapsed="false">
      <c r="A22" s="26" t="n">
        <v>18</v>
      </c>
      <c r="B22" s="27" t="str">
        <f aca="false">IFERROR(INDEX(Trabalhos!$B$5:$B$504,MATCH($A22,Trabalhos!$O$5:$O$504,0)),"")</f>
        <v/>
      </c>
      <c r="C22" s="28" t="str">
        <f aca="true">IF(B22="","",B22-TODAY())</f>
        <v/>
      </c>
      <c r="D22" s="29" t="str">
        <f aca="false">IFERROR(INDEX(Trabalhos!$C$5:$C$504,MATCH($A22,Trabalhos!$O$5:$O$504,0)),"")</f>
        <v/>
      </c>
      <c r="E22" s="30" t="str">
        <f aca="false">IFERROR(INDEX(Trabalhos!$D$5:$D$504,MATCH($A22,Trabalhos!$O$5:$O$504,0)),"")</f>
        <v/>
      </c>
      <c r="F22" s="30" t="str">
        <f aca="false">IFERROR(INDEX(Trabalhos!$E$5:$E$504,MATCH($A22,Trabalhos!$O$5:$O$504,0)),"")</f>
        <v/>
      </c>
      <c r="G22" s="30" t="str">
        <f aca="false">IFERROR(INDEX(Trabalhos!$F$5:$F$504,MATCH($A22,Trabalhos!$O$5:$O$504,0)),"")</f>
        <v/>
      </c>
      <c r="H22" s="30" t="str">
        <f aca="false">IFERROR(INDEX(Trabalhos!$A$5:$A$504,MATCH($A22,Trabalhos!$O$5:$O$504,0)),"")</f>
        <v/>
      </c>
      <c r="I22" s="31" t="str">
        <f aca="false">IFERROR(INDEX(Trabalhos!$I$5:$I$504,MATCH($A22,Trabalhos!$O$5:$O$504,0)),"")</f>
        <v/>
      </c>
    </row>
    <row r="23" customFormat="false" ht="15" hidden="false" customHeight="false" outlineLevel="0" collapsed="false">
      <c r="A23" s="26" t="n">
        <v>19</v>
      </c>
      <c r="B23" s="27" t="str">
        <f aca="false">IFERROR(INDEX(Trabalhos!$B$5:$B$504,MATCH($A23,Trabalhos!$O$5:$O$504,0)),"")</f>
        <v/>
      </c>
      <c r="C23" s="28" t="str">
        <f aca="true">IF(B23="","",B23-TODAY())</f>
        <v/>
      </c>
      <c r="D23" s="29" t="str">
        <f aca="false">IFERROR(INDEX(Trabalhos!$C$5:$C$504,MATCH($A23,Trabalhos!$O$5:$O$504,0)),"")</f>
        <v/>
      </c>
      <c r="E23" s="30" t="str">
        <f aca="false">IFERROR(INDEX(Trabalhos!$D$5:$D$504,MATCH($A23,Trabalhos!$O$5:$O$504,0)),"")</f>
        <v/>
      </c>
      <c r="F23" s="30" t="str">
        <f aca="false">IFERROR(INDEX(Trabalhos!$E$5:$E$504,MATCH($A23,Trabalhos!$O$5:$O$504,0)),"")</f>
        <v/>
      </c>
      <c r="G23" s="30" t="str">
        <f aca="false">IFERROR(INDEX(Trabalhos!$F$5:$F$504,MATCH($A23,Trabalhos!$O$5:$O$504,0)),"")</f>
        <v/>
      </c>
      <c r="H23" s="30" t="str">
        <f aca="false">IFERROR(INDEX(Trabalhos!$A$5:$A$504,MATCH($A23,Trabalhos!$O$5:$O$504,0)),"")</f>
        <v/>
      </c>
      <c r="I23" s="31" t="str">
        <f aca="false">IFERROR(INDEX(Trabalhos!$I$5:$I$504,MATCH($A23,Trabalhos!$O$5:$O$504,0)),"")</f>
        <v/>
      </c>
    </row>
    <row r="24" customFormat="false" ht="15" hidden="false" customHeight="false" outlineLevel="0" collapsed="false">
      <c r="A24" s="26" t="n">
        <v>20</v>
      </c>
      <c r="B24" s="27" t="str">
        <f aca="false">IFERROR(INDEX(Trabalhos!$B$5:$B$504,MATCH($A24,Trabalhos!$O$5:$O$504,0)),"")</f>
        <v/>
      </c>
      <c r="C24" s="28" t="str">
        <f aca="true">IF(B24="","",B24-TODAY())</f>
        <v/>
      </c>
      <c r="D24" s="29" t="str">
        <f aca="false">IFERROR(INDEX(Trabalhos!$C$5:$C$504,MATCH($A24,Trabalhos!$O$5:$O$504,0)),"")</f>
        <v/>
      </c>
      <c r="E24" s="30" t="str">
        <f aca="false">IFERROR(INDEX(Trabalhos!$D$5:$D$504,MATCH($A24,Trabalhos!$O$5:$O$504,0)),"")</f>
        <v/>
      </c>
      <c r="F24" s="30" t="str">
        <f aca="false">IFERROR(INDEX(Trabalhos!$E$5:$E$504,MATCH($A24,Trabalhos!$O$5:$O$504,0)),"")</f>
        <v/>
      </c>
      <c r="G24" s="30" t="str">
        <f aca="false">IFERROR(INDEX(Trabalhos!$F$5:$F$504,MATCH($A24,Trabalhos!$O$5:$O$504,0)),"")</f>
        <v/>
      </c>
      <c r="H24" s="30" t="str">
        <f aca="false">IFERROR(INDEX(Trabalhos!$A$5:$A$504,MATCH($A24,Trabalhos!$O$5:$O$504,0)),"")</f>
        <v/>
      </c>
      <c r="I24" s="31" t="str">
        <f aca="false">IFERROR(INDEX(Trabalhos!$I$5:$I$504,MATCH($A24,Trabalhos!$O$5:$O$504,0)),"")</f>
        <v/>
      </c>
    </row>
    <row r="25" customFormat="false" ht="15" hidden="false" customHeight="false" outlineLevel="0" collapsed="false">
      <c r="A25" s="26" t="n">
        <v>21</v>
      </c>
      <c r="B25" s="27" t="str">
        <f aca="false">IFERROR(INDEX(Trabalhos!$B$5:$B$504,MATCH($A25,Trabalhos!$O$5:$O$504,0)),"")</f>
        <v/>
      </c>
      <c r="C25" s="28" t="str">
        <f aca="true">IF(B25="","",B25-TODAY())</f>
        <v/>
      </c>
      <c r="D25" s="29" t="str">
        <f aca="false">IFERROR(INDEX(Trabalhos!$C$5:$C$504,MATCH($A25,Trabalhos!$O$5:$O$504,0)),"")</f>
        <v/>
      </c>
      <c r="E25" s="30" t="str">
        <f aca="false">IFERROR(INDEX(Trabalhos!$D$5:$D$504,MATCH($A25,Trabalhos!$O$5:$O$504,0)),"")</f>
        <v/>
      </c>
      <c r="F25" s="30" t="str">
        <f aca="false">IFERROR(INDEX(Trabalhos!$E$5:$E$504,MATCH($A25,Trabalhos!$O$5:$O$504,0)),"")</f>
        <v/>
      </c>
      <c r="G25" s="30" t="str">
        <f aca="false">IFERROR(INDEX(Trabalhos!$F$5:$F$504,MATCH($A25,Trabalhos!$O$5:$O$504,0)),"")</f>
        <v/>
      </c>
      <c r="H25" s="30" t="str">
        <f aca="false">IFERROR(INDEX(Trabalhos!$A$5:$A$504,MATCH($A25,Trabalhos!$O$5:$O$504,0)),"")</f>
        <v/>
      </c>
      <c r="I25" s="31" t="str">
        <f aca="false">IFERROR(INDEX(Trabalhos!$I$5:$I$504,MATCH($A25,Trabalhos!$O$5:$O$504,0)),"")</f>
        <v/>
      </c>
    </row>
    <row r="26" customFormat="false" ht="15" hidden="false" customHeight="false" outlineLevel="0" collapsed="false">
      <c r="A26" s="26" t="n">
        <v>22</v>
      </c>
      <c r="B26" s="27" t="str">
        <f aca="false">IFERROR(INDEX(Trabalhos!$B$5:$B$504,MATCH($A26,Trabalhos!$O$5:$O$504,0)),"")</f>
        <v/>
      </c>
      <c r="C26" s="28" t="str">
        <f aca="true">IF(B26="","",B26-TODAY())</f>
        <v/>
      </c>
      <c r="D26" s="29" t="str">
        <f aca="false">IFERROR(INDEX(Trabalhos!$C$5:$C$504,MATCH($A26,Trabalhos!$O$5:$O$504,0)),"")</f>
        <v/>
      </c>
      <c r="E26" s="30" t="str">
        <f aca="false">IFERROR(INDEX(Trabalhos!$D$5:$D$504,MATCH($A26,Trabalhos!$O$5:$O$504,0)),"")</f>
        <v/>
      </c>
      <c r="F26" s="30" t="str">
        <f aca="false">IFERROR(INDEX(Trabalhos!$E$5:$E$504,MATCH($A26,Trabalhos!$O$5:$O$504,0)),"")</f>
        <v/>
      </c>
      <c r="G26" s="30" t="str">
        <f aca="false">IFERROR(INDEX(Trabalhos!$F$5:$F$504,MATCH($A26,Trabalhos!$O$5:$O$504,0)),"")</f>
        <v/>
      </c>
      <c r="H26" s="30" t="str">
        <f aca="false">IFERROR(INDEX(Trabalhos!$A$5:$A$504,MATCH($A26,Trabalhos!$O$5:$O$504,0)),"")</f>
        <v/>
      </c>
      <c r="I26" s="31" t="str">
        <f aca="false">IFERROR(INDEX(Trabalhos!$I$5:$I$504,MATCH($A26,Trabalhos!$O$5:$O$504,0)),"")</f>
        <v/>
      </c>
    </row>
    <row r="27" customFormat="false" ht="15" hidden="false" customHeight="false" outlineLevel="0" collapsed="false">
      <c r="A27" s="26" t="n">
        <v>23</v>
      </c>
      <c r="B27" s="27" t="str">
        <f aca="false">IFERROR(INDEX(Trabalhos!$B$5:$B$504,MATCH($A27,Trabalhos!$O$5:$O$504,0)),"")</f>
        <v/>
      </c>
      <c r="C27" s="28" t="str">
        <f aca="true">IF(B27="","",B27-TODAY())</f>
        <v/>
      </c>
      <c r="D27" s="29" t="str">
        <f aca="false">IFERROR(INDEX(Trabalhos!$C$5:$C$504,MATCH($A27,Trabalhos!$O$5:$O$504,0)),"")</f>
        <v/>
      </c>
      <c r="E27" s="30" t="str">
        <f aca="false">IFERROR(INDEX(Trabalhos!$D$5:$D$504,MATCH($A27,Trabalhos!$O$5:$O$504,0)),"")</f>
        <v/>
      </c>
      <c r="F27" s="30" t="str">
        <f aca="false">IFERROR(INDEX(Trabalhos!$E$5:$E$504,MATCH($A27,Trabalhos!$O$5:$O$504,0)),"")</f>
        <v/>
      </c>
      <c r="G27" s="30" t="str">
        <f aca="false">IFERROR(INDEX(Trabalhos!$F$5:$F$504,MATCH($A27,Trabalhos!$O$5:$O$504,0)),"")</f>
        <v/>
      </c>
      <c r="H27" s="30" t="str">
        <f aca="false">IFERROR(INDEX(Trabalhos!$A$5:$A$504,MATCH($A27,Trabalhos!$O$5:$O$504,0)),"")</f>
        <v/>
      </c>
      <c r="I27" s="31" t="str">
        <f aca="false">IFERROR(INDEX(Trabalhos!$I$5:$I$504,MATCH($A27,Trabalhos!$O$5:$O$504,0)),"")</f>
        <v/>
      </c>
    </row>
    <row r="28" customFormat="false" ht="15" hidden="false" customHeight="false" outlineLevel="0" collapsed="false">
      <c r="A28" s="26" t="n">
        <v>24</v>
      </c>
      <c r="B28" s="27" t="str">
        <f aca="false">IFERROR(INDEX(Trabalhos!$B$5:$B$504,MATCH($A28,Trabalhos!$O$5:$O$504,0)),"")</f>
        <v/>
      </c>
      <c r="C28" s="28" t="str">
        <f aca="true">IF(B28="","",B28-TODAY())</f>
        <v/>
      </c>
      <c r="D28" s="29" t="str">
        <f aca="false">IFERROR(INDEX(Trabalhos!$C$5:$C$504,MATCH($A28,Trabalhos!$O$5:$O$504,0)),"")</f>
        <v/>
      </c>
      <c r="E28" s="30" t="str">
        <f aca="false">IFERROR(INDEX(Trabalhos!$D$5:$D$504,MATCH($A28,Trabalhos!$O$5:$O$504,0)),"")</f>
        <v/>
      </c>
      <c r="F28" s="30" t="str">
        <f aca="false">IFERROR(INDEX(Trabalhos!$E$5:$E$504,MATCH($A28,Trabalhos!$O$5:$O$504,0)),"")</f>
        <v/>
      </c>
      <c r="G28" s="30" t="str">
        <f aca="false">IFERROR(INDEX(Trabalhos!$F$5:$F$504,MATCH($A28,Trabalhos!$O$5:$O$504,0)),"")</f>
        <v/>
      </c>
      <c r="H28" s="30" t="str">
        <f aca="false">IFERROR(INDEX(Trabalhos!$A$5:$A$504,MATCH($A28,Trabalhos!$O$5:$O$504,0)),"")</f>
        <v/>
      </c>
      <c r="I28" s="31" t="str">
        <f aca="false">IFERROR(INDEX(Trabalhos!$I$5:$I$504,MATCH($A28,Trabalhos!$O$5:$O$504,0)),"")</f>
        <v/>
      </c>
    </row>
    <row r="29" customFormat="false" ht="15" hidden="false" customHeight="false" outlineLevel="0" collapsed="false">
      <c r="A29" s="26" t="n">
        <v>25</v>
      </c>
      <c r="B29" s="27" t="str">
        <f aca="false">IFERROR(INDEX(Trabalhos!$B$5:$B$504,MATCH($A29,Trabalhos!$O$5:$O$504,0)),"")</f>
        <v/>
      </c>
      <c r="C29" s="28" t="str">
        <f aca="true">IF(B29="","",B29-TODAY())</f>
        <v/>
      </c>
      <c r="D29" s="29" t="str">
        <f aca="false">IFERROR(INDEX(Trabalhos!$C$5:$C$504,MATCH($A29,Trabalhos!$O$5:$O$504,0)),"")</f>
        <v/>
      </c>
      <c r="E29" s="30" t="str">
        <f aca="false">IFERROR(INDEX(Trabalhos!$D$5:$D$504,MATCH($A29,Trabalhos!$O$5:$O$504,0)),"")</f>
        <v/>
      </c>
      <c r="F29" s="30" t="str">
        <f aca="false">IFERROR(INDEX(Trabalhos!$E$5:$E$504,MATCH($A29,Trabalhos!$O$5:$O$504,0)),"")</f>
        <v/>
      </c>
      <c r="G29" s="30" t="str">
        <f aca="false">IFERROR(INDEX(Trabalhos!$F$5:$F$504,MATCH($A29,Trabalhos!$O$5:$O$504,0)),"")</f>
        <v/>
      </c>
      <c r="H29" s="30" t="str">
        <f aca="false">IFERROR(INDEX(Trabalhos!$A$5:$A$504,MATCH($A29,Trabalhos!$O$5:$O$504,0)),"")</f>
        <v/>
      </c>
      <c r="I29" s="31" t="str">
        <f aca="false">IFERROR(INDEX(Trabalhos!$I$5:$I$504,MATCH($A29,Trabalhos!$O$5:$O$504,0)),"")</f>
        <v/>
      </c>
    </row>
    <row r="30" customFormat="false" ht="15" hidden="false" customHeight="false" outlineLevel="0" collapsed="false">
      <c r="A30" s="26" t="n">
        <v>26</v>
      </c>
      <c r="B30" s="27" t="str">
        <f aca="false">IFERROR(INDEX(Trabalhos!$B$5:$B$504,MATCH($A30,Trabalhos!$O$5:$O$504,0)),"")</f>
        <v/>
      </c>
      <c r="C30" s="28" t="str">
        <f aca="true">IF(B30="","",B30-TODAY())</f>
        <v/>
      </c>
      <c r="D30" s="29" t="str">
        <f aca="false">IFERROR(INDEX(Trabalhos!$C$5:$C$504,MATCH($A30,Trabalhos!$O$5:$O$504,0)),"")</f>
        <v/>
      </c>
      <c r="E30" s="30" t="str">
        <f aca="false">IFERROR(INDEX(Trabalhos!$D$5:$D$504,MATCH($A30,Trabalhos!$O$5:$O$504,0)),"")</f>
        <v/>
      </c>
      <c r="F30" s="30" t="str">
        <f aca="false">IFERROR(INDEX(Trabalhos!$E$5:$E$504,MATCH($A30,Trabalhos!$O$5:$O$504,0)),"")</f>
        <v/>
      </c>
      <c r="G30" s="30" t="str">
        <f aca="false">IFERROR(INDEX(Trabalhos!$F$5:$F$504,MATCH($A30,Trabalhos!$O$5:$O$504,0)),"")</f>
        <v/>
      </c>
      <c r="H30" s="30" t="str">
        <f aca="false">IFERROR(INDEX(Trabalhos!$A$5:$A$504,MATCH($A30,Trabalhos!$O$5:$O$504,0)),"")</f>
        <v/>
      </c>
      <c r="I30" s="31" t="str">
        <f aca="false">IFERROR(INDEX(Trabalhos!$I$5:$I$504,MATCH($A30,Trabalhos!$O$5:$O$504,0)),"")</f>
        <v/>
      </c>
    </row>
    <row r="31" customFormat="false" ht="15" hidden="false" customHeight="false" outlineLevel="0" collapsed="false">
      <c r="A31" s="26" t="n">
        <v>27</v>
      </c>
      <c r="B31" s="27" t="str">
        <f aca="false">IFERROR(INDEX(Trabalhos!$B$5:$B$504,MATCH($A31,Trabalhos!$O$5:$O$504,0)),"")</f>
        <v/>
      </c>
      <c r="C31" s="28" t="str">
        <f aca="true">IF(B31="","",B31-TODAY())</f>
        <v/>
      </c>
      <c r="D31" s="29" t="str">
        <f aca="false">IFERROR(INDEX(Trabalhos!$C$5:$C$504,MATCH($A31,Trabalhos!$O$5:$O$504,0)),"")</f>
        <v/>
      </c>
      <c r="E31" s="30" t="str">
        <f aca="false">IFERROR(INDEX(Trabalhos!$D$5:$D$504,MATCH($A31,Trabalhos!$O$5:$O$504,0)),"")</f>
        <v/>
      </c>
      <c r="F31" s="30" t="str">
        <f aca="false">IFERROR(INDEX(Trabalhos!$E$5:$E$504,MATCH($A31,Trabalhos!$O$5:$O$504,0)),"")</f>
        <v/>
      </c>
      <c r="G31" s="30" t="str">
        <f aca="false">IFERROR(INDEX(Trabalhos!$F$5:$F$504,MATCH($A31,Trabalhos!$O$5:$O$504,0)),"")</f>
        <v/>
      </c>
      <c r="H31" s="30" t="str">
        <f aca="false">IFERROR(INDEX(Trabalhos!$A$5:$A$504,MATCH($A31,Trabalhos!$O$5:$O$504,0)),"")</f>
        <v/>
      </c>
      <c r="I31" s="31" t="str">
        <f aca="false">IFERROR(INDEX(Trabalhos!$I$5:$I$504,MATCH($A31,Trabalhos!$O$5:$O$504,0)),"")</f>
        <v/>
      </c>
    </row>
    <row r="32" customFormat="false" ht="15" hidden="false" customHeight="false" outlineLevel="0" collapsed="false">
      <c r="A32" s="26" t="n">
        <v>28</v>
      </c>
      <c r="B32" s="27" t="str">
        <f aca="false">IFERROR(INDEX(Trabalhos!$B$5:$B$504,MATCH($A32,Trabalhos!$O$5:$O$504,0)),"")</f>
        <v/>
      </c>
      <c r="C32" s="28" t="str">
        <f aca="true">IF(B32="","",B32-TODAY())</f>
        <v/>
      </c>
      <c r="D32" s="29" t="str">
        <f aca="false">IFERROR(INDEX(Trabalhos!$C$5:$C$504,MATCH($A32,Trabalhos!$O$5:$O$504,0)),"")</f>
        <v/>
      </c>
      <c r="E32" s="30" t="str">
        <f aca="false">IFERROR(INDEX(Trabalhos!$D$5:$D$504,MATCH($A32,Trabalhos!$O$5:$O$504,0)),"")</f>
        <v/>
      </c>
      <c r="F32" s="30" t="str">
        <f aca="false">IFERROR(INDEX(Trabalhos!$E$5:$E$504,MATCH($A32,Trabalhos!$O$5:$O$504,0)),"")</f>
        <v/>
      </c>
      <c r="G32" s="30" t="str">
        <f aca="false">IFERROR(INDEX(Trabalhos!$F$5:$F$504,MATCH($A32,Trabalhos!$O$5:$O$504,0)),"")</f>
        <v/>
      </c>
      <c r="H32" s="30" t="str">
        <f aca="false">IFERROR(INDEX(Trabalhos!$A$5:$A$504,MATCH($A32,Trabalhos!$O$5:$O$504,0)),"")</f>
        <v/>
      </c>
      <c r="I32" s="31" t="str">
        <f aca="false">IFERROR(INDEX(Trabalhos!$I$5:$I$504,MATCH($A32,Trabalhos!$O$5:$O$504,0)),"")</f>
        <v/>
      </c>
    </row>
    <row r="33" customFormat="false" ht="15" hidden="false" customHeight="false" outlineLevel="0" collapsed="false">
      <c r="A33" s="26" t="n">
        <v>29</v>
      </c>
      <c r="B33" s="27" t="str">
        <f aca="false">IFERROR(INDEX(Trabalhos!$B$5:$B$504,MATCH($A33,Trabalhos!$O$5:$O$504,0)),"")</f>
        <v/>
      </c>
      <c r="C33" s="28" t="str">
        <f aca="true">IF(B33="","",B33-TODAY())</f>
        <v/>
      </c>
      <c r="D33" s="29" t="str">
        <f aca="false">IFERROR(INDEX(Trabalhos!$C$5:$C$504,MATCH($A33,Trabalhos!$O$5:$O$504,0)),"")</f>
        <v/>
      </c>
      <c r="E33" s="30" t="str">
        <f aca="false">IFERROR(INDEX(Trabalhos!$D$5:$D$504,MATCH($A33,Trabalhos!$O$5:$O$504,0)),"")</f>
        <v/>
      </c>
      <c r="F33" s="30" t="str">
        <f aca="false">IFERROR(INDEX(Trabalhos!$E$5:$E$504,MATCH($A33,Trabalhos!$O$5:$O$504,0)),"")</f>
        <v/>
      </c>
      <c r="G33" s="30" t="str">
        <f aca="false">IFERROR(INDEX(Trabalhos!$F$5:$F$504,MATCH($A33,Trabalhos!$O$5:$O$504,0)),"")</f>
        <v/>
      </c>
      <c r="H33" s="30" t="str">
        <f aca="false">IFERROR(INDEX(Trabalhos!$A$5:$A$504,MATCH($A33,Trabalhos!$O$5:$O$504,0)),"")</f>
        <v/>
      </c>
      <c r="I33" s="31" t="str">
        <f aca="false">IFERROR(INDEX(Trabalhos!$I$5:$I$504,MATCH($A33,Trabalhos!$O$5:$O$504,0)),"")</f>
        <v/>
      </c>
    </row>
    <row r="34" customFormat="false" ht="15" hidden="false" customHeight="false" outlineLevel="0" collapsed="false">
      <c r="A34" s="26" t="n">
        <v>30</v>
      </c>
      <c r="B34" s="27" t="str">
        <f aca="false">IFERROR(INDEX(Trabalhos!$B$5:$B$504,MATCH($A34,Trabalhos!$O$5:$O$504,0)),"")</f>
        <v/>
      </c>
      <c r="C34" s="28" t="str">
        <f aca="true">IF(B34="","",B34-TODAY())</f>
        <v/>
      </c>
      <c r="D34" s="29" t="str">
        <f aca="false">IFERROR(INDEX(Trabalhos!$C$5:$C$504,MATCH($A34,Trabalhos!$O$5:$O$504,0)),"")</f>
        <v/>
      </c>
      <c r="E34" s="30" t="str">
        <f aca="false">IFERROR(INDEX(Trabalhos!$D$5:$D$504,MATCH($A34,Trabalhos!$O$5:$O$504,0)),"")</f>
        <v/>
      </c>
      <c r="F34" s="30" t="str">
        <f aca="false">IFERROR(INDEX(Trabalhos!$E$5:$E$504,MATCH($A34,Trabalhos!$O$5:$O$504,0)),"")</f>
        <v/>
      </c>
      <c r="G34" s="30" t="str">
        <f aca="false">IFERROR(INDEX(Trabalhos!$F$5:$F$504,MATCH($A34,Trabalhos!$O$5:$O$504,0)),"")</f>
        <v/>
      </c>
      <c r="H34" s="30" t="str">
        <f aca="false">IFERROR(INDEX(Trabalhos!$A$5:$A$504,MATCH($A34,Trabalhos!$O$5:$O$504,0)),"")</f>
        <v/>
      </c>
      <c r="I34" s="31" t="str">
        <f aca="false">IFERROR(INDEX(Trabalhos!$I$5:$I$504,MATCH($A34,Trabalhos!$O$5:$O$504,0)),"")</f>
        <v/>
      </c>
    </row>
    <row r="35" customFormat="false" ht="15" hidden="false" customHeight="false" outlineLevel="0" collapsed="false">
      <c r="A35" s="26" t="n">
        <v>31</v>
      </c>
      <c r="B35" s="27" t="str">
        <f aca="false">IFERROR(INDEX(Trabalhos!$B$5:$B$504,MATCH($A35,Trabalhos!$O$5:$O$504,0)),"")</f>
        <v/>
      </c>
      <c r="C35" s="28" t="str">
        <f aca="true">IF(B35="","",B35-TODAY())</f>
        <v/>
      </c>
      <c r="D35" s="29" t="str">
        <f aca="false">IFERROR(INDEX(Trabalhos!$C$5:$C$504,MATCH($A35,Trabalhos!$O$5:$O$504,0)),"")</f>
        <v/>
      </c>
      <c r="E35" s="30" t="str">
        <f aca="false">IFERROR(INDEX(Trabalhos!$D$5:$D$504,MATCH($A35,Trabalhos!$O$5:$O$504,0)),"")</f>
        <v/>
      </c>
      <c r="F35" s="30" t="str">
        <f aca="false">IFERROR(INDEX(Trabalhos!$E$5:$E$504,MATCH($A35,Trabalhos!$O$5:$O$504,0)),"")</f>
        <v/>
      </c>
      <c r="G35" s="30" t="str">
        <f aca="false">IFERROR(INDEX(Trabalhos!$F$5:$F$504,MATCH($A35,Trabalhos!$O$5:$O$504,0)),"")</f>
        <v/>
      </c>
      <c r="H35" s="30" t="str">
        <f aca="false">IFERROR(INDEX(Trabalhos!$A$5:$A$504,MATCH($A35,Trabalhos!$O$5:$O$504,0)),"")</f>
        <v/>
      </c>
      <c r="I35" s="31" t="str">
        <f aca="false">IFERROR(INDEX(Trabalhos!$I$5:$I$504,MATCH($A35,Trabalhos!$O$5:$O$504,0)),"")</f>
        <v/>
      </c>
    </row>
    <row r="36" customFormat="false" ht="15" hidden="false" customHeight="false" outlineLevel="0" collapsed="false">
      <c r="A36" s="26" t="n">
        <v>32</v>
      </c>
      <c r="B36" s="27" t="str">
        <f aca="false">IFERROR(INDEX(Trabalhos!$B$5:$B$504,MATCH($A36,Trabalhos!$O$5:$O$504,0)),"")</f>
        <v/>
      </c>
      <c r="C36" s="28" t="str">
        <f aca="true">IF(B36="","",B36-TODAY())</f>
        <v/>
      </c>
      <c r="D36" s="29" t="str">
        <f aca="false">IFERROR(INDEX(Trabalhos!$C$5:$C$504,MATCH($A36,Trabalhos!$O$5:$O$504,0)),"")</f>
        <v/>
      </c>
      <c r="E36" s="30" t="str">
        <f aca="false">IFERROR(INDEX(Trabalhos!$D$5:$D$504,MATCH($A36,Trabalhos!$O$5:$O$504,0)),"")</f>
        <v/>
      </c>
      <c r="F36" s="30" t="str">
        <f aca="false">IFERROR(INDEX(Trabalhos!$E$5:$E$504,MATCH($A36,Trabalhos!$O$5:$O$504,0)),"")</f>
        <v/>
      </c>
      <c r="G36" s="30" t="str">
        <f aca="false">IFERROR(INDEX(Trabalhos!$F$5:$F$504,MATCH($A36,Trabalhos!$O$5:$O$504,0)),"")</f>
        <v/>
      </c>
      <c r="H36" s="30" t="str">
        <f aca="false">IFERROR(INDEX(Trabalhos!$A$5:$A$504,MATCH($A36,Trabalhos!$O$5:$O$504,0)),"")</f>
        <v/>
      </c>
      <c r="I36" s="31" t="str">
        <f aca="false">IFERROR(INDEX(Trabalhos!$I$5:$I$504,MATCH($A36,Trabalhos!$O$5:$O$504,0)),"")</f>
        <v/>
      </c>
    </row>
    <row r="37" customFormat="false" ht="15" hidden="false" customHeight="false" outlineLevel="0" collapsed="false">
      <c r="A37" s="26" t="n">
        <v>33</v>
      </c>
      <c r="B37" s="27" t="str">
        <f aca="false">IFERROR(INDEX(Trabalhos!$B$5:$B$504,MATCH($A37,Trabalhos!$O$5:$O$504,0)),"")</f>
        <v/>
      </c>
      <c r="C37" s="28" t="str">
        <f aca="true">IF(B37="","",B37-TODAY())</f>
        <v/>
      </c>
      <c r="D37" s="29" t="str">
        <f aca="false">IFERROR(INDEX(Trabalhos!$C$5:$C$504,MATCH($A37,Trabalhos!$O$5:$O$504,0)),"")</f>
        <v/>
      </c>
      <c r="E37" s="30" t="str">
        <f aca="false">IFERROR(INDEX(Trabalhos!$D$5:$D$504,MATCH($A37,Trabalhos!$O$5:$O$504,0)),"")</f>
        <v/>
      </c>
      <c r="F37" s="30" t="str">
        <f aca="false">IFERROR(INDEX(Trabalhos!$E$5:$E$504,MATCH($A37,Trabalhos!$O$5:$O$504,0)),"")</f>
        <v/>
      </c>
      <c r="G37" s="30" t="str">
        <f aca="false">IFERROR(INDEX(Trabalhos!$F$5:$F$504,MATCH($A37,Trabalhos!$O$5:$O$504,0)),"")</f>
        <v/>
      </c>
      <c r="H37" s="30" t="str">
        <f aca="false">IFERROR(INDEX(Trabalhos!$A$5:$A$504,MATCH($A37,Trabalhos!$O$5:$O$504,0)),"")</f>
        <v/>
      </c>
      <c r="I37" s="31" t="str">
        <f aca="false">IFERROR(INDEX(Trabalhos!$I$5:$I$504,MATCH($A37,Trabalhos!$O$5:$O$504,0)),"")</f>
        <v/>
      </c>
    </row>
    <row r="38" customFormat="false" ht="15" hidden="false" customHeight="false" outlineLevel="0" collapsed="false">
      <c r="A38" s="26" t="n">
        <v>34</v>
      </c>
      <c r="B38" s="27" t="str">
        <f aca="false">IFERROR(INDEX(Trabalhos!$B$5:$B$504,MATCH($A38,Trabalhos!$O$5:$O$504,0)),"")</f>
        <v/>
      </c>
      <c r="C38" s="28" t="str">
        <f aca="true">IF(B38="","",B38-TODAY())</f>
        <v/>
      </c>
      <c r="D38" s="29" t="str">
        <f aca="false">IFERROR(INDEX(Trabalhos!$C$5:$C$504,MATCH($A38,Trabalhos!$O$5:$O$504,0)),"")</f>
        <v/>
      </c>
      <c r="E38" s="30" t="str">
        <f aca="false">IFERROR(INDEX(Trabalhos!$D$5:$D$504,MATCH($A38,Trabalhos!$O$5:$O$504,0)),"")</f>
        <v/>
      </c>
      <c r="F38" s="30" t="str">
        <f aca="false">IFERROR(INDEX(Trabalhos!$E$5:$E$504,MATCH($A38,Trabalhos!$O$5:$O$504,0)),"")</f>
        <v/>
      </c>
      <c r="G38" s="30" t="str">
        <f aca="false">IFERROR(INDEX(Trabalhos!$F$5:$F$504,MATCH($A38,Trabalhos!$O$5:$O$504,0)),"")</f>
        <v/>
      </c>
      <c r="H38" s="30" t="str">
        <f aca="false">IFERROR(INDEX(Trabalhos!$A$5:$A$504,MATCH($A38,Trabalhos!$O$5:$O$504,0)),"")</f>
        <v/>
      </c>
      <c r="I38" s="31" t="str">
        <f aca="false">IFERROR(INDEX(Trabalhos!$I$5:$I$504,MATCH($A38,Trabalhos!$O$5:$O$504,0)),"")</f>
        <v/>
      </c>
    </row>
    <row r="39" customFormat="false" ht="15" hidden="false" customHeight="false" outlineLevel="0" collapsed="false">
      <c r="A39" s="26" t="n">
        <v>35</v>
      </c>
      <c r="B39" s="27" t="str">
        <f aca="false">IFERROR(INDEX(Trabalhos!$B$5:$B$504,MATCH($A39,Trabalhos!$O$5:$O$504,0)),"")</f>
        <v/>
      </c>
      <c r="C39" s="28" t="str">
        <f aca="true">IF(B39="","",B39-TODAY())</f>
        <v/>
      </c>
      <c r="D39" s="29" t="str">
        <f aca="false">IFERROR(INDEX(Trabalhos!$C$5:$C$504,MATCH($A39,Trabalhos!$O$5:$O$504,0)),"")</f>
        <v/>
      </c>
      <c r="E39" s="30" t="str">
        <f aca="false">IFERROR(INDEX(Trabalhos!$D$5:$D$504,MATCH($A39,Trabalhos!$O$5:$O$504,0)),"")</f>
        <v/>
      </c>
      <c r="F39" s="30" t="str">
        <f aca="false">IFERROR(INDEX(Trabalhos!$E$5:$E$504,MATCH($A39,Trabalhos!$O$5:$O$504,0)),"")</f>
        <v/>
      </c>
      <c r="G39" s="30" t="str">
        <f aca="false">IFERROR(INDEX(Trabalhos!$F$5:$F$504,MATCH($A39,Trabalhos!$O$5:$O$504,0)),"")</f>
        <v/>
      </c>
      <c r="H39" s="30" t="str">
        <f aca="false">IFERROR(INDEX(Trabalhos!$A$5:$A$504,MATCH($A39,Trabalhos!$O$5:$O$504,0)),"")</f>
        <v/>
      </c>
      <c r="I39" s="31" t="str">
        <f aca="false">IFERROR(INDEX(Trabalhos!$I$5:$I$504,MATCH($A39,Trabalhos!$O$5:$O$504,0)),"")</f>
        <v/>
      </c>
    </row>
    <row r="40" customFormat="false" ht="15" hidden="false" customHeight="false" outlineLevel="0" collapsed="false">
      <c r="A40" s="26" t="n">
        <v>36</v>
      </c>
      <c r="B40" s="27" t="str">
        <f aca="false">IFERROR(INDEX(Trabalhos!$B$5:$B$504,MATCH($A40,Trabalhos!$O$5:$O$504,0)),"")</f>
        <v/>
      </c>
      <c r="C40" s="28" t="str">
        <f aca="true">IF(B40="","",B40-TODAY())</f>
        <v/>
      </c>
      <c r="D40" s="29" t="str">
        <f aca="false">IFERROR(INDEX(Trabalhos!$C$5:$C$504,MATCH($A40,Trabalhos!$O$5:$O$504,0)),"")</f>
        <v/>
      </c>
      <c r="E40" s="30" t="str">
        <f aca="false">IFERROR(INDEX(Trabalhos!$D$5:$D$504,MATCH($A40,Trabalhos!$O$5:$O$504,0)),"")</f>
        <v/>
      </c>
      <c r="F40" s="30" t="str">
        <f aca="false">IFERROR(INDEX(Trabalhos!$E$5:$E$504,MATCH($A40,Trabalhos!$O$5:$O$504,0)),"")</f>
        <v/>
      </c>
      <c r="G40" s="30" t="str">
        <f aca="false">IFERROR(INDEX(Trabalhos!$F$5:$F$504,MATCH($A40,Trabalhos!$O$5:$O$504,0)),"")</f>
        <v/>
      </c>
      <c r="H40" s="30" t="str">
        <f aca="false">IFERROR(INDEX(Trabalhos!$A$5:$A$504,MATCH($A40,Trabalhos!$O$5:$O$504,0)),"")</f>
        <v/>
      </c>
      <c r="I40" s="31" t="str">
        <f aca="false">IFERROR(INDEX(Trabalhos!$I$5:$I$504,MATCH($A40,Trabalhos!$O$5:$O$504,0)),"")</f>
        <v/>
      </c>
    </row>
    <row r="41" customFormat="false" ht="15" hidden="false" customHeight="false" outlineLevel="0" collapsed="false">
      <c r="A41" s="26" t="n">
        <v>37</v>
      </c>
      <c r="B41" s="27" t="str">
        <f aca="false">IFERROR(INDEX(Trabalhos!$B$5:$B$504,MATCH($A41,Trabalhos!$O$5:$O$504,0)),"")</f>
        <v/>
      </c>
      <c r="C41" s="28" t="str">
        <f aca="true">IF(B41="","",B41-TODAY())</f>
        <v/>
      </c>
      <c r="D41" s="29" t="str">
        <f aca="false">IFERROR(INDEX(Trabalhos!$C$5:$C$504,MATCH($A41,Trabalhos!$O$5:$O$504,0)),"")</f>
        <v/>
      </c>
      <c r="E41" s="30" t="str">
        <f aca="false">IFERROR(INDEX(Trabalhos!$D$5:$D$504,MATCH($A41,Trabalhos!$O$5:$O$504,0)),"")</f>
        <v/>
      </c>
      <c r="F41" s="30" t="str">
        <f aca="false">IFERROR(INDEX(Trabalhos!$E$5:$E$504,MATCH($A41,Trabalhos!$O$5:$O$504,0)),"")</f>
        <v/>
      </c>
      <c r="G41" s="30" t="str">
        <f aca="false">IFERROR(INDEX(Trabalhos!$F$5:$F$504,MATCH($A41,Trabalhos!$O$5:$O$504,0)),"")</f>
        <v/>
      </c>
      <c r="H41" s="30" t="str">
        <f aca="false">IFERROR(INDEX(Trabalhos!$A$5:$A$504,MATCH($A41,Trabalhos!$O$5:$O$504,0)),"")</f>
        <v/>
      </c>
      <c r="I41" s="31" t="str">
        <f aca="false">IFERROR(INDEX(Trabalhos!$I$5:$I$504,MATCH($A41,Trabalhos!$O$5:$O$504,0)),"")</f>
        <v/>
      </c>
    </row>
    <row r="42" customFormat="false" ht="15" hidden="false" customHeight="false" outlineLevel="0" collapsed="false">
      <c r="A42" s="26" t="n">
        <v>38</v>
      </c>
      <c r="B42" s="27" t="str">
        <f aca="false">IFERROR(INDEX(Trabalhos!$B$5:$B$504,MATCH($A42,Trabalhos!$O$5:$O$504,0)),"")</f>
        <v/>
      </c>
      <c r="C42" s="28" t="str">
        <f aca="true">IF(B42="","",B42-TODAY())</f>
        <v/>
      </c>
      <c r="D42" s="29" t="str">
        <f aca="false">IFERROR(INDEX(Trabalhos!$C$5:$C$504,MATCH($A42,Trabalhos!$O$5:$O$504,0)),"")</f>
        <v/>
      </c>
      <c r="E42" s="30" t="str">
        <f aca="false">IFERROR(INDEX(Trabalhos!$D$5:$D$504,MATCH($A42,Trabalhos!$O$5:$O$504,0)),"")</f>
        <v/>
      </c>
      <c r="F42" s="30" t="str">
        <f aca="false">IFERROR(INDEX(Trabalhos!$E$5:$E$504,MATCH($A42,Trabalhos!$O$5:$O$504,0)),"")</f>
        <v/>
      </c>
      <c r="G42" s="30" t="str">
        <f aca="false">IFERROR(INDEX(Trabalhos!$F$5:$F$504,MATCH($A42,Trabalhos!$O$5:$O$504,0)),"")</f>
        <v/>
      </c>
      <c r="H42" s="30" t="str">
        <f aca="false">IFERROR(INDEX(Trabalhos!$A$5:$A$504,MATCH($A42,Trabalhos!$O$5:$O$504,0)),"")</f>
        <v/>
      </c>
      <c r="I42" s="31" t="str">
        <f aca="false">IFERROR(INDEX(Trabalhos!$I$5:$I$504,MATCH($A42,Trabalhos!$O$5:$O$504,0)),"")</f>
        <v/>
      </c>
    </row>
    <row r="43" customFormat="false" ht="15" hidden="false" customHeight="false" outlineLevel="0" collapsed="false">
      <c r="A43" s="26" t="n">
        <v>39</v>
      </c>
      <c r="B43" s="27" t="str">
        <f aca="false">IFERROR(INDEX(Trabalhos!$B$5:$B$504,MATCH($A43,Trabalhos!$O$5:$O$504,0)),"")</f>
        <v/>
      </c>
      <c r="C43" s="28" t="str">
        <f aca="true">IF(B43="","",B43-TODAY())</f>
        <v/>
      </c>
      <c r="D43" s="29" t="str">
        <f aca="false">IFERROR(INDEX(Trabalhos!$C$5:$C$504,MATCH($A43,Trabalhos!$O$5:$O$504,0)),"")</f>
        <v/>
      </c>
      <c r="E43" s="30" t="str">
        <f aca="false">IFERROR(INDEX(Trabalhos!$D$5:$D$504,MATCH($A43,Trabalhos!$O$5:$O$504,0)),"")</f>
        <v/>
      </c>
      <c r="F43" s="30" t="str">
        <f aca="false">IFERROR(INDEX(Trabalhos!$E$5:$E$504,MATCH($A43,Trabalhos!$O$5:$O$504,0)),"")</f>
        <v/>
      </c>
      <c r="G43" s="30" t="str">
        <f aca="false">IFERROR(INDEX(Trabalhos!$F$5:$F$504,MATCH($A43,Trabalhos!$O$5:$O$504,0)),"")</f>
        <v/>
      </c>
      <c r="H43" s="30" t="str">
        <f aca="false">IFERROR(INDEX(Trabalhos!$A$5:$A$504,MATCH($A43,Trabalhos!$O$5:$O$504,0)),"")</f>
        <v/>
      </c>
      <c r="I43" s="31" t="str">
        <f aca="false">IFERROR(INDEX(Trabalhos!$I$5:$I$504,MATCH($A43,Trabalhos!$O$5:$O$504,0)),"")</f>
        <v/>
      </c>
    </row>
    <row r="44" customFormat="false" ht="15" hidden="false" customHeight="false" outlineLevel="0" collapsed="false">
      <c r="A44" s="26" t="n">
        <v>40</v>
      </c>
      <c r="B44" s="27" t="str">
        <f aca="false">IFERROR(INDEX(Trabalhos!$B$5:$B$504,MATCH($A44,Trabalhos!$O$5:$O$504,0)),"")</f>
        <v/>
      </c>
      <c r="C44" s="28" t="str">
        <f aca="true">IF(B44="","",B44-TODAY())</f>
        <v/>
      </c>
      <c r="D44" s="29" t="str">
        <f aca="false">IFERROR(INDEX(Trabalhos!$C$5:$C$504,MATCH($A44,Trabalhos!$O$5:$O$504,0)),"")</f>
        <v/>
      </c>
      <c r="E44" s="30" t="str">
        <f aca="false">IFERROR(INDEX(Trabalhos!$D$5:$D$504,MATCH($A44,Trabalhos!$O$5:$O$504,0)),"")</f>
        <v/>
      </c>
      <c r="F44" s="30" t="str">
        <f aca="false">IFERROR(INDEX(Trabalhos!$E$5:$E$504,MATCH($A44,Trabalhos!$O$5:$O$504,0)),"")</f>
        <v/>
      </c>
      <c r="G44" s="30" t="str">
        <f aca="false">IFERROR(INDEX(Trabalhos!$F$5:$F$504,MATCH($A44,Trabalhos!$O$5:$O$504,0)),"")</f>
        <v/>
      </c>
      <c r="H44" s="30" t="str">
        <f aca="false">IFERROR(INDEX(Trabalhos!$A$5:$A$504,MATCH($A44,Trabalhos!$O$5:$O$504,0)),"")</f>
        <v/>
      </c>
      <c r="I44" s="31" t="str">
        <f aca="false">IFERROR(INDEX(Trabalhos!$I$5:$I$504,MATCH($A44,Trabalhos!$O$5:$O$504,0)),"")</f>
        <v/>
      </c>
    </row>
    <row r="46" customFormat="false" ht="15" hidden="false" customHeight="false" outlineLevel="0" collapsed="false">
      <c r="A46" s="2" t="s">
        <v>100</v>
      </c>
    </row>
  </sheetData>
  <conditionalFormatting sqref="A5:I44">
    <cfRule type="expression" priority="2" aboveAverage="0" equalAverage="0" bottom="0" percent="0" rank="0" text="" dxfId="0">
      <formula>AND($C5&lt;&gt;"",$C5&lt;=7)</formula>
    </cfRule>
    <cfRule type="expression" priority="3" aboveAverage="0" equalAverage="0" bottom="0" percent="0" rank="0" text="" dxfId="1">
      <formula>$B5=""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O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5"/>
    <col collapsed="false" customWidth="true" hidden="false" outlineLevel="0" max="12" min="9" style="0" width="14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true" outlineLevel="0" max="15" min="15" style="0" width="9"/>
  </cols>
  <sheetData>
    <row r="1" customFormat="false" ht="30" hidden="false" customHeight="true" outlineLevel="0" collapsed="false">
      <c r="A1" s="1" t="s">
        <v>65</v>
      </c>
    </row>
    <row r="2" customFormat="false" ht="15" hidden="false" customHeight="false" outlineLevel="0" collapsed="false">
      <c r="A2" s="2" t="s">
        <v>101</v>
      </c>
    </row>
    <row r="4" customFormat="false" ht="31.5" hidden="false" customHeight="true" outlineLevel="0" collapsed="false">
      <c r="A4" s="10" t="s">
        <v>99</v>
      </c>
      <c r="B4" s="10" t="s">
        <v>102</v>
      </c>
      <c r="C4" s="10" t="s">
        <v>96</v>
      </c>
      <c r="D4" s="10" t="s">
        <v>97</v>
      </c>
      <c r="E4" s="10" t="s">
        <v>83</v>
      </c>
      <c r="F4" s="10" t="s">
        <v>98</v>
      </c>
      <c r="G4" s="10" t="s">
        <v>103</v>
      </c>
      <c r="H4" s="10" t="s">
        <v>104</v>
      </c>
      <c r="I4" s="10" t="s">
        <v>56</v>
      </c>
      <c r="J4" s="10" t="s">
        <v>24</v>
      </c>
      <c r="K4" s="10" t="s">
        <v>49</v>
      </c>
      <c r="L4" s="10" t="s">
        <v>37</v>
      </c>
      <c r="M4" s="10" t="s">
        <v>105</v>
      </c>
      <c r="N4" s="10" t="s">
        <v>106</v>
      </c>
      <c r="O4" s="10" t="s">
        <v>107</v>
      </c>
    </row>
    <row r="5" customFormat="false" ht="15" hidden="false" customHeight="false" outlineLevel="0" collapsed="false">
      <c r="A5" s="32" t="s">
        <v>108</v>
      </c>
      <c r="B5" s="27" t="n">
        <v>46095</v>
      </c>
      <c r="C5" s="29" t="n">
        <v>0.666666666666667</v>
      </c>
      <c r="D5" s="32" t="s">
        <v>109</v>
      </c>
      <c r="E5" s="32" t="s">
        <v>110</v>
      </c>
      <c r="F5" s="32" t="s">
        <v>111</v>
      </c>
      <c r="G5" s="31" t="n">
        <v>3500</v>
      </c>
      <c r="H5" s="31" t="n">
        <v>3500</v>
      </c>
      <c r="I5" s="33" t="n">
        <f aca="false">IF(G5="","",G5-H5)</f>
        <v>0</v>
      </c>
      <c r="J5" s="33" t="n">
        <f aca="false">IF(A5="","",SUMIFS(Freelancers!$E$5:$E$504,Freelancers!$B$5:$B$504,A5))</f>
        <v>650</v>
      </c>
      <c r="K5" s="33" t="n">
        <f aca="false">IF(A5="","",SUMIFS(Gastos!$D$5:$D$504,Gastos!$E$5:$E$504,A5))</f>
        <v>80</v>
      </c>
      <c r="L5" s="33" t="n">
        <f aca="false">IF(G5="","",G5-N(J5)-N(K5))</f>
        <v>2770</v>
      </c>
      <c r="M5" s="34" t="str">
        <f aca="false">IF(G5="","",IF(H5&gt;=G5,"Pago",IF(H5&gt;0,"Parcial","Pendente")))</f>
        <v>Pago</v>
      </c>
      <c r="N5" s="32" t="s">
        <v>112</v>
      </c>
      <c r="O5" s="35" t="str">
        <f aca="true">IF(OR(B5="",B5&lt;TODAY()),"",COUNTIFS($B$5:$B$504,"&gt;="&amp;TODAY(),$B$5:$B$504,"&lt;"&amp;B5)+COUNTIFS($B$5:B5,B5))</f>
        <v/>
      </c>
    </row>
    <row r="6" customFormat="false" ht="15" hidden="false" customHeight="false" outlineLevel="0" collapsed="false">
      <c r="A6" s="32" t="s">
        <v>113</v>
      </c>
      <c r="B6" s="27" t="n">
        <v>46193</v>
      </c>
      <c r="C6" s="29" t="n">
        <v>0.791666666666667</v>
      </c>
      <c r="D6" s="32" t="s">
        <v>114</v>
      </c>
      <c r="E6" s="32" t="s">
        <v>115</v>
      </c>
      <c r="F6" s="32" t="s">
        <v>116</v>
      </c>
      <c r="G6" s="31" t="n">
        <v>1800</v>
      </c>
      <c r="H6" s="31" t="n">
        <v>1800</v>
      </c>
      <c r="I6" s="33" t="n">
        <f aca="false">IF(G6="","",G6-H6)</f>
        <v>0</v>
      </c>
      <c r="J6" s="33" t="n">
        <f aca="false">IF(A6="","",SUMIFS(Freelancers!$E$5:$E$504,Freelancers!$B$5:$B$504,A6))</f>
        <v>250</v>
      </c>
      <c r="K6" s="33" t="n">
        <f aca="false">IF(A6="","",SUMIFS(Gastos!$D$5:$D$504,Gastos!$E$5:$E$504,A6))</f>
        <v>0</v>
      </c>
      <c r="L6" s="33" t="n">
        <f aca="false">IF(G6="","",G6-N(J6)-N(K6))</f>
        <v>1550</v>
      </c>
      <c r="M6" s="34" t="str">
        <f aca="false">IF(G6="","",IF(H6&gt;=G6,"Pago",IF(H6&gt;0,"Parcial","Pendente")))</f>
        <v>Pago</v>
      </c>
      <c r="N6" s="32" t="s">
        <v>112</v>
      </c>
      <c r="O6" s="35" t="str">
        <f aca="true">IF(OR(B6="",B6&lt;TODAY()),"",COUNTIFS($B$5:$B$504,"&gt;="&amp;TODAY(),$B$5:$B$504,"&lt;"&amp;B6)+COUNTIFS($B$5:B6,B6))</f>
        <v/>
      </c>
    </row>
    <row r="7" customFormat="false" ht="15" hidden="false" customHeight="false" outlineLevel="0" collapsed="false">
      <c r="A7" s="32" t="s">
        <v>117</v>
      </c>
      <c r="B7" s="27" t="n">
        <v>46243</v>
      </c>
      <c r="C7" s="29" t="n">
        <v>0.625</v>
      </c>
      <c r="D7" s="32" t="s">
        <v>118</v>
      </c>
      <c r="E7" s="32" t="s">
        <v>119</v>
      </c>
      <c r="F7" s="32" t="s">
        <v>111</v>
      </c>
      <c r="G7" s="31" t="n">
        <v>900</v>
      </c>
      <c r="H7" s="31" t="n">
        <v>900</v>
      </c>
      <c r="I7" s="33" t="n">
        <f aca="false">IF(G7="","",G7-H7)</f>
        <v>0</v>
      </c>
      <c r="J7" s="33" t="n">
        <f aca="false">IF(A7="","",SUMIFS(Freelancers!$E$5:$E$504,Freelancers!$B$5:$B$504,A7))</f>
        <v>0</v>
      </c>
      <c r="K7" s="33" t="n">
        <f aca="false">IF(A7="","",SUMIFS(Gastos!$D$5:$D$504,Gastos!$E$5:$E$504,A7))</f>
        <v>40</v>
      </c>
      <c r="L7" s="33" t="n">
        <f aca="false">IF(G7="","",G7-N(J7)-N(K7))</f>
        <v>860</v>
      </c>
      <c r="M7" s="34" t="str">
        <f aca="false">IF(G7="","",IF(H7&gt;=G7,"Pago",IF(H7&gt;0,"Parcial","Pendente")))</f>
        <v>Pago</v>
      </c>
      <c r="N7" s="32" t="s">
        <v>112</v>
      </c>
      <c r="O7" s="35" t="str">
        <f aca="true">IF(OR(B7="",B7&lt;TODAY()),"",COUNTIFS($B$5:$B$504,"&gt;="&amp;TODAY(),$B$5:$B$504,"&lt;"&amp;B7)+COUNTIFS($B$5:B7,B7))</f>
        <v/>
      </c>
    </row>
    <row r="8" customFormat="false" ht="15" hidden="false" customHeight="false" outlineLevel="0" collapsed="false">
      <c r="A8" s="32" t="s">
        <v>120</v>
      </c>
      <c r="B8" s="27" t="n">
        <v>46347</v>
      </c>
      <c r="C8" s="29" t="n">
        <v>0.833333333333333</v>
      </c>
      <c r="D8" s="32" t="s">
        <v>121</v>
      </c>
      <c r="E8" s="32" t="s">
        <v>122</v>
      </c>
      <c r="F8" s="32" t="s">
        <v>123</v>
      </c>
      <c r="G8" s="31" t="n">
        <v>1200</v>
      </c>
      <c r="H8" s="31" t="n">
        <v>600</v>
      </c>
      <c r="I8" s="33" t="n">
        <f aca="false">IF(G8="","",G8-H8)</f>
        <v>600</v>
      </c>
      <c r="J8" s="33" t="n">
        <f aca="false">IF(A8="","",SUMIFS(Freelancers!$E$5:$E$504,Freelancers!$B$5:$B$504,A8))</f>
        <v>0</v>
      </c>
      <c r="K8" s="33" t="n">
        <f aca="false">IF(A8="","",SUMIFS(Gastos!$D$5:$D$504,Gastos!$E$5:$E$504,A8))</f>
        <v>0</v>
      </c>
      <c r="L8" s="33" t="n">
        <f aca="false">IF(G8="","",G8-N(J8)-N(K8))</f>
        <v>1200</v>
      </c>
      <c r="M8" s="34" t="str">
        <f aca="false">IF(G8="","",IF(H8&gt;=G8,"Pago",IF(H8&gt;0,"Parcial","Pendente")))</f>
        <v>Parcial</v>
      </c>
      <c r="N8" s="32" t="s">
        <v>112</v>
      </c>
      <c r="O8" s="35" t="n">
        <f aca="true">IF(OR(B8="",B8&lt;TODAY()),"",COUNTIFS($B$5:$B$504,"&gt;="&amp;TODAY(),$B$5:$B$504,"&lt;"&amp;B8)+COUNTIFS($B$5:B8,B8))</f>
        <v>1</v>
      </c>
    </row>
    <row r="9" customFormat="false" ht="15" hidden="false" customHeight="false" outlineLevel="0" collapsed="false">
      <c r="A9" s="32" t="s">
        <v>124</v>
      </c>
      <c r="B9" s="27" t="n">
        <v>46361</v>
      </c>
      <c r="C9" s="29" t="n">
        <v>0.708333333333333</v>
      </c>
      <c r="D9" s="32" t="s">
        <v>125</v>
      </c>
      <c r="E9" s="32" t="s">
        <v>110</v>
      </c>
      <c r="F9" s="32" t="s">
        <v>126</v>
      </c>
      <c r="G9" s="31" t="n">
        <v>4200</v>
      </c>
      <c r="H9" s="31" t="n">
        <v>2100</v>
      </c>
      <c r="I9" s="33" t="n">
        <f aca="false">IF(G9="","",G9-H9)</f>
        <v>2100</v>
      </c>
      <c r="J9" s="33" t="n">
        <f aca="false">IF(A9="","",SUMIFS(Freelancers!$E$5:$E$504,Freelancers!$B$5:$B$504,A9))</f>
        <v>250</v>
      </c>
      <c r="K9" s="33" t="n">
        <f aca="false">IF(A9="","",SUMIFS(Gastos!$D$5:$D$504,Gastos!$E$5:$E$504,A9))</f>
        <v>0</v>
      </c>
      <c r="L9" s="33" t="n">
        <f aca="false">IF(G9="","",G9-N(J9)-N(K9))</f>
        <v>3950</v>
      </c>
      <c r="M9" s="34" t="str">
        <f aca="false">IF(G9="","",IF(H9&gt;=G9,"Pago",IF(H9&gt;0,"Parcial","Pendente")))</f>
        <v>Parcial</v>
      </c>
      <c r="N9" s="32" t="s">
        <v>112</v>
      </c>
      <c r="O9" s="35" t="n">
        <f aca="true">IF(OR(B9="",B9&lt;TODAY()),"",COUNTIFS($B$5:$B$504,"&gt;="&amp;TODAY(),$B$5:$B$504,"&lt;"&amp;B9)+COUNTIFS($B$5:B9,B9))</f>
        <v>2</v>
      </c>
    </row>
    <row r="10" customFormat="false" ht="15" hidden="false" customHeight="false" outlineLevel="0" collapsed="false">
      <c r="A10" s="32"/>
      <c r="B10" s="27"/>
      <c r="C10" s="29"/>
      <c r="D10" s="32"/>
      <c r="E10" s="32"/>
      <c r="F10" s="32"/>
      <c r="G10" s="31"/>
      <c r="H10" s="31"/>
      <c r="I10" s="33" t="str">
        <f aca="false">IF(G10="","",G10-H10)</f>
        <v/>
      </c>
      <c r="J10" s="33" t="str">
        <f aca="false">IF(A10="","",SUMIFS(Freelancers!$E$5:$E$504,Freelancers!$B$5:$B$504,A10))</f>
        <v/>
      </c>
      <c r="K10" s="33" t="str">
        <f aca="false">IF(A10="","",SUMIFS(Gastos!$D$5:$D$504,Gastos!$E$5:$E$504,A10))</f>
        <v/>
      </c>
      <c r="L10" s="33" t="str">
        <f aca="false">IF(G10="","",G10-N(J10)-N(K10))</f>
        <v/>
      </c>
      <c r="M10" s="34" t="str">
        <f aca="false">IF(G10="","",IF(H10&gt;=G10,"Pago",IF(H10&gt;0,"Parcial","Pendente")))</f>
        <v/>
      </c>
      <c r="N10" s="32"/>
      <c r="O10" s="35" t="str">
        <f aca="true">IF(OR(B10="",B10&lt;TODAY()),"",COUNTIFS($B$5:$B$504,"&gt;="&amp;TODAY(),$B$5:$B$504,"&lt;"&amp;B10)+COUNTIFS($B$5:B10,B10))</f>
        <v/>
      </c>
    </row>
    <row r="11" customFormat="false" ht="15" hidden="false" customHeight="false" outlineLevel="0" collapsed="false">
      <c r="A11" s="32"/>
      <c r="B11" s="27"/>
      <c r="C11" s="29"/>
      <c r="D11" s="32"/>
      <c r="E11" s="32"/>
      <c r="F11" s="32"/>
      <c r="G11" s="31"/>
      <c r="H11" s="31"/>
      <c r="I11" s="33" t="str">
        <f aca="false">IF(G11="","",G11-H11)</f>
        <v/>
      </c>
      <c r="J11" s="33" t="str">
        <f aca="false">IF(A11="","",SUMIFS(Freelancers!$E$5:$E$504,Freelancers!$B$5:$B$504,A11))</f>
        <v/>
      </c>
      <c r="K11" s="33" t="str">
        <f aca="false">IF(A11="","",SUMIFS(Gastos!$D$5:$D$504,Gastos!$E$5:$E$504,A11))</f>
        <v/>
      </c>
      <c r="L11" s="33" t="str">
        <f aca="false">IF(G11="","",G11-N(J11)-N(K11))</f>
        <v/>
      </c>
      <c r="M11" s="34" t="str">
        <f aca="false">IF(G11="","",IF(H11&gt;=G11,"Pago",IF(H11&gt;0,"Parcial","Pendente")))</f>
        <v/>
      </c>
      <c r="N11" s="32"/>
      <c r="O11" s="35" t="str">
        <f aca="true">IF(OR(B11="",B11&lt;TODAY()),"",COUNTIFS($B$5:$B$504,"&gt;="&amp;TODAY(),$B$5:$B$504,"&lt;"&amp;B11)+COUNTIFS($B$5:B11,B11))</f>
        <v/>
      </c>
    </row>
    <row r="12" customFormat="false" ht="15" hidden="false" customHeight="false" outlineLevel="0" collapsed="false">
      <c r="A12" s="32"/>
      <c r="B12" s="27"/>
      <c r="C12" s="29"/>
      <c r="D12" s="32"/>
      <c r="E12" s="32"/>
      <c r="F12" s="32"/>
      <c r="G12" s="31"/>
      <c r="H12" s="31"/>
      <c r="I12" s="33" t="str">
        <f aca="false">IF(G12="","",G12-H12)</f>
        <v/>
      </c>
      <c r="J12" s="33" t="str">
        <f aca="false">IF(A12="","",SUMIFS(Freelancers!$E$5:$E$504,Freelancers!$B$5:$B$504,A12))</f>
        <v/>
      </c>
      <c r="K12" s="33" t="str">
        <f aca="false">IF(A12="","",SUMIFS(Gastos!$D$5:$D$504,Gastos!$E$5:$E$504,A12))</f>
        <v/>
      </c>
      <c r="L12" s="33" t="str">
        <f aca="false">IF(G12="","",G12-N(J12)-N(K12))</f>
        <v/>
      </c>
      <c r="M12" s="34" t="str">
        <f aca="false">IF(G12="","",IF(H12&gt;=G12,"Pago",IF(H12&gt;0,"Parcial","Pendente")))</f>
        <v/>
      </c>
      <c r="N12" s="32"/>
      <c r="O12" s="35" t="str">
        <f aca="true">IF(OR(B12="",B12&lt;TODAY()),"",COUNTIFS($B$5:$B$504,"&gt;="&amp;TODAY(),$B$5:$B$504,"&lt;"&amp;B12)+COUNTIFS($B$5:B12,B12))</f>
        <v/>
      </c>
    </row>
    <row r="13" customFormat="false" ht="15" hidden="false" customHeight="false" outlineLevel="0" collapsed="false">
      <c r="A13" s="32"/>
      <c r="B13" s="27"/>
      <c r="C13" s="29"/>
      <c r="D13" s="32"/>
      <c r="E13" s="32"/>
      <c r="F13" s="32"/>
      <c r="G13" s="31"/>
      <c r="H13" s="31"/>
      <c r="I13" s="33" t="str">
        <f aca="false">IF(G13="","",G13-H13)</f>
        <v/>
      </c>
      <c r="J13" s="33" t="str">
        <f aca="false">IF(A13="","",SUMIFS(Freelancers!$E$5:$E$504,Freelancers!$B$5:$B$504,A13))</f>
        <v/>
      </c>
      <c r="K13" s="33" t="str">
        <f aca="false">IF(A13="","",SUMIFS(Gastos!$D$5:$D$504,Gastos!$E$5:$E$504,A13))</f>
        <v/>
      </c>
      <c r="L13" s="33" t="str">
        <f aca="false">IF(G13="","",G13-N(J13)-N(K13))</f>
        <v/>
      </c>
      <c r="M13" s="34" t="str">
        <f aca="false">IF(G13="","",IF(H13&gt;=G13,"Pago",IF(H13&gt;0,"Parcial","Pendente")))</f>
        <v/>
      </c>
      <c r="N13" s="32"/>
      <c r="O13" s="35" t="str">
        <f aca="true">IF(OR(B13="",B13&lt;TODAY()),"",COUNTIFS($B$5:$B$504,"&gt;="&amp;TODAY(),$B$5:$B$504,"&lt;"&amp;B13)+COUNTIFS($B$5:B13,B13))</f>
        <v/>
      </c>
    </row>
    <row r="14" customFormat="false" ht="15" hidden="false" customHeight="false" outlineLevel="0" collapsed="false">
      <c r="A14" s="32"/>
      <c r="B14" s="27"/>
      <c r="C14" s="29"/>
      <c r="D14" s="32"/>
      <c r="E14" s="32"/>
      <c r="F14" s="32"/>
      <c r="G14" s="31"/>
      <c r="H14" s="31"/>
      <c r="I14" s="33" t="str">
        <f aca="false">IF(G14="","",G14-H14)</f>
        <v/>
      </c>
      <c r="J14" s="33" t="str">
        <f aca="false">IF(A14="","",SUMIFS(Freelancers!$E$5:$E$504,Freelancers!$B$5:$B$504,A14))</f>
        <v/>
      </c>
      <c r="K14" s="33" t="str">
        <f aca="false">IF(A14="","",SUMIFS(Gastos!$D$5:$D$504,Gastos!$E$5:$E$504,A14))</f>
        <v/>
      </c>
      <c r="L14" s="33" t="str">
        <f aca="false">IF(G14="","",G14-N(J14)-N(K14))</f>
        <v/>
      </c>
      <c r="M14" s="34" t="str">
        <f aca="false">IF(G14="","",IF(H14&gt;=G14,"Pago",IF(H14&gt;0,"Parcial","Pendente")))</f>
        <v/>
      </c>
      <c r="N14" s="32"/>
      <c r="O14" s="35" t="str">
        <f aca="true">IF(OR(B14="",B14&lt;TODAY()),"",COUNTIFS($B$5:$B$504,"&gt;="&amp;TODAY(),$B$5:$B$504,"&lt;"&amp;B14)+COUNTIFS($B$5:B14,B14))</f>
        <v/>
      </c>
    </row>
    <row r="15" customFormat="false" ht="15" hidden="false" customHeight="false" outlineLevel="0" collapsed="false">
      <c r="A15" s="32"/>
      <c r="B15" s="27"/>
      <c r="C15" s="29"/>
      <c r="D15" s="32"/>
      <c r="E15" s="32"/>
      <c r="F15" s="32"/>
      <c r="G15" s="31"/>
      <c r="H15" s="31"/>
      <c r="I15" s="33" t="str">
        <f aca="false">IF(G15="","",G15-H15)</f>
        <v/>
      </c>
      <c r="J15" s="33" t="str">
        <f aca="false">IF(A15="","",SUMIFS(Freelancers!$E$5:$E$504,Freelancers!$B$5:$B$504,A15))</f>
        <v/>
      </c>
      <c r="K15" s="33" t="str">
        <f aca="false">IF(A15="","",SUMIFS(Gastos!$D$5:$D$504,Gastos!$E$5:$E$504,A15))</f>
        <v/>
      </c>
      <c r="L15" s="33" t="str">
        <f aca="false">IF(G15="","",G15-N(J15)-N(K15))</f>
        <v/>
      </c>
      <c r="M15" s="34" t="str">
        <f aca="false">IF(G15="","",IF(H15&gt;=G15,"Pago",IF(H15&gt;0,"Parcial","Pendente")))</f>
        <v/>
      </c>
      <c r="N15" s="32"/>
      <c r="O15" s="35" t="str">
        <f aca="true">IF(OR(B15="",B15&lt;TODAY()),"",COUNTIFS($B$5:$B$504,"&gt;="&amp;TODAY(),$B$5:$B$504,"&lt;"&amp;B15)+COUNTIFS($B$5:B15,B15))</f>
        <v/>
      </c>
    </row>
    <row r="16" customFormat="false" ht="15" hidden="false" customHeight="false" outlineLevel="0" collapsed="false">
      <c r="A16" s="32"/>
      <c r="B16" s="27"/>
      <c r="C16" s="29"/>
      <c r="D16" s="32"/>
      <c r="E16" s="32"/>
      <c r="F16" s="32"/>
      <c r="G16" s="31"/>
      <c r="H16" s="31"/>
      <c r="I16" s="33" t="str">
        <f aca="false">IF(G16="","",G16-H16)</f>
        <v/>
      </c>
      <c r="J16" s="33" t="str">
        <f aca="false">IF(A16="","",SUMIFS(Freelancers!$E$5:$E$504,Freelancers!$B$5:$B$504,A16))</f>
        <v/>
      </c>
      <c r="K16" s="33" t="str">
        <f aca="false">IF(A16="","",SUMIFS(Gastos!$D$5:$D$504,Gastos!$E$5:$E$504,A16))</f>
        <v/>
      </c>
      <c r="L16" s="33" t="str">
        <f aca="false">IF(G16="","",G16-N(J16)-N(K16))</f>
        <v/>
      </c>
      <c r="M16" s="34" t="str">
        <f aca="false">IF(G16="","",IF(H16&gt;=G16,"Pago",IF(H16&gt;0,"Parcial","Pendente")))</f>
        <v/>
      </c>
      <c r="N16" s="32"/>
      <c r="O16" s="35" t="str">
        <f aca="true">IF(OR(B16="",B16&lt;TODAY()),"",COUNTIFS($B$5:$B$504,"&gt;="&amp;TODAY(),$B$5:$B$504,"&lt;"&amp;B16)+COUNTIFS($B$5:B16,B16))</f>
        <v/>
      </c>
    </row>
    <row r="17" customFormat="false" ht="15" hidden="false" customHeight="false" outlineLevel="0" collapsed="false">
      <c r="A17" s="32"/>
      <c r="B17" s="27"/>
      <c r="C17" s="29"/>
      <c r="D17" s="32"/>
      <c r="E17" s="32"/>
      <c r="F17" s="32"/>
      <c r="G17" s="31"/>
      <c r="H17" s="31"/>
      <c r="I17" s="33" t="str">
        <f aca="false">IF(G17="","",G17-H17)</f>
        <v/>
      </c>
      <c r="J17" s="33" t="str">
        <f aca="false">IF(A17="","",SUMIFS(Freelancers!$E$5:$E$504,Freelancers!$B$5:$B$504,A17))</f>
        <v/>
      </c>
      <c r="K17" s="33" t="str">
        <f aca="false">IF(A17="","",SUMIFS(Gastos!$D$5:$D$504,Gastos!$E$5:$E$504,A17))</f>
        <v/>
      </c>
      <c r="L17" s="33" t="str">
        <f aca="false">IF(G17="","",G17-N(J17)-N(K17))</f>
        <v/>
      </c>
      <c r="M17" s="34" t="str">
        <f aca="false">IF(G17="","",IF(H17&gt;=G17,"Pago",IF(H17&gt;0,"Parcial","Pendente")))</f>
        <v/>
      </c>
      <c r="N17" s="32"/>
      <c r="O17" s="35" t="str">
        <f aca="true">IF(OR(B17="",B17&lt;TODAY()),"",COUNTIFS($B$5:$B$504,"&gt;="&amp;TODAY(),$B$5:$B$504,"&lt;"&amp;B17)+COUNTIFS($B$5:B17,B17))</f>
        <v/>
      </c>
    </row>
    <row r="18" customFormat="false" ht="15" hidden="false" customHeight="false" outlineLevel="0" collapsed="false">
      <c r="A18" s="32"/>
      <c r="B18" s="27"/>
      <c r="C18" s="29"/>
      <c r="D18" s="32"/>
      <c r="E18" s="32"/>
      <c r="F18" s="32"/>
      <c r="G18" s="31"/>
      <c r="H18" s="31"/>
      <c r="I18" s="33" t="str">
        <f aca="false">IF(G18="","",G18-H18)</f>
        <v/>
      </c>
      <c r="J18" s="33" t="str">
        <f aca="false">IF(A18="","",SUMIFS(Freelancers!$E$5:$E$504,Freelancers!$B$5:$B$504,A18))</f>
        <v/>
      </c>
      <c r="K18" s="33" t="str">
        <f aca="false">IF(A18="","",SUMIFS(Gastos!$D$5:$D$504,Gastos!$E$5:$E$504,A18))</f>
        <v/>
      </c>
      <c r="L18" s="33" t="str">
        <f aca="false">IF(G18="","",G18-N(J18)-N(K18))</f>
        <v/>
      </c>
      <c r="M18" s="34" t="str">
        <f aca="false">IF(G18="","",IF(H18&gt;=G18,"Pago",IF(H18&gt;0,"Parcial","Pendente")))</f>
        <v/>
      </c>
      <c r="N18" s="32"/>
      <c r="O18" s="35" t="str">
        <f aca="true">IF(OR(B18="",B18&lt;TODAY()),"",COUNTIFS($B$5:$B$504,"&gt;="&amp;TODAY(),$B$5:$B$504,"&lt;"&amp;B18)+COUNTIFS($B$5:B18,B18))</f>
        <v/>
      </c>
    </row>
    <row r="19" customFormat="false" ht="15" hidden="false" customHeight="false" outlineLevel="0" collapsed="false">
      <c r="A19" s="32"/>
      <c r="B19" s="27"/>
      <c r="C19" s="29"/>
      <c r="D19" s="32"/>
      <c r="E19" s="32"/>
      <c r="F19" s="32"/>
      <c r="G19" s="31"/>
      <c r="H19" s="31"/>
      <c r="I19" s="33" t="str">
        <f aca="false">IF(G19="","",G19-H19)</f>
        <v/>
      </c>
      <c r="J19" s="33" t="str">
        <f aca="false">IF(A19="","",SUMIFS(Freelancers!$E$5:$E$504,Freelancers!$B$5:$B$504,A19))</f>
        <v/>
      </c>
      <c r="K19" s="33" t="str">
        <f aca="false">IF(A19="","",SUMIFS(Gastos!$D$5:$D$504,Gastos!$E$5:$E$504,A19))</f>
        <v/>
      </c>
      <c r="L19" s="33" t="str">
        <f aca="false">IF(G19="","",G19-N(J19)-N(K19))</f>
        <v/>
      </c>
      <c r="M19" s="34" t="str">
        <f aca="false">IF(G19="","",IF(H19&gt;=G19,"Pago",IF(H19&gt;0,"Parcial","Pendente")))</f>
        <v/>
      </c>
      <c r="N19" s="32"/>
      <c r="O19" s="35" t="str">
        <f aca="true">IF(OR(B19="",B19&lt;TODAY()),"",COUNTIFS($B$5:$B$504,"&gt;="&amp;TODAY(),$B$5:$B$504,"&lt;"&amp;B19)+COUNTIFS($B$5:B19,B19))</f>
        <v/>
      </c>
    </row>
    <row r="20" customFormat="false" ht="15" hidden="false" customHeight="false" outlineLevel="0" collapsed="false">
      <c r="A20" s="32"/>
      <c r="B20" s="27"/>
      <c r="C20" s="29"/>
      <c r="D20" s="32"/>
      <c r="E20" s="32"/>
      <c r="F20" s="32"/>
      <c r="G20" s="31"/>
      <c r="H20" s="31"/>
      <c r="I20" s="33" t="str">
        <f aca="false">IF(G20="","",G20-H20)</f>
        <v/>
      </c>
      <c r="J20" s="33" t="str">
        <f aca="false">IF(A20="","",SUMIFS(Freelancers!$E$5:$E$504,Freelancers!$B$5:$B$504,A20))</f>
        <v/>
      </c>
      <c r="K20" s="33" t="str">
        <f aca="false">IF(A20="","",SUMIFS(Gastos!$D$5:$D$504,Gastos!$E$5:$E$504,A20))</f>
        <v/>
      </c>
      <c r="L20" s="33" t="str">
        <f aca="false">IF(G20="","",G20-N(J20)-N(K20))</f>
        <v/>
      </c>
      <c r="M20" s="34" t="str">
        <f aca="false">IF(G20="","",IF(H20&gt;=G20,"Pago",IF(H20&gt;0,"Parcial","Pendente")))</f>
        <v/>
      </c>
      <c r="N20" s="32"/>
      <c r="O20" s="35" t="str">
        <f aca="true">IF(OR(B20="",B20&lt;TODAY()),"",COUNTIFS($B$5:$B$504,"&gt;="&amp;TODAY(),$B$5:$B$504,"&lt;"&amp;B20)+COUNTIFS($B$5:B20,B20))</f>
        <v/>
      </c>
    </row>
    <row r="21" customFormat="false" ht="15" hidden="false" customHeight="false" outlineLevel="0" collapsed="false">
      <c r="A21" s="32"/>
      <c r="B21" s="27"/>
      <c r="C21" s="29"/>
      <c r="D21" s="32"/>
      <c r="E21" s="32"/>
      <c r="F21" s="32"/>
      <c r="G21" s="31"/>
      <c r="H21" s="31"/>
      <c r="I21" s="33" t="str">
        <f aca="false">IF(G21="","",G21-H21)</f>
        <v/>
      </c>
      <c r="J21" s="33" t="str">
        <f aca="false">IF(A21="","",SUMIFS(Freelancers!$E$5:$E$504,Freelancers!$B$5:$B$504,A21))</f>
        <v/>
      </c>
      <c r="K21" s="33" t="str">
        <f aca="false">IF(A21="","",SUMIFS(Gastos!$D$5:$D$504,Gastos!$E$5:$E$504,A21))</f>
        <v/>
      </c>
      <c r="L21" s="33" t="str">
        <f aca="false">IF(G21="","",G21-N(J21)-N(K21))</f>
        <v/>
      </c>
      <c r="M21" s="34" t="str">
        <f aca="false">IF(G21="","",IF(H21&gt;=G21,"Pago",IF(H21&gt;0,"Parcial","Pendente")))</f>
        <v/>
      </c>
      <c r="N21" s="32"/>
      <c r="O21" s="35" t="str">
        <f aca="true">IF(OR(B21="",B21&lt;TODAY()),"",COUNTIFS($B$5:$B$504,"&gt;="&amp;TODAY(),$B$5:$B$504,"&lt;"&amp;B21)+COUNTIFS($B$5:B21,B21))</f>
        <v/>
      </c>
    </row>
    <row r="22" customFormat="false" ht="15" hidden="false" customHeight="false" outlineLevel="0" collapsed="false">
      <c r="A22" s="32"/>
      <c r="B22" s="27"/>
      <c r="C22" s="29"/>
      <c r="D22" s="32"/>
      <c r="E22" s="32"/>
      <c r="F22" s="32"/>
      <c r="G22" s="31"/>
      <c r="H22" s="31"/>
      <c r="I22" s="33" t="str">
        <f aca="false">IF(G22="","",G22-H22)</f>
        <v/>
      </c>
      <c r="J22" s="33" t="str">
        <f aca="false">IF(A22="","",SUMIFS(Freelancers!$E$5:$E$504,Freelancers!$B$5:$B$504,A22))</f>
        <v/>
      </c>
      <c r="K22" s="33" t="str">
        <f aca="false">IF(A22="","",SUMIFS(Gastos!$D$5:$D$504,Gastos!$E$5:$E$504,A22))</f>
        <v/>
      </c>
      <c r="L22" s="33" t="str">
        <f aca="false">IF(G22="","",G22-N(J22)-N(K22))</f>
        <v/>
      </c>
      <c r="M22" s="34" t="str">
        <f aca="false">IF(G22="","",IF(H22&gt;=G22,"Pago",IF(H22&gt;0,"Parcial","Pendente")))</f>
        <v/>
      </c>
      <c r="N22" s="32"/>
      <c r="O22" s="35" t="str">
        <f aca="true">IF(OR(B22="",B22&lt;TODAY()),"",COUNTIFS($B$5:$B$504,"&gt;="&amp;TODAY(),$B$5:$B$504,"&lt;"&amp;B22)+COUNTIFS($B$5:B22,B22))</f>
        <v/>
      </c>
    </row>
    <row r="23" customFormat="false" ht="15" hidden="false" customHeight="false" outlineLevel="0" collapsed="false">
      <c r="A23" s="32"/>
      <c r="B23" s="27"/>
      <c r="C23" s="29"/>
      <c r="D23" s="32"/>
      <c r="E23" s="32"/>
      <c r="F23" s="32"/>
      <c r="G23" s="31"/>
      <c r="H23" s="31"/>
      <c r="I23" s="33" t="str">
        <f aca="false">IF(G23="","",G23-H23)</f>
        <v/>
      </c>
      <c r="J23" s="33" t="str">
        <f aca="false">IF(A23="","",SUMIFS(Freelancers!$E$5:$E$504,Freelancers!$B$5:$B$504,A23))</f>
        <v/>
      </c>
      <c r="K23" s="33" t="str">
        <f aca="false">IF(A23="","",SUMIFS(Gastos!$D$5:$D$504,Gastos!$E$5:$E$504,A23))</f>
        <v/>
      </c>
      <c r="L23" s="33" t="str">
        <f aca="false">IF(G23="","",G23-N(J23)-N(K23))</f>
        <v/>
      </c>
      <c r="M23" s="34" t="str">
        <f aca="false">IF(G23="","",IF(H23&gt;=G23,"Pago",IF(H23&gt;0,"Parcial","Pendente")))</f>
        <v/>
      </c>
      <c r="N23" s="32"/>
      <c r="O23" s="35" t="str">
        <f aca="true">IF(OR(B23="",B23&lt;TODAY()),"",COUNTIFS($B$5:$B$504,"&gt;="&amp;TODAY(),$B$5:$B$504,"&lt;"&amp;B23)+COUNTIFS($B$5:B23,B23))</f>
        <v/>
      </c>
    </row>
    <row r="24" customFormat="false" ht="15" hidden="false" customHeight="false" outlineLevel="0" collapsed="false">
      <c r="A24" s="32"/>
      <c r="B24" s="27"/>
      <c r="C24" s="29"/>
      <c r="D24" s="32"/>
      <c r="E24" s="32"/>
      <c r="F24" s="32"/>
      <c r="G24" s="31"/>
      <c r="H24" s="31"/>
      <c r="I24" s="33" t="str">
        <f aca="false">IF(G24="","",G24-H24)</f>
        <v/>
      </c>
      <c r="J24" s="33" t="str">
        <f aca="false">IF(A24="","",SUMIFS(Freelancers!$E$5:$E$504,Freelancers!$B$5:$B$504,A24))</f>
        <v/>
      </c>
      <c r="K24" s="33" t="str">
        <f aca="false">IF(A24="","",SUMIFS(Gastos!$D$5:$D$504,Gastos!$E$5:$E$504,A24))</f>
        <v/>
      </c>
      <c r="L24" s="33" t="str">
        <f aca="false">IF(G24="","",G24-N(J24)-N(K24))</f>
        <v/>
      </c>
      <c r="M24" s="34" t="str">
        <f aca="false">IF(G24="","",IF(H24&gt;=G24,"Pago",IF(H24&gt;0,"Parcial","Pendente")))</f>
        <v/>
      </c>
      <c r="N24" s="32"/>
      <c r="O24" s="35" t="str">
        <f aca="true">IF(OR(B24="",B24&lt;TODAY()),"",COUNTIFS($B$5:$B$504,"&gt;="&amp;TODAY(),$B$5:$B$504,"&lt;"&amp;B24)+COUNTIFS($B$5:B24,B24))</f>
        <v/>
      </c>
    </row>
    <row r="25" customFormat="false" ht="15" hidden="false" customHeight="false" outlineLevel="0" collapsed="false">
      <c r="A25" s="32"/>
      <c r="B25" s="27"/>
      <c r="C25" s="29"/>
      <c r="D25" s="32"/>
      <c r="E25" s="32"/>
      <c r="F25" s="32"/>
      <c r="G25" s="31"/>
      <c r="H25" s="31"/>
      <c r="I25" s="33" t="str">
        <f aca="false">IF(G25="","",G25-H25)</f>
        <v/>
      </c>
      <c r="J25" s="33" t="str">
        <f aca="false">IF(A25="","",SUMIFS(Freelancers!$E$5:$E$504,Freelancers!$B$5:$B$504,A25))</f>
        <v/>
      </c>
      <c r="K25" s="33" t="str">
        <f aca="false">IF(A25="","",SUMIFS(Gastos!$D$5:$D$504,Gastos!$E$5:$E$504,A25))</f>
        <v/>
      </c>
      <c r="L25" s="33" t="str">
        <f aca="false">IF(G25="","",G25-N(J25)-N(K25))</f>
        <v/>
      </c>
      <c r="M25" s="34" t="str">
        <f aca="false">IF(G25="","",IF(H25&gt;=G25,"Pago",IF(H25&gt;0,"Parcial","Pendente")))</f>
        <v/>
      </c>
      <c r="N25" s="32"/>
      <c r="O25" s="35" t="str">
        <f aca="true">IF(OR(B25="",B25&lt;TODAY()),"",COUNTIFS($B$5:$B$504,"&gt;="&amp;TODAY(),$B$5:$B$504,"&lt;"&amp;B25)+COUNTIFS($B$5:B25,B25))</f>
        <v/>
      </c>
    </row>
    <row r="26" customFormat="false" ht="15" hidden="false" customHeight="false" outlineLevel="0" collapsed="false">
      <c r="A26" s="32"/>
      <c r="B26" s="27"/>
      <c r="C26" s="29"/>
      <c r="D26" s="32"/>
      <c r="E26" s="32"/>
      <c r="F26" s="32"/>
      <c r="G26" s="31"/>
      <c r="H26" s="31"/>
      <c r="I26" s="33" t="str">
        <f aca="false">IF(G26="","",G26-H26)</f>
        <v/>
      </c>
      <c r="J26" s="33" t="str">
        <f aca="false">IF(A26="","",SUMIFS(Freelancers!$E$5:$E$504,Freelancers!$B$5:$B$504,A26))</f>
        <v/>
      </c>
      <c r="K26" s="33" t="str">
        <f aca="false">IF(A26="","",SUMIFS(Gastos!$D$5:$D$504,Gastos!$E$5:$E$504,A26))</f>
        <v/>
      </c>
      <c r="L26" s="33" t="str">
        <f aca="false">IF(G26="","",G26-N(J26)-N(K26))</f>
        <v/>
      </c>
      <c r="M26" s="34" t="str">
        <f aca="false">IF(G26="","",IF(H26&gt;=G26,"Pago",IF(H26&gt;0,"Parcial","Pendente")))</f>
        <v/>
      </c>
      <c r="N26" s="32"/>
      <c r="O26" s="35" t="str">
        <f aca="true">IF(OR(B26="",B26&lt;TODAY()),"",COUNTIFS($B$5:$B$504,"&gt;="&amp;TODAY(),$B$5:$B$504,"&lt;"&amp;B26)+COUNTIFS($B$5:B26,B26))</f>
        <v/>
      </c>
    </row>
    <row r="27" customFormat="false" ht="15" hidden="false" customHeight="false" outlineLevel="0" collapsed="false">
      <c r="A27" s="32"/>
      <c r="B27" s="27"/>
      <c r="C27" s="29"/>
      <c r="D27" s="32"/>
      <c r="E27" s="32"/>
      <c r="F27" s="32"/>
      <c r="G27" s="31"/>
      <c r="H27" s="31"/>
      <c r="I27" s="33" t="str">
        <f aca="false">IF(G27="","",G27-H27)</f>
        <v/>
      </c>
      <c r="J27" s="33" t="str">
        <f aca="false">IF(A27="","",SUMIFS(Freelancers!$E$5:$E$504,Freelancers!$B$5:$B$504,A27))</f>
        <v/>
      </c>
      <c r="K27" s="33" t="str">
        <f aca="false">IF(A27="","",SUMIFS(Gastos!$D$5:$D$504,Gastos!$E$5:$E$504,A27))</f>
        <v/>
      </c>
      <c r="L27" s="33" t="str">
        <f aca="false">IF(G27="","",G27-N(J27)-N(K27))</f>
        <v/>
      </c>
      <c r="M27" s="34" t="str">
        <f aca="false">IF(G27="","",IF(H27&gt;=G27,"Pago",IF(H27&gt;0,"Parcial","Pendente")))</f>
        <v/>
      </c>
      <c r="N27" s="32"/>
      <c r="O27" s="35" t="str">
        <f aca="true">IF(OR(B27="",B27&lt;TODAY()),"",COUNTIFS($B$5:$B$504,"&gt;="&amp;TODAY(),$B$5:$B$504,"&lt;"&amp;B27)+COUNTIFS($B$5:B27,B27))</f>
        <v/>
      </c>
    </row>
    <row r="28" customFormat="false" ht="15" hidden="false" customHeight="false" outlineLevel="0" collapsed="false">
      <c r="A28" s="32"/>
      <c r="B28" s="27"/>
      <c r="C28" s="29"/>
      <c r="D28" s="32"/>
      <c r="E28" s="32"/>
      <c r="F28" s="32"/>
      <c r="G28" s="31"/>
      <c r="H28" s="31"/>
      <c r="I28" s="33" t="str">
        <f aca="false">IF(G28="","",G28-H28)</f>
        <v/>
      </c>
      <c r="J28" s="33" t="str">
        <f aca="false">IF(A28="","",SUMIFS(Freelancers!$E$5:$E$504,Freelancers!$B$5:$B$504,A28))</f>
        <v/>
      </c>
      <c r="K28" s="33" t="str">
        <f aca="false">IF(A28="","",SUMIFS(Gastos!$D$5:$D$504,Gastos!$E$5:$E$504,A28))</f>
        <v/>
      </c>
      <c r="L28" s="33" t="str">
        <f aca="false">IF(G28="","",G28-N(J28)-N(K28))</f>
        <v/>
      </c>
      <c r="M28" s="34" t="str">
        <f aca="false">IF(G28="","",IF(H28&gt;=G28,"Pago",IF(H28&gt;0,"Parcial","Pendente")))</f>
        <v/>
      </c>
      <c r="N28" s="32"/>
      <c r="O28" s="35" t="str">
        <f aca="true">IF(OR(B28="",B28&lt;TODAY()),"",COUNTIFS($B$5:$B$504,"&gt;="&amp;TODAY(),$B$5:$B$504,"&lt;"&amp;B28)+COUNTIFS($B$5:B28,B28))</f>
        <v/>
      </c>
    </row>
    <row r="29" customFormat="false" ht="15" hidden="false" customHeight="false" outlineLevel="0" collapsed="false">
      <c r="A29" s="32"/>
      <c r="B29" s="27"/>
      <c r="C29" s="29"/>
      <c r="D29" s="32"/>
      <c r="E29" s="32"/>
      <c r="F29" s="32"/>
      <c r="G29" s="31"/>
      <c r="H29" s="31"/>
      <c r="I29" s="33" t="str">
        <f aca="false">IF(G29="","",G29-H29)</f>
        <v/>
      </c>
      <c r="J29" s="33" t="str">
        <f aca="false">IF(A29="","",SUMIFS(Freelancers!$E$5:$E$504,Freelancers!$B$5:$B$504,A29))</f>
        <v/>
      </c>
      <c r="K29" s="33" t="str">
        <f aca="false">IF(A29="","",SUMIFS(Gastos!$D$5:$D$504,Gastos!$E$5:$E$504,A29))</f>
        <v/>
      </c>
      <c r="L29" s="33" t="str">
        <f aca="false">IF(G29="","",G29-N(J29)-N(K29))</f>
        <v/>
      </c>
      <c r="M29" s="34" t="str">
        <f aca="false">IF(G29="","",IF(H29&gt;=G29,"Pago",IF(H29&gt;0,"Parcial","Pendente")))</f>
        <v/>
      </c>
      <c r="N29" s="32"/>
      <c r="O29" s="35" t="str">
        <f aca="true">IF(OR(B29="",B29&lt;TODAY()),"",COUNTIFS($B$5:$B$504,"&gt;="&amp;TODAY(),$B$5:$B$504,"&lt;"&amp;B29)+COUNTIFS($B$5:B29,B29))</f>
        <v/>
      </c>
    </row>
    <row r="30" customFormat="false" ht="15" hidden="false" customHeight="false" outlineLevel="0" collapsed="false">
      <c r="A30" s="32"/>
      <c r="B30" s="27"/>
      <c r="C30" s="29"/>
      <c r="D30" s="32"/>
      <c r="E30" s="32"/>
      <c r="F30" s="32"/>
      <c r="G30" s="31"/>
      <c r="H30" s="31"/>
      <c r="I30" s="33" t="str">
        <f aca="false">IF(G30="","",G30-H30)</f>
        <v/>
      </c>
      <c r="J30" s="33" t="str">
        <f aca="false">IF(A30="","",SUMIFS(Freelancers!$E$5:$E$504,Freelancers!$B$5:$B$504,A30))</f>
        <v/>
      </c>
      <c r="K30" s="33" t="str">
        <f aca="false">IF(A30="","",SUMIFS(Gastos!$D$5:$D$504,Gastos!$E$5:$E$504,A30))</f>
        <v/>
      </c>
      <c r="L30" s="33" t="str">
        <f aca="false">IF(G30="","",G30-N(J30)-N(K30))</f>
        <v/>
      </c>
      <c r="M30" s="34" t="str">
        <f aca="false">IF(G30="","",IF(H30&gt;=G30,"Pago",IF(H30&gt;0,"Parcial","Pendente")))</f>
        <v/>
      </c>
      <c r="N30" s="32"/>
      <c r="O30" s="35" t="str">
        <f aca="true">IF(OR(B30="",B30&lt;TODAY()),"",COUNTIFS($B$5:$B$504,"&gt;="&amp;TODAY(),$B$5:$B$504,"&lt;"&amp;B30)+COUNTIFS($B$5:B30,B30))</f>
        <v/>
      </c>
    </row>
    <row r="31" customFormat="false" ht="15" hidden="false" customHeight="false" outlineLevel="0" collapsed="false">
      <c r="A31" s="32"/>
      <c r="B31" s="27"/>
      <c r="C31" s="29"/>
      <c r="D31" s="32"/>
      <c r="E31" s="32"/>
      <c r="F31" s="32"/>
      <c r="G31" s="31"/>
      <c r="H31" s="31"/>
      <c r="I31" s="33" t="str">
        <f aca="false">IF(G31="","",G31-H31)</f>
        <v/>
      </c>
      <c r="J31" s="33" t="str">
        <f aca="false">IF(A31="","",SUMIFS(Freelancers!$E$5:$E$504,Freelancers!$B$5:$B$504,A31))</f>
        <v/>
      </c>
      <c r="K31" s="33" t="str">
        <f aca="false">IF(A31="","",SUMIFS(Gastos!$D$5:$D$504,Gastos!$E$5:$E$504,A31))</f>
        <v/>
      </c>
      <c r="L31" s="33" t="str">
        <f aca="false">IF(G31="","",G31-N(J31)-N(K31))</f>
        <v/>
      </c>
      <c r="M31" s="34" t="str">
        <f aca="false">IF(G31="","",IF(H31&gt;=G31,"Pago",IF(H31&gt;0,"Parcial","Pendente")))</f>
        <v/>
      </c>
      <c r="N31" s="32"/>
      <c r="O31" s="35" t="str">
        <f aca="true">IF(OR(B31="",B31&lt;TODAY()),"",COUNTIFS($B$5:$B$504,"&gt;="&amp;TODAY(),$B$5:$B$504,"&lt;"&amp;B31)+COUNTIFS($B$5:B31,B31))</f>
        <v/>
      </c>
    </row>
    <row r="32" customFormat="false" ht="15" hidden="false" customHeight="false" outlineLevel="0" collapsed="false">
      <c r="A32" s="32"/>
      <c r="B32" s="27"/>
      <c r="C32" s="29"/>
      <c r="D32" s="32"/>
      <c r="E32" s="32"/>
      <c r="F32" s="32"/>
      <c r="G32" s="31"/>
      <c r="H32" s="31"/>
      <c r="I32" s="33" t="str">
        <f aca="false">IF(G32="","",G32-H32)</f>
        <v/>
      </c>
      <c r="J32" s="33" t="str">
        <f aca="false">IF(A32="","",SUMIFS(Freelancers!$E$5:$E$504,Freelancers!$B$5:$B$504,A32))</f>
        <v/>
      </c>
      <c r="K32" s="33" t="str">
        <f aca="false">IF(A32="","",SUMIFS(Gastos!$D$5:$D$504,Gastos!$E$5:$E$504,A32))</f>
        <v/>
      </c>
      <c r="L32" s="33" t="str">
        <f aca="false">IF(G32="","",G32-N(J32)-N(K32))</f>
        <v/>
      </c>
      <c r="M32" s="34" t="str">
        <f aca="false">IF(G32="","",IF(H32&gt;=G32,"Pago",IF(H32&gt;0,"Parcial","Pendente")))</f>
        <v/>
      </c>
      <c r="N32" s="32"/>
      <c r="O32" s="35" t="str">
        <f aca="true">IF(OR(B32="",B32&lt;TODAY()),"",COUNTIFS($B$5:$B$504,"&gt;="&amp;TODAY(),$B$5:$B$504,"&lt;"&amp;B32)+COUNTIFS($B$5:B32,B32))</f>
        <v/>
      </c>
    </row>
    <row r="33" customFormat="false" ht="15" hidden="false" customHeight="false" outlineLevel="0" collapsed="false">
      <c r="A33" s="32"/>
      <c r="B33" s="27"/>
      <c r="C33" s="29"/>
      <c r="D33" s="32"/>
      <c r="E33" s="32"/>
      <c r="F33" s="32"/>
      <c r="G33" s="31"/>
      <c r="H33" s="31"/>
      <c r="I33" s="33" t="str">
        <f aca="false">IF(G33="","",G33-H33)</f>
        <v/>
      </c>
      <c r="J33" s="33" t="str">
        <f aca="false">IF(A33="","",SUMIFS(Freelancers!$E$5:$E$504,Freelancers!$B$5:$B$504,A33))</f>
        <v/>
      </c>
      <c r="K33" s="33" t="str">
        <f aca="false">IF(A33="","",SUMIFS(Gastos!$D$5:$D$504,Gastos!$E$5:$E$504,A33))</f>
        <v/>
      </c>
      <c r="L33" s="33" t="str">
        <f aca="false">IF(G33="","",G33-N(J33)-N(K33))</f>
        <v/>
      </c>
      <c r="M33" s="34" t="str">
        <f aca="false">IF(G33="","",IF(H33&gt;=G33,"Pago",IF(H33&gt;0,"Parcial","Pendente")))</f>
        <v/>
      </c>
      <c r="N33" s="32"/>
      <c r="O33" s="35" t="str">
        <f aca="true">IF(OR(B33="",B33&lt;TODAY()),"",COUNTIFS($B$5:$B$504,"&gt;="&amp;TODAY(),$B$5:$B$504,"&lt;"&amp;B33)+COUNTIFS($B$5:B33,B33))</f>
        <v/>
      </c>
    </row>
    <row r="34" customFormat="false" ht="15" hidden="false" customHeight="false" outlineLevel="0" collapsed="false">
      <c r="A34" s="32"/>
      <c r="B34" s="27"/>
      <c r="C34" s="29"/>
      <c r="D34" s="32"/>
      <c r="E34" s="32"/>
      <c r="F34" s="32"/>
      <c r="G34" s="31"/>
      <c r="H34" s="31"/>
      <c r="I34" s="33" t="str">
        <f aca="false">IF(G34="","",G34-H34)</f>
        <v/>
      </c>
      <c r="J34" s="33" t="str">
        <f aca="false">IF(A34="","",SUMIFS(Freelancers!$E$5:$E$504,Freelancers!$B$5:$B$504,A34))</f>
        <v/>
      </c>
      <c r="K34" s="33" t="str">
        <f aca="false">IF(A34="","",SUMIFS(Gastos!$D$5:$D$504,Gastos!$E$5:$E$504,A34))</f>
        <v/>
      </c>
      <c r="L34" s="33" t="str">
        <f aca="false">IF(G34="","",G34-N(J34)-N(K34))</f>
        <v/>
      </c>
      <c r="M34" s="34" t="str">
        <f aca="false">IF(G34="","",IF(H34&gt;=G34,"Pago",IF(H34&gt;0,"Parcial","Pendente")))</f>
        <v/>
      </c>
      <c r="N34" s="32"/>
      <c r="O34" s="35" t="str">
        <f aca="true">IF(OR(B34="",B34&lt;TODAY()),"",COUNTIFS($B$5:$B$504,"&gt;="&amp;TODAY(),$B$5:$B$504,"&lt;"&amp;B34)+COUNTIFS($B$5:B34,B34))</f>
        <v/>
      </c>
    </row>
    <row r="35" customFormat="false" ht="15" hidden="false" customHeight="false" outlineLevel="0" collapsed="false">
      <c r="A35" s="32"/>
      <c r="B35" s="27"/>
      <c r="C35" s="29"/>
      <c r="D35" s="32"/>
      <c r="E35" s="32"/>
      <c r="F35" s="32"/>
      <c r="G35" s="31"/>
      <c r="H35" s="31"/>
      <c r="I35" s="33" t="str">
        <f aca="false">IF(G35="","",G35-H35)</f>
        <v/>
      </c>
      <c r="J35" s="33" t="str">
        <f aca="false">IF(A35="","",SUMIFS(Freelancers!$E$5:$E$504,Freelancers!$B$5:$B$504,A35))</f>
        <v/>
      </c>
      <c r="K35" s="33" t="str">
        <f aca="false">IF(A35="","",SUMIFS(Gastos!$D$5:$D$504,Gastos!$E$5:$E$504,A35))</f>
        <v/>
      </c>
      <c r="L35" s="33" t="str">
        <f aca="false">IF(G35="","",G35-N(J35)-N(K35))</f>
        <v/>
      </c>
      <c r="M35" s="34" t="str">
        <f aca="false">IF(G35="","",IF(H35&gt;=G35,"Pago",IF(H35&gt;0,"Parcial","Pendente")))</f>
        <v/>
      </c>
      <c r="N35" s="32"/>
      <c r="O35" s="35" t="str">
        <f aca="true">IF(OR(B35="",B35&lt;TODAY()),"",COUNTIFS($B$5:$B$504,"&gt;="&amp;TODAY(),$B$5:$B$504,"&lt;"&amp;B35)+COUNTIFS($B$5:B35,B35))</f>
        <v/>
      </c>
    </row>
    <row r="36" customFormat="false" ht="15" hidden="false" customHeight="false" outlineLevel="0" collapsed="false">
      <c r="A36" s="32"/>
      <c r="B36" s="27"/>
      <c r="C36" s="29"/>
      <c r="D36" s="32"/>
      <c r="E36" s="32"/>
      <c r="F36" s="32"/>
      <c r="G36" s="31"/>
      <c r="H36" s="31"/>
      <c r="I36" s="33" t="str">
        <f aca="false">IF(G36="","",G36-H36)</f>
        <v/>
      </c>
      <c r="J36" s="33" t="str">
        <f aca="false">IF(A36="","",SUMIFS(Freelancers!$E$5:$E$504,Freelancers!$B$5:$B$504,A36))</f>
        <v/>
      </c>
      <c r="K36" s="33" t="str">
        <f aca="false">IF(A36="","",SUMIFS(Gastos!$D$5:$D$504,Gastos!$E$5:$E$504,A36))</f>
        <v/>
      </c>
      <c r="L36" s="33" t="str">
        <f aca="false">IF(G36="","",G36-N(J36)-N(K36))</f>
        <v/>
      </c>
      <c r="M36" s="34" t="str">
        <f aca="false">IF(G36="","",IF(H36&gt;=G36,"Pago",IF(H36&gt;0,"Parcial","Pendente")))</f>
        <v/>
      </c>
      <c r="N36" s="32"/>
      <c r="O36" s="35" t="str">
        <f aca="true">IF(OR(B36="",B36&lt;TODAY()),"",COUNTIFS($B$5:$B$504,"&gt;="&amp;TODAY(),$B$5:$B$504,"&lt;"&amp;B36)+COUNTIFS($B$5:B36,B36))</f>
        <v/>
      </c>
    </row>
    <row r="37" customFormat="false" ht="15" hidden="false" customHeight="false" outlineLevel="0" collapsed="false">
      <c r="A37" s="32"/>
      <c r="B37" s="27"/>
      <c r="C37" s="29"/>
      <c r="D37" s="32"/>
      <c r="E37" s="32"/>
      <c r="F37" s="32"/>
      <c r="G37" s="31"/>
      <c r="H37" s="31"/>
      <c r="I37" s="33" t="str">
        <f aca="false">IF(G37="","",G37-H37)</f>
        <v/>
      </c>
      <c r="J37" s="33" t="str">
        <f aca="false">IF(A37="","",SUMIFS(Freelancers!$E$5:$E$504,Freelancers!$B$5:$B$504,A37))</f>
        <v/>
      </c>
      <c r="K37" s="33" t="str">
        <f aca="false">IF(A37="","",SUMIFS(Gastos!$D$5:$D$504,Gastos!$E$5:$E$504,A37))</f>
        <v/>
      </c>
      <c r="L37" s="33" t="str">
        <f aca="false">IF(G37="","",G37-N(J37)-N(K37))</f>
        <v/>
      </c>
      <c r="M37" s="34" t="str">
        <f aca="false">IF(G37="","",IF(H37&gt;=G37,"Pago",IF(H37&gt;0,"Parcial","Pendente")))</f>
        <v/>
      </c>
      <c r="N37" s="32"/>
      <c r="O37" s="35" t="str">
        <f aca="true">IF(OR(B37="",B37&lt;TODAY()),"",COUNTIFS($B$5:$B$504,"&gt;="&amp;TODAY(),$B$5:$B$504,"&lt;"&amp;B37)+COUNTIFS($B$5:B37,B37))</f>
        <v/>
      </c>
    </row>
    <row r="38" customFormat="false" ht="15" hidden="false" customHeight="false" outlineLevel="0" collapsed="false">
      <c r="A38" s="32"/>
      <c r="B38" s="27"/>
      <c r="C38" s="29"/>
      <c r="D38" s="32"/>
      <c r="E38" s="32"/>
      <c r="F38" s="32"/>
      <c r="G38" s="31"/>
      <c r="H38" s="31"/>
      <c r="I38" s="33" t="str">
        <f aca="false">IF(G38="","",G38-H38)</f>
        <v/>
      </c>
      <c r="J38" s="33" t="str">
        <f aca="false">IF(A38="","",SUMIFS(Freelancers!$E$5:$E$504,Freelancers!$B$5:$B$504,A38))</f>
        <v/>
      </c>
      <c r="K38" s="33" t="str">
        <f aca="false">IF(A38="","",SUMIFS(Gastos!$D$5:$D$504,Gastos!$E$5:$E$504,A38))</f>
        <v/>
      </c>
      <c r="L38" s="33" t="str">
        <f aca="false">IF(G38="","",G38-N(J38)-N(K38))</f>
        <v/>
      </c>
      <c r="M38" s="34" t="str">
        <f aca="false">IF(G38="","",IF(H38&gt;=G38,"Pago",IF(H38&gt;0,"Parcial","Pendente")))</f>
        <v/>
      </c>
      <c r="N38" s="32"/>
      <c r="O38" s="35" t="str">
        <f aca="true">IF(OR(B38="",B38&lt;TODAY()),"",COUNTIFS($B$5:$B$504,"&gt;="&amp;TODAY(),$B$5:$B$504,"&lt;"&amp;B38)+COUNTIFS($B$5:B38,B38))</f>
        <v/>
      </c>
    </row>
    <row r="39" customFormat="false" ht="15" hidden="false" customHeight="false" outlineLevel="0" collapsed="false">
      <c r="A39" s="32"/>
      <c r="B39" s="27"/>
      <c r="C39" s="29"/>
      <c r="D39" s="32"/>
      <c r="E39" s="32"/>
      <c r="F39" s="32"/>
      <c r="G39" s="31"/>
      <c r="H39" s="31"/>
      <c r="I39" s="33" t="str">
        <f aca="false">IF(G39="","",G39-H39)</f>
        <v/>
      </c>
      <c r="J39" s="33" t="str">
        <f aca="false">IF(A39="","",SUMIFS(Freelancers!$E$5:$E$504,Freelancers!$B$5:$B$504,A39))</f>
        <v/>
      </c>
      <c r="K39" s="33" t="str">
        <f aca="false">IF(A39="","",SUMIFS(Gastos!$D$5:$D$504,Gastos!$E$5:$E$504,A39))</f>
        <v/>
      </c>
      <c r="L39" s="33" t="str">
        <f aca="false">IF(G39="","",G39-N(J39)-N(K39))</f>
        <v/>
      </c>
      <c r="M39" s="34" t="str">
        <f aca="false">IF(G39="","",IF(H39&gt;=G39,"Pago",IF(H39&gt;0,"Parcial","Pendente")))</f>
        <v/>
      </c>
      <c r="N39" s="32"/>
      <c r="O39" s="35" t="str">
        <f aca="true">IF(OR(B39="",B39&lt;TODAY()),"",COUNTIFS($B$5:$B$504,"&gt;="&amp;TODAY(),$B$5:$B$504,"&lt;"&amp;B39)+COUNTIFS($B$5:B39,B39))</f>
        <v/>
      </c>
    </row>
    <row r="40" customFormat="false" ht="15" hidden="false" customHeight="false" outlineLevel="0" collapsed="false">
      <c r="A40" s="32"/>
      <c r="B40" s="27"/>
      <c r="C40" s="29"/>
      <c r="D40" s="32"/>
      <c r="E40" s="32"/>
      <c r="F40" s="32"/>
      <c r="G40" s="31"/>
      <c r="H40" s="31"/>
      <c r="I40" s="33" t="str">
        <f aca="false">IF(G40="","",G40-H40)</f>
        <v/>
      </c>
      <c r="J40" s="33" t="str">
        <f aca="false">IF(A40="","",SUMIFS(Freelancers!$E$5:$E$504,Freelancers!$B$5:$B$504,A40))</f>
        <v/>
      </c>
      <c r="K40" s="33" t="str">
        <f aca="false">IF(A40="","",SUMIFS(Gastos!$D$5:$D$504,Gastos!$E$5:$E$504,A40))</f>
        <v/>
      </c>
      <c r="L40" s="33" t="str">
        <f aca="false">IF(G40="","",G40-N(J40)-N(K40))</f>
        <v/>
      </c>
      <c r="M40" s="34" t="str">
        <f aca="false">IF(G40="","",IF(H40&gt;=G40,"Pago",IF(H40&gt;0,"Parcial","Pendente")))</f>
        <v/>
      </c>
      <c r="N40" s="32"/>
      <c r="O40" s="35" t="str">
        <f aca="true">IF(OR(B40="",B40&lt;TODAY()),"",COUNTIFS($B$5:$B$504,"&gt;="&amp;TODAY(),$B$5:$B$504,"&lt;"&amp;B40)+COUNTIFS($B$5:B40,B40))</f>
        <v/>
      </c>
    </row>
    <row r="41" customFormat="false" ht="15" hidden="false" customHeight="false" outlineLevel="0" collapsed="false">
      <c r="A41" s="32"/>
      <c r="B41" s="27"/>
      <c r="C41" s="29"/>
      <c r="D41" s="32"/>
      <c r="E41" s="32"/>
      <c r="F41" s="32"/>
      <c r="G41" s="31"/>
      <c r="H41" s="31"/>
      <c r="I41" s="33" t="str">
        <f aca="false">IF(G41="","",G41-H41)</f>
        <v/>
      </c>
      <c r="J41" s="33" t="str">
        <f aca="false">IF(A41="","",SUMIFS(Freelancers!$E$5:$E$504,Freelancers!$B$5:$B$504,A41))</f>
        <v/>
      </c>
      <c r="K41" s="33" t="str">
        <f aca="false">IF(A41="","",SUMIFS(Gastos!$D$5:$D$504,Gastos!$E$5:$E$504,A41))</f>
        <v/>
      </c>
      <c r="L41" s="33" t="str">
        <f aca="false">IF(G41="","",G41-N(J41)-N(K41))</f>
        <v/>
      </c>
      <c r="M41" s="34" t="str">
        <f aca="false">IF(G41="","",IF(H41&gt;=G41,"Pago",IF(H41&gt;0,"Parcial","Pendente")))</f>
        <v/>
      </c>
      <c r="N41" s="32"/>
      <c r="O41" s="35" t="str">
        <f aca="true">IF(OR(B41="",B41&lt;TODAY()),"",COUNTIFS($B$5:$B$504,"&gt;="&amp;TODAY(),$B$5:$B$504,"&lt;"&amp;B41)+COUNTIFS($B$5:B41,B41))</f>
        <v/>
      </c>
    </row>
    <row r="42" customFormat="false" ht="15" hidden="false" customHeight="false" outlineLevel="0" collapsed="false">
      <c r="A42" s="32"/>
      <c r="B42" s="27"/>
      <c r="C42" s="29"/>
      <c r="D42" s="32"/>
      <c r="E42" s="32"/>
      <c r="F42" s="32"/>
      <c r="G42" s="31"/>
      <c r="H42" s="31"/>
      <c r="I42" s="33" t="str">
        <f aca="false">IF(G42="","",G42-H42)</f>
        <v/>
      </c>
      <c r="J42" s="33" t="str">
        <f aca="false">IF(A42="","",SUMIFS(Freelancers!$E$5:$E$504,Freelancers!$B$5:$B$504,A42))</f>
        <v/>
      </c>
      <c r="K42" s="33" t="str">
        <f aca="false">IF(A42="","",SUMIFS(Gastos!$D$5:$D$504,Gastos!$E$5:$E$504,A42))</f>
        <v/>
      </c>
      <c r="L42" s="33" t="str">
        <f aca="false">IF(G42="","",G42-N(J42)-N(K42))</f>
        <v/>
      </c>
      <c r="M42" s="34" t="str">
        <f aca="false">IF(G42="","",IF(H42&gt;=G42,"Pago",IF(H42&gt;0,"Parcial","Pendente")))</f>
        <v/>
      </c>
      <c r="N42" s="32"/>
      <c r="O42" s="35" t="str">
        <f aca="true">IF(OR(B42="",B42&lt;TODAY()),"",COUNTIFS($B$5:$B$504,"&gt;="&amp;TODAY(),$B$5:$B$504,"&lt;"&amp;B42)+COUNTIFS($B$5:B42,B42))</f>
        <v/>
      </c>
    </row>
    <row r="43" customFormat="false" ht="15" hidden="false" customHeight="false" outlineLevel="0" collapsed="false">
      <c r="A43" s="32"/>
      <c r="B43" s="27"/>
      <c r="C43" s="29"/>
      <c r="D43" s="32"/>
      <c r="E43" s="32"/>
      <c r="F43" s="32"/>
      <c r="G43" s="31"/>
      <c r="H43" s="31"/>
      <c r="I43" s="33" t="str">
        <f aca="false">IF(G43="","",G43-H43)</f>
        <v/>
      </c>
      <c r="J43" s="33" t="str">
        <f aca="false">IF(A43="","",SUMIFS(Freelancers!$E$5:$E$504,Freelancers!$B$5:$B$504,A43))</f>
        <v/>
      </c>
      <c r="K43" s="33" t="str">
        <f aca="false">IF(A43="","",SUMIFS(Gastos!$D$5:$D$504,Gastos!$E$5:$E$504,A43))</f>
        <v/>
      </c>
      <c r="L43" s="33" t="str">
        <f aca="false">IF(G43="","",G43-N(J43)-N(K43))</f>
        <v/>
      </c>
      <c r="M43" s="34" t="str">
        <f aca="false">IF(G43="","",IF(H43&gt;=G43,"Pago",IF(H43&gt;0,"Parcial","Pendente")))</f>
        <v/>
      </c>
      <c r="N43" s="32"/>
      <c r="O43" s="35" t="str">
        <f aca="true">IF(OR(B43="",B43&lt;TODAY()),"",COUNTIFS($B$5:$B$504,"&gt;="&amp;TODAY(),$B$5:$B$504,"&lt;"&amp;B43)+COUNTIFS($B$5:B43,B43))</f>
        <v/>
      </c>
    </row>
    <row r="44" customFormat="false" ht="15" hidden="false" customHeight="false" outlineLevel="0" collapsed="false">
      <c r="A44" s="32"/>
      <c r="B44" s="27"/>
      <c r="C44" s="29"/>
      <c r="D44" s="32"/>
      <c r="E44" s="32"/>
      <c r="F44" s="32"/>
      <c r="G44" s="31"/>
      <c r="H44" s="31"/>
      <c r="I44" s="33" t="str">
        <f aca="false">IF(G44="","",G44-H44)</f>
        <v/>
      </c>
      <c r="J44" s="33" t="str">
        <f aca="false">IF(A44="","",SUMIFS(Freelancers!$E$5:$E$504,Freelancers!$B$5:$B$504,A44))</f>
        <v/>
      </c>
      <c r="K44" s="33" t="str">
        <f aca="false">IF(A44="","",SUMIFS(Gastos!$D$5:$D$504,Gastos!$E$5:$E$504,A44))</f>
        <v/>
      </c>
      <c r="L44" s="33" t="str">
        <f aca="false">IF(G44="","",G44-N(J44)-N(K44))</f>
        <v/>
      </c>
      <c r="M44" s="34" t="str">
        <f aca="false">IF(G44="","",IF(H44&gt;=G44,"Pago",IF(H44&gt;0,"Parcial","Pendente")))</f>
        <v/>
      </c>
      <c r="N44" s="32"/>
      <c r="O44" s="35" t="str">
        <f aca="true">IF(OR(B44="",B44&lt;TODAY()),"",COUNTIFS($B$5:$B$504,"&gt;="&amp;TODAY(),$B$5:$B$504,"&lt;"&amp;B44)+COUNTIFS($B$5:B44,B44))</f>
        <v/>
      </c>
    </row>
    <row r="45" customFormat="false" ht="15" hidden="false" customHeight="false" outlineLevel="0" collapsed="false">
      <c r="A45" s="32"/>
      <c r="B45" s="27"/>
      <c r="C45" s="29"/>
      <c r="D45" s="32"/>
      <c r="E45" s="32"/>
      <c r="F45" s="32"/>
      <c r="G45" s="31"/>
      <c r="H45" s="31"/>
      <c r="I45" s="33" t="str">
        <f aca="false">IF(G45="","",G45-H45)</f>
        <v/>
      </c>
      <c r="J45" s="33" t="str">
        <f aca="false">IF(A45="","",SUMIFS(Freelancers!$E$5:$E$504,Freelancers!$B$5:$B$504,A45))</f>
        <v/>
      </c>
      <c r="K45" s="33" t="str">
        <f aca="false">IF(A45="","",SUMIFS(Gastos!$D$5:$D$504,Gastos!$E$5:$E$504,A45))</f>
        <v/>
      </c>
      <c r="L45" s="33" t="str">
        <f aca="false">IF(G45="","",G45-N(J45)-N(K45))</f>
        <v/>
      </c>
      <c r="M45" s="34" t="str">
        <f aca="false">IF(G45="","",IF(H45&gt;=G45,"Pago",IF(H45&gt;0,"Parcial","Pendente")))</f>
        <v/>
      </c>
      <c r="N45" s="32"/>
      <c r="O45" s="35" t="str">
        <f aca="true">IF(OR(B45="",B45&lt;TODAY()),"",COUNTIFS($B$5:$B$504,"&gt;="&amp;TODAY(),$B$5:$B$504,"&lt;"&amp;B45)+COUNTIFS($B$5:B45,B45))</f>
        <v/>
      </c>
    </row>
    <row r="46" customFormat="false" ht="15" hidden="false" customHeight="false" outlineLevel="0" collapsed="false">
      <c r="A46" s="32"/>
      <c r="B46" s="27"/>
      <c r="C46" s="29"/>
      <c r="D46" s="32"/>
      <c r="E46" s="32"/>
      <c r="F46" s="32"/>
      <c r="G46" s="31"/>
      <c r="H46" s="31"/>
      <c r="I46" s="33" t="str">
        <f aca="false">IF(G46="","",G46-H46)</f>
        <v/>
      </c>
      <c r="J46" s="33" t="str">
        <f aca="false">IF(A46="","",SUMIFS(Freelancers!$E$5:$E$504,Freelancers!$B$5:$B$504,A46))</f>
        <v/>
      </c>
      <c r="K46" s="33" t="str">
        <f aca="false">IF(A46="","",SUMIFS(Gastos!$D$5:$D$504,Gastos!$E$5:$E$504,A46))</f>
        <v/>
      </c>
      <c r="L46" s="33" t="str">
        <f aca="false">IF(G46="","",G46-N(J46)-N(K46))</f>
        <v/>
      </c>
      <c r="M46" s="34" t="str">
        <f aca="false">IF(G46="","",IF(H46&gt;=G46,"Pago",IF(H46&gt;0,"Parcial","Pendente")))</f>
        <v/>
      </c>
      <c r="N46" s="32"/>
      <c r="O46" s="35" t="str">
        <f aca="true">IF(OR(B46="",B46&lt;TODAY()),"",COUNTIFS($B$5:$B$504,"&gt;="&amp;TODAY(),$B$5:$B$504,"&lt;"&amp;B46)+COUNTIFS($B$5:B46,B46))</f>
        <v/>
      </c>
    </row>
    <row r="47" customFormat="false" ht="15" hidden="false" customHeight="false" outlineLevel="0" collapsed="false">
      <c r="A47" s="32"/>
      <c r="B47" s="27"/>
      <c r="C47" s="29"/>
      <c r="D47" s="32"/>
      <c r="E47" s="32"/>
      <c r="F47" s="32"/>
      <c r="G47" s="31"/>
      <c r="H47" s="31"/>
      <c r="I47" s="33" t="str">
        <f aca="false">IF(G47="","",G47-H47)</f>
        <v/>
      </c>
      <c r="J47" s="33" t="str">
        <f aca="false">IF(A47="","",SUMIFS(Freelancers!$E$5:$E$504,Freelancers!$B$5:$B$504,A47))</f>
        <v/>
      </c>
      <c r="K47" s="33" t="str">
        <f aca="false">IF(A47="","",SUMIFS(Gastos!$D$5:$D$504,Gastos!$E$5:$E$504,A47))</f>
        <v/>
      </c>
      <c r="L47" s="33" t="str">
        <f aca="false">IF(G47="","",G47-N(J47)-N(K47))</f>
        <v/>
      </c>
      <c r="M47" s="34" t="str">
        <f aca="false">IF(G47="","",IF(H47&gt;=G47,"Pago",IF(H47&gt;0,"Parcial","Pendente")))</f>
        <v/>
      </c>
      <c r="N47" s="32"/>
      <c r="O47" s="35" t="str">
        <f aca="true">IF(OR(B47="",B47&lt;TODAY()),"",COUNTIFS($B$5:$B$504,"&gt;="&amp;TODAY(),$B$5:$B$504,"&lt;"&amp;B47)+COUNTIFS($B$5:B47,B47))</f>
        <v/>
      </c>
    </row>
    <row r="48" customFormat="false" ht="15" hidden="false" customHeight="false" outlineLevel="0" collapsed="false">
      <c r="A48" s="32"/>
      <c r="B48" s="27"/>
      <c r="C48" s="29"/>
      <c r="D48" s="32"/>
      <c r="E48" s="32"/>
      <c r="F48" s="32"/>
      <c r="G48" s="31"/>
      <c r="H48" s="31"/>
      <c r="I48" s="33" t="str">
        <f aca="false">IF(G48="","",G48-H48)</f>
        <v/>
      </c>
      <c r="J48" s="33" t="str">
        <f aca="false">IF(A48="","",SUMIFS(Freelancers!$E$5:$E$504,Freelancers!$B$5:$B$504,A48))</f>
        <v/>
      </c>
      <c r="K48" s="33" t="str">
        <f aca="false">IF(A48="","",SUMIFS(Gastos!$D$5:$D$504,Gastos!$E$5:$E$504,A48))</f>
        <v/>
      </c>
      <c r="L48" s="33" t="str">
        <f aca="false">IF(G48="","",G48-N(J48)-N(K48))</f>
        <v/>
      </c>
      <c r="M48" s="34" t="str">
        <f aca="false">IF(G48="","",IF(H48&gt;=G48,"Pago",IF(H48&gt;0,"Parcial","Pendente")))</f>
        <v/>
      </c>
      <c r="N48" s="32"/>
      <c r="O48" s="35" t="str">
        <f aca="true">IF(OR(B48="",B48&lt;TODAY()),"",COUNTIFS($B$5:$B$504,"&gt;="&amp;TODAY(),$B$5:$B$504,"&lt;"&amp;B48)+COUNTIFS($B$5:B48,B48))</f>
        <v/>
      </c>
    </row>
    <row r="49" customFormat="false" ht="15" hidden="false" customHeight="false" outlineLevel="0" collapsed="false">
      <c r="A49" s="32"/>
      <c r="B49" s="27"/>
      <c r="C49" s="29"/>
      <c r="D49" s="32"/>
      <c r="E49" s="32"/>
      <c r="F49" s="32"/>
      <c r="G49" s="31"/>
      <c r="H49" s="31"/>
      <c r="I49" s="33" t="str">
        <f aca="false">IF(G49="","",G49-H49)</f>
        <v/>
      </c>
      <c r="J49" s="33" t="str">
        <f aca="false">IF(A49="","",SUMIFS(Freelancers!$E$5:$E$504,Freelancers!$B$5:$B$504,A49))</f>
        <v/>
      </c>
      <c r="K49" s="33" t="str">
        <f aca="false">IF(A49="","",SUMIFS(Gastos!$D$5:$D$504,Gastos!$E$5:$E$504,A49))</f>
        <v/>
      </c>
      <c r="L49" s="33" t="str">
        <f aca="false">IF(G49="","",G49-N(J49)-N(K49))</f>
        <v/>
      </c>
      <c r="M49" s="34" t="str">
        <f aca="false">IF(G49="","",IF(H49&gt;=G49,"Pago",IF(H49&gt;0,"Parcial","Pendente")))</f>
        <v/>
      </c>
      <c r="N49" s="32"/>
      <c r="O49" s="35" t="str">
        <f aca="true">IF(OR(B49="",B49&lt;TODAY()),"",COUNTIFS($B$5:$B$504,"&gt;="&amp;TODAY(),$B$5:$B$504,"&lt;"&amp;B49)+COUNTIFS($B$5:B49,B49))</f>
        <v/>
      </c>
    </row>
    <row r="50" customFormat="false" ht="15" hidden="false" customHeight="false" outlineLevel="0" collapsed="false">
      <c r="A50" s="32"/>
      <c r="B50" s="27"/>
      <c r="C50" s="29"/>
      <c r="D50" s="32"/>
      <c r="E50" s="32"/>
      <c r="F50" s="32"/>
      <c r="G50" s="31"/>
      <c r="H50" s="31"/>
      <c r="I50" s="33" t="str">
        <f aca="false">IF(G50="","",G50-H50)</f>
        <v/>
      </c>
      <c r="J50" s="33" t="str">
        <f aca="false">IF(A50="","",SUMIFS(Freelancers!$E$5:$E$504,Freelancers!$B$5:$B$504,A50))</f>
        <v/>
      </c>
      <c r="K50" s="33" t="str">
        <f aca="false">IF(A50="","",SUMIFS(Gastos!$D$5:$D$504,Gastos!$E$5:$E$504,A50))</f>
        <v/>
      </c>
      <c r="L50" s="33" t="str">
        <f aca="false">IF(G50="","",G50-N(J50)-N(K50))</f>
        <v/>
      </c>
      <c r="M50" s="34" t="str">
        <f aca="false">IF(G50="","",IF(H50&gt;=G50,"Pago",IF(H50&gt;0,"Parcial","Pendente")))</f>
        <v/>
      </c>
      <c r="N50" s="32"/>
      <c r="O50" s="35" t="str">
        <f aca="true">IF(OR(B50="",B50&lt;TODAY()),"",COUNTIFS($B$5:$B$504,"&gt;="&amp;TODAY(),$B$5:$B$504,"&lt;"&amp;B50)+COUNTIFS($B$5:B50,B50))</f>
        <v/>
      </c>
    </row>
    <row r="51" customFormat="false" ht="15" hidden="false" customHeight="false" outlineLevel="0" collapsed="false">
      <c r="A51" s="32"/>
      <c r="B51" s="27"/>
      <c r="C51" s="29"/>
      <c r="D51" s="32"/>
      <c r="E51" s="32"/>
      <c r="F51" s="32"/>
      <c r="G51" s="31"/>
      <c r="H51" s="31"/>
      <c r="I51" s="33" t="str">
        <f aca="false">IF(G51="","",G51-H51)</f>
        <v/>
      </c>
      <c r="J51" s="33" t="str">
        <f aca="false">IF(A51="","",SUMIFS(Freelancers!$E$5:$E$504,Freelancers!$B$5:$B$504,A51))</f>
        <v/>
      </c>
      <c r="K51" s="33" t="str">
        <f aca="false">IF(A51="","",SUMIFS(Gastos!$D$5:$D$504,Gastos!$E$5:$E$504,A51))</f>
        <v/>
      </c>
      <c r="L51" s="33" t="str">
        <f aca="false">IF(G51="","",G51-N(J51)-N(K51))</f>
        <v/>
      </c>
      <c r="M51" s="34" t="str">
        <f aca="false">IF(G51="","",IF(H51&gt;=G51,"Pago",IF(H51&gt;0,"Parcial","Pendente")))</f>
        <v/>
      </c>
      <c r="N51" s="32"/>
      <c r="O51" s="35" t="str">
        <f aca="true">IF(OR(B51="",B51&lt;TODAY()),"",COUNTIFS($B$5:$B$504,"&gt;="&amp;TODAY(),$B$5:$B$504,"&lt;"&amp;B51)+COUNTIFS($B$5:B51,B51))</f>
        <v/>
      </c>
    </row>
    <row r="52" customFormat="false" ht="15" hidden="false" customHeight="false" outlineLevel="0" collapsed="false">
      <c r="A52" s="32"/>
      <c r="B52" s="27"/>
      <c r="C52" s="29"/>
      <c r="D52" s="32"/>
      <c r="E52" s="32"/>
      <c r="F52" s="32"/>
      <c r="G52" s="31"/>
      <c r="H52" s="31"/>
      <c r="I52" s="33" t="str">
        <f aca="false">IF(G52="","",G52-H52)</f>
        <v/>
      </c>
      <c r="J52" s="33" t="str">
        <f aca="false">IF(A52="","",SUMIFS(Freelancers!$E$5:$E$504,Freelancers!$B$5:$B$504,A52))</f>
        <v/>
      </c>
      <c r="K52" s="33" t="str">
        <f aca="false">IF(A52="","",SUMIFS(Gastos!$D$5:$D$504,Gastos!$E$5:$E$504,A52))</f>
        <v/>
      </c>
      <c r="L52" s="33" t="str">
        <f aca="false">IF(G52="","",G52-N(J52)-N(K52))</f>
        <v/>
      </c>
      <c r="M52" s="34" t="str">
        <f aca="false">IF(G52="","",IF(H52&gt;=G52,"Pago",IF(H52&gt;0,"Parcial","Pendente")))</f>
        <v/>
      </c>
      <c r="N52" s="32"/>
      <c r="O52" s="35" t="str">
        <f aca="true">IF(OR(B52="",B52&lt;TODAY()),"",COUNTIFS($B$5:$B$504,"&gt;="&amp;TODAY(),$B$5:$B$504,"&lt;"&amp;B52)+COUNTIFS($B$5:B52,B52))</f>
        <v/>
      </c>
    </row>
    <row r="53" customFormat="false" ht="15" hidden="false" customHeight="false" outlineLevel="0" collapsed="false">
      <c r="A53" s="32"/>
      <c r="B53" s="27"/>
      <c r="C53" s="29"/>
      <c r="D53" s="32"/>
      <c r="E53" s="32"/>
      <c r="F53" s="32"/>
      <c r="G53" s="31"/>
      <c r="H53" s="31"/>
      <c r="I53" s="33" t="str">
        <f aca="false">IF(G53="","",G53-H53)</f>
        <v/>
      </c>
      <c r="J53" s="33" t="str">
        <f aca="false">IF(A53="","",SUMIFS(Freelancers!$E$5:$E$504,Freelancers!$B$5:$B$504,A53))</f>
        <v/>
      </c>
      <c r="K53" s="33" t="str">
        <f aca="false">IF(A53="","",SUMIFS(Gastos!$D$5:$D$504,Gastos!$E$5:$E$504,A53))</f>
        <v/>
      </c>
      <c r="L53" s="33" t="str">
        <f aca="false">IF(G53="","",G53-N(J53)-N(K53))</f>
        <v/>
      </c>
      <c r="M53" s="34" t="str">
        <f aca="false">IF(G53="","",IF(H53&gt;=G53,"Pago",IF(H53&gt;0,"Parcial","Pendente")))</f>
        <v/>
      </c>
      <c r="N53" s="32"/>
      <c r="O53" s="35" t="str">
        <f aca="true">IF(OR(B53="",B53&lt;TODAY()),"",COUNTIFS($B$5:$B$504,"&gt;="&amp;TODAY(),$B$5:$B$504,"&lt;"&amp;B53)+COUNTIFS($B$5:B53,B53))</f>
        <v/>
      </c>
    </row>
    <row r="54" customFormat="false" ht="15" hidden="false" customHeight="false" outlineLevel="0" collapsed="false">
      <c r="A54" s="32"/>
      <c r="B54" s="27"/>
      <c r="C54" s="29"/>
      <c r="D54" s="32"/>
      <c r="E54" s="32"/>
      <c r="F54" s="32"/>
      <c r="G54" s="31"/>
      <c r="H54" s="31"/>
      <c r="I54" s="33" t="str">
        <f aca="false">IF(G54="","",G54-H54)</f>
        <v/>
      </c>
      <c r="J54" s="33" t="str">
        <f aca="false">IF(A54="","",SUMIFS(Freelancers!$E$5:$E$504,Freelancers!$B$5:$B$504,A54))</f>
        <v/>
      </c>
      <c r="K54" s="33" t="str">
        <f aca="false">IF(A54="","",SUMIFS(Gastos!$D$5:$D$504,Gastos!$E$5:$E$504,A54))</f>
        <v/>
      </c>
      <c r="L54" s="33" t="str">
        <f aca="false">IF(G54="","",G54-N(J54)-N(K54))</f>
        <v/>
      </c>
      <c r="M54" s="34" t="str">
        <f aca="false">IF(G54="","",IF(H54&gt;=G54,"Pago",IF(H54&gt;0,"Parcial","Pendente")))</f>
        <v/>
      </c>
      <c r="N54" s="32"/>
      <c r="O54" s="35" t="str">
        <f aca="true">IF(OR(B54="",B54&lt;TODAY()),"",COUNTIFS($B$5:$B$504,"&gt;="&amp;TODAY(),$B$5:$B$504,"&lt;"&amp;B54)+COUNTIFS($B$5:B54,B54))</f>
        <v/>
      </c>
    </row>
    <row r="55" customFormat="false" ht="15" hidden="false" customHeight="false" outlineLevel="0" collapsed="false">
      <c r="A55" s="32"/>
      <c r="B55" s="27"/>
      <c r="C55" s="29"/>
      <c r="D55" s="32"/>
      <c r="E55" s="32"/>
      <c r="F55" s="32"/>
      <c r="G55" s="31"/>
      <c r="H55" s="31"/>
      <c r="I55" s="33" t="str">
        <f aca="false">IF(G55="","",G55-H55)</f>
        <v/>
      </c>
      <c r="J55" s="33" t="str">
        <f aca="false">IF(A55="","",SUMIFS(Freelancers!$E$5:$E$504,Freelancers!$B$5:$B$504,A55))</f>
        <v/>
      </c>
      <c r="K55" s="33" t="str">
        <f aca="false">IF(A55="","",SUMIFS(Gastos!$D$5:$D$504,Gastos!$E$5:$E$504,A55))</f>
        <v/>
      </c>
      <c r="L55" s="33" t="str">
        <f aca="false">IF(G55="","",G55-N(J55)-N(K55))</f>
        <v/>
      </c>
      <c r="M55" s="34" t="str">
        <f aca="false">IF(G55="","",IF(H55&gt;=G55,"Pago",IF(H55&gt;0,"Parcial","Pendente")))</f>
        <v/>
      </c>
      <c r="N55" s="32"/>
      <c r="O55" s="35" t="str">
        <f aca="true">IF(OR(B55="",B55&lt;TODAY()),"",COUNTIFS($B$5:$B$504,"&gt;="&amp;TODAY(),$B$5:$B$504,"&lt;"&amp;B55)+COUNTIFS($B$5:B55,B55))</f>
        <v/>
      </c>
    </row>
    <row r="56" customFormat="false" ht="15" hidden="false" customHeight="false" outlineLevel="0" collapsed="false">
      <c r="A56" s="32"/>
      <c r="B56" s="27"/>
      <c r="C56" s="29"/>
      <c r="D56" s="32"/>
      <c r="E56" s="32"/>
      <c r="F56" s="32"/>
      <c r="G56" s="31"/>
      <c r="H56" s="31"/>
      <c r="I56" s="33" t="str">
        <f aca="false">IF(G56="","",G56-H56)</f>
        <v/>
      </c>
      <c r="J56" s="33" t="str">
        <f aca="false">IF(A56="","",SUMIFS(Freelancers!$E$5:$E$504,Freelancers!$B$5:$B$504,A56))</f>
        <v/>
      </c>
      <c r="K56" s="33" t="str">
        <f aca="false">IF(A56="","",SUMIFS(Gastos!$D$5:$D$504,Gastos!$E$5:$E$504,A56))</f>
        <v/>
      </c>
      <c r="L56" s="33" t="str">
        <f aca="false">IF(G56="","",G56-N(J56)-N(K56))</f>
        <v/>
      </c>
      <c r="M56" s="34" t="str">
        <f aca="false">IF(G56="","",IF(H56&gt;=G56,"Pago",IF(H56&gt;0,"Parcial","Pendente")))</f>
        <v/>
      </c>
      <c r="N56" s="32"/>
      <c r="O56" s="35" t="str">
        <f aca="true">IF(OR(B56="",B56&lt;TODAY()),"",COUNTIFS($B$5:$B$504,"&gt;="&amp;TODAY(),$B$5:$B$504,"&lt;"&amp;B56)+COUNTIFS($B$5:B56,B56))</f>
        <v/>
      </c>
    </row>
    <row r="57" customFormat="false" ht="15" hidden="false" customHeight="false" outlineLevel="0" collapsed="false">
      <c r="A57" s="32"/>
      <c r="B57" s="27"/>
      <c r="C57" s="29"/>
      <c r="D57" s="32"/>
      <c r="E57" s="32"/>
      <c r="F57" s="32"/>
      <c r="G57" s="31"/>
      <c r="H57" s="31"/>
      <c r="I57" s="33" t="str">
        <f aca="false">IF(G57="","",G57-H57)</f>
        <v/>
      </c>
      <c r="J57" s="33" t="str">
        <f aca="false">IF(A57="","",SUMIFS(Freelancers!$E$5:$E$504,Freelancers!$B$5:$B$504,A57))</f>
        <v/>
      </c>
      <c r="K57" s="33" t="str">
        <f aca="false">IF(A57="","",SUMIFS(Gastos!$D$5:$D$504,Gastos!$E$5:$E$504,A57))</f>
        <v/>
      </c>
      <c r="L57" s="33" t="str">
        <f aca="false">IF(G57="","",G57-N(J57)-N(K57))</f>
        <v/>
      </c>
      <c r="M57" s="34" t="str">
        <f aca="false">IF(G57="","",IF(H57&gt;=G57,"Pago",IF(H57&gt;0,"Parcial","Pendente")))</f>
        <v/>
      </c>
      <c r="N57" s="32"/>
      <c r="O57" s="35" t="str">
        <f aca="true">IF(OR(B57="",B57&lt;TODAY()),"",COUNTIFS($B$5:$B$504,"&gt;="&amp;TODAY(),$B$5:$B$504,"&lt;"&amp;B57)+COUNTIFS($B$5:B57,B57))</f>
        <v/>
      </c>
    </row>
    <row r="58" customFormat="false" ht="15" hidden="false" customHeight="false" outlineLevel="0" collapsed="false">
      <c r="A58" s="32"/>
      <c r="B58" s="27"/>
      <c r="C58" s="29"/>
      <c r="D58" s="32"/>
      <c r="E58" s="32"/>
      <c r="F58" s="32"/>
      <c r="G58" s="31"/>
      <c r="H58" s="31"/>
      <c r="I58" s="33" t="str">
        <f aca="false">IF(G58="","",G58-H58)</f>
        <v/>
      </c>
      <c r="J58" s="33" t="str">
        <f aca="false">IF(A58="","",SUMIFS(Freelancers!$E$5:$E$504,Freelancers!$B$5:$B$504,A58))</f>
        <v/>
      </c>
      <c r="K58" s="33" t="str">
        <f aca="false">IF(A58="","",SUMIFS(Gastos!$D$5:$D$504,Gastos!$E$5:$E$504,A58))</f>
        <v/>
      </c>
      <c r="L58" s="33" t="str">
        <f aca="false">IF(G58="","",G58-N(J58)-N(K58))</f>
        <v/>
      </c>
      <c r="M58" s="34" t="str">
        <f aca="false">IF(G58="","",IF(H58&gt;=G58,"Pago",IF(H58&gt;0,"Parcial","Pendente")))</f>
        <v/>
      </c>
      <c r="N58" s="32"/>
      <c r="O58" s="35" t="str">
        <f aca="true">IF(OR(B58="",B58&lt;TODAY()),"",COUNTIFS($B$5:$B$504,"&gt;="&amp;TODAY(),$B$5:$B$504,"&lt;"&amp;B58)+COUNTIFS($B$5:B58,B58))</f>
        <v/>
      </c>
    </row>
    <row r="59" customFormat="false" ht="15" hidden="false" customHeight="false" outlineLevel="0" collapsed="false">
      <c r="A59" s="32"/>
      <c r="B59" s="27"/>
      <c r="C59" s="29"/>
      <c r="D59" s="32"/>
      <c r="E59" s="32"/>
      <c r="F59" s="32"/>
      <c r="G59" s="31"/>
      <c r="H59" s="31"/>
      <c r="I59" s="33" t="str">
        <f aca="false">IF(G59="","",G59-H59)</f>
        <v/>
      </c>
      <c r="J59" s="33" t="str">
        <f aca="false">IF(A59="","",SUMIFS(Freelancers!$E$5:$E$504,Freelancers!$B$5:$B$504,A59))</f>
        <v/>
      </c>
      <c r="K59" s="33" t="str">
        <f aca="false">IF(A59="","",SUMIFS(Gastos!$D$5:$D$504,Gastos!$E$5:$E$504,A59))</f>
        <v/>
      </c>
      <c r="L59" s="33" t="str">
        <f aca="false">IF(G59="","",G59-N(J59)-N(K59))</f>
        <v/>
      </c>
      <c r="M59" s="34" t="str">
        <f aca="false">IF(G59="","",IF(H59&gt;=G59,"Pago",IF(H59&gt;0,"Parcial","Pendente")))</f>
        <v/>
      </c>
      <c r="N59" s="32"/>
      <c r="O59" s="35" t="str">
        <f aca="true">IF(OR(B59="",B59&lt;TODAY()),"",COUNTIFS($B$5:$B$504,"&gt;="&amp;TODAY(),$B$5:$B$504,"&lt;"&amp;B59)+COUNTIFS($B$5:B59,B59))</f>
        <v/>
      </c>
    </row>
    <row r="60" customFormat="false" ht="15" hidden="false" customHeight="false" outlineLevel="0" collapsed="false">
      <c r="A60" s="32"/>
      <c r="B60" s="27"/>
      <c r="C60" s="29"/>
      <c r="D60" s="32"/>
      <c r="E60" s="32"/>
      <c r="F60" s="32"/>
      <c r="G60" s="31"/>
      <c r="H60" s="31"/>
      <c r="I60" s="33" t="str">
        <f aca="false">IF(G60="","",G60-H60)</f>
        <v/>
      </c>
      <c r="J60" s="33" t="str">
        <f aca="false">IF(A60="","",SUMIFS(Freelancers!$E$5:$E$504,Freelancers!$B$5:$B$504,A60))</f>
        <v/>
      </c>
      <c r="K60" s="33" t="str">
        <f aca="false">IF(A60="","",SUMIFS(Gastos!$D$5:$D$504,Gastos!$E$5:$E$504,A60))</f>
        <v/>
      </c>
      <c r="L60" s="33" t="str">
        <f aca="false">IF(G60="","",G60-N(J60)-N(K60))</f>
        <v/>
      </c>
      <c r="M60" s="34" t="str">
        <f aca="false">IF(G60="","",IF(H60&gt;=G60,"Pago",IF(H60&gt;0,"Parcial","Pendente")))</f>
        <v/>
      </c>
      <c r="N60" s="32"/>
      <c r="O60" s="35" t="str">
        <f aca="true">IF(OR(B60="",B60&lt;TODAY()),"",COUNTIFS($B$5:$B$504,"&gt;="&amp;TODAY(),$B$5:$B$504,"&lt;"&amp;B60)+COUNTIFS($B$5:B60,B60))</f>
        <v/>
      </c>
    </row>
    <row r="61" customFormat="false" ht="15" hidden="false" customHeight="false" outlineLevel="0" collapsed="false">
      <c r="A61" s="32"/>
      <c r="B61" s="27"/>
      <c r="C61" s="29"/>
      <c r="D61" s="32"/>
      <c r="E61" s="32"/>
      <c r="F61" s="32"/>
      <c r="G61" s="31"/>
      <c r="H61" s="31"/>
      <c r="I61" s="33" t="str">
        <f aca="false">IF(G61="","",G61-H61)</f>
        <v/>
      </c>
      <c r="J61" s="33" t="str">
        <f aca="false">IF(A61="","",SUMIFS(Freelancers!$E$5:$E$504,Freelancers!$B$5:$B$504,A61))</f>
        <v/>
      </c>
      <c r="K61" s="33" t="str">
        <f aca="false">IF(A61="","",SUMIFS(Gastos!$D$5:$D$504,Gastos!$E$5:$E$504,A61))</f>
        <v/>
      </c>
      <c r="L61" s="33" t="str">
        <f aca="false">IF(G61="","",G61-N(J61)-N(K61))</f>
        <v/>
      </c>
      <c r="M61" s="34" t="str">
        <f aca="false">IF(G61="","",IF(H61&gt;=G61,"Pago",IF(H61&gt;0,"Parcial","Pendente")))</f>
        <v/>
      </c>
      <c r="N61" s="32"/>
      <c r="O61" s="35" t="str">
        <f aca="true">IF(OR(B61="",B61&lt;TODAY()),"",COUNTIFS($B$5:$B$504,"&gt;="&amp;TODAY(),$B$5:$B$504,"&lt;"&amp;B61)+COUNTIFS($B$5:B61,B61))</f>
        <v/>
      </c>
    </row>
    <row r="62" customFormat="false" ht="15" hidden="false" customHeight="false" outlineLevel="0" collapsed="false">
      <c r="A62" s="32"/>
      <c r="B62" s="27"/>
      <c r="C62" s="29"/>
      <c r="D62" s="32"/>
      <c r="E62" s="32"/>
      <c r="F62" s="32"/>
      <c r="G62" s="31"/>
      <c r="H62" s="31"/>
      <c r="I62" s="33" t="str">
        <f aca="false">IF(G62="","",G62-H62)</f>
        <v/>
      </c>
      <c r="J62" s="33" t="str">
        <f aca="false">IF(A62="","",SUMIFS(Freelancers!$E$5:$E$504,Freelancers!$B$5:$B$504,A62))</f>
        <v/>
      </c>
      <c r="K62" s="33" t="str">
        <f aca="false">IF(A62="","",SUMIFS(Gastos!$D$5:$D$504,Gastos!$E$5:$E$504,A62))</f>
        <v/>
      </c>
      <c r="L62" s="33" t="str">
        <f aca="false">IF(G62="","",G62-N(J62)-N(K62))</f>
        <v/>
      </c>
      <c r="M62" s="34" t="str">
        <f aca="false">IF(G62="","",IF(H62&gt;=G62,"Pago",IF(H62&gt;0,"Parcial","Pendente")))</f>
        <v/>
      </c>
      <c r="N62" s="32"/>
      <c r="O62" s="35" t="str">
        <f aca="true">IF(OR(B62="",B62&lt;TODAY()),"",COUNTIFS($B$5:$B$504,"&gt;="&amp;TODAY(),$B$5:$B$504,"&lt;"&amp;B62)+COUNTIFS($B$5:B62,B62))</f>
        <v/>
      </c>
    </row>
    <row r="63" customFormat="false" ht="15" hidden="false" customHeight="false" outlineLevel="0" collapsed="false">
      <c r="A63" s="32"/>
      <c r="B63" s="27"/>
      <c r="C63" s="29"/>
      <c r="D63" s="32"/>
      <c r="E63" s="32"/>
      <c r="F63" s="32"/>
      <c r="G63" s="31"/>
      <c r="H63" s="31"/>
      <c r="I63" s="33" t="str">
        <f aca="false">IF(G63="","",G63-H63)</f>
        <v/>
      </c>
      <c r="J63" s="33" t="str">
        <f aca="false">IF(A63="","",SUMIFS(Freelancers!$E$5:$E$504,Freelancers!$B$5:$B$504,A63))</f>
        <v/>
      </c>
      <c r="K63" s="33" t="str">
        <f aca="false">IF(A63="","",SUMIFS(Gastos!$D$5:$D$504,Gastos!$E$5:$E$504,A63))</f>
        <v/>
      </c>
      <c r="L63" s="33" t="str">
        <f aca="false">IF(G63="","",G63-N(J63)-N(K63))</f>
        <v/>
      </c>
      <c r="M63" s="34" t="str">
        <f aca="false">IF(G63="","",IF(H63&gt;=G63,"Pago",IF(H63&gt;0,"Parcial","Pendente")))</f>
        <v/>
      </c>
      <c r="N63" s="32"/>
      <c r="O63" s="35" t="str">
        <f aca="true">IF(OR(B63="",B63&lt;TODAY()),"",COUNTIFS($B$5:$B$504,"&gt;="&amp;TODAY(),$B$5:$B$504,"&lt;"&amp;B63)+COUNTIFS($B$5:B63,B63))</f>
        <v/>
      </c>
    </row>
    <row r="64" customFormat="false" ht="15" hidden="false" customHeight="false" outlineLevel="0" collapsed="false">
      <c r="A64" s="32"/>
      <c r="B64" s="27"/>
      <c r="C64" s="29"/>
      <c r="D64" s="32"/>
      <c r="E64" s="32"/>
      <c r="F64" s="32"/>
      <c r="G64" s="31"/>
      <c r="H64" s="31"/>
      <c r="I64" s="33" t="str">
        <f aca="false">IF(G64="","",G64-H64)</f>
        <v/>
      </c>
      <c r="J64" s="33" t="str">
        <f aca="false">IF(A64="","",SUMIFS(Freelancers!$E$5:$E$504,Freelancers!$B$5:$B$504,A64))</f>
        <v/>
      </c>
      <c r="K64" s="33" t="str">
        <f aca="false">IF(A64="","",SUMIFS(Gastos!$D$5:$D$504,Gastos!$E$5:$E$504,A64))</f>
        <v/>
      </c>
      <c r="L64" s="33" t="str">
        <f aca="false">IF(G64="","",G64-N(J64)-N(K64))</f>
        <v/>
      </c>
      <c r="M64" s="34" t="str">
        <f aca="false">IF(G64="","",IF(H64&gt;=G64,"Pago",IF(H64&gt;0,"Parcial","Pendente")))</f>
        <v/>
      </c>
      <c r="N64" s="32"/>
      <c r="O64" s="35" t="str">
        <f aca="true">IF(OR(B64="",B64&lt;TODAY()),"",COUNTIFS($B$5:$B$504,"&gt;="&amp;TODAY(),$B$5:$B$504,"&lt;"&amp;B64)+COUNTIFS($B$5:B64,B64))</f>
        <v/>
      </c>
    </row>
    <row r="65" customFormat="false" ht="15" hidden="false" customHeight="false" outlineLevel="0" collapsed="false">
      <c r="A65" s="32"/>
      <c r="B65" s="27"/>
      <c r="C65" s="29"/>
      <c r="D65" s="32"/>
      <c r="E65" s="32"/>
      <c r="F65" s="32"/>
      <c r="G65" s="31"/>
      <c r="H65" s="31"/>
      <c r="I65" s="33" t="str">
        <f aca="false">IF(G65="","",G65-H65)</f>
        <v/>
      </c>
      <c r="J65" s="33" t="str">
        <f aca="false">IF(A65="","",SUMIFS(Freelancers!$E$5:$E$504,Freelancers!$B$5:$B$504,A65))</f>
        <v/>
      </c>
      <c r="K65" s="33" t="str">
        <f aca="false">IF(A65="","",SUMIFS(Gastos!$D$5:$D$504,Gastos!$E$5:$E$504,A65))</f>
        <v/>
      </c>
      <c r="L65" s="33" t="str">
        <f aca="false">IF(G65="","",G65-N(J65)-N(K65))</f>
        <v/>
      </c>
      <c r="M65" s="34" t="str">
        <f aca="false">IF(G65="","",IF(H65&gt;=G65,"Pago",IF(H65&gt;0,"Parcial","Pendente")))</f>
        <v/>
      </c>
      <c r="N65" s="32"/>
      <c r="O65" s="35" t="str">
        <f aca="true">IF(OR(B65="",B65&lt;TODAY()),"",COUNTIFS($B$5:$B$504,"&gt;="&amp;TODAY(),$B$5:$B$504,"&lt;"&amp;B65)+COUNTIFS($B$5:B65,B65))</f>
        <v/>
      </c>
    </row>
    <row r="66" customFormat="false" ht="15" hidden="false" customHeight="false" outlineLevel="0" collapsed="false">
      <c r="A66" s="32"/>
      <c r="B66" s="27"/>
      <c r="C66" s="29"/>
      <c r="D66" s="32"/>
      <c r="E66" s="32"/>
      <c r="F66" s="32"/>
      <c r="G66" s="31"/>
      <c r="H66" s="31"/>
      <c r="I66" s="33" t="str">
        <f aca="false">IF(G66="","",G66-H66)</f>
        <v/>
      </c>
      <c r="J66" s="33" t="str">
        <f aca="false">IF(A66="","",SUMIFS(Freelancers!$E$5:$E$504,Freelancers!$B$5:$B$504,A66))</f>
        <v/>
      </c>
      <c r="K66" s="33" t="str">
        <f aca="false">IF(A66="","",SUMIFS(Gastos!$D$5:$D$504,Gastos!$E$5:$E$504,A66))</f>
        <v/>
      </c>
      <c r="L66" s="33" t="str">
        <f aca="false">IF(G66="","",G66-N(J66)-N(K66))</f>
        <v/>
      </c>
      <c r="M66" s="34" t="str">
        <f aca="false">IF(G66="","",IF(H66&gt;=G66,"Pago",IF(H66&gt;0,"Parcial","Pendente")))</f>
        <v/>
      </c>
      <c r="N66" s="32"/>
      <c r="O66" s="35" t="str">
        <f aca="true">IF(OR(B66="",B66&lt;TODAY()),"",COUNTIFS($B$5:$B$504,"&gt;="&amp;TODAY(),$B$5:$B$504,"&lt;"&amp;B66)+COUNTIFS($B$5:B66,B66))</f>
        <v/>
      </c>
    </row>
    <row r="67" customFormat="false" ht="15" hidden="false" customHeight="false" outlineLevel="0" collapsed="false">
      <c r="A67" s="32"/>
      <c r="B67" s="27"/>
      <c r="C67" s="29"/>
      <c r="D67" s="32"/>
      <c r="E67" s="32"/>
      <c r="F67" s="32"/>
      <c r="G67" s="31"/>
      <c r="H67" s="31"/>
      <c r="I67" s="33" t="str">
        <f aca="false">IF(G67="","",G67-H67)</f>
        <v/>
      </c>
      <c r="J67" s="33" t="str">
        <f aca="false">IF(A67="","",SUMIFS(Freelancers!$E$5:$E$504,Freelancers!$B$5:$B$504,A67))</f>
        <v/>
      </c>
      <c r="K67" s="33" t="str">
        <f aca="false">IF(A67="","",SUMIFS(Gastos!$D$5:$D$504,Gastos!$E$5:$E$504,A67))</f>
        <v/>
      </c>
      <c r="L67" s="33" t="str">
        <f aca="false">IF(G67="","",G67-N(J67)-N(K67))</f>
        <v/>
      </c>
      <c r="M67" s="34" t="str">
        <f aca="false">IF(G67="","",IF(H67&gt;=G67,"Pago",IF(H67&gt;0,"Parcial","Pendente")))</f>
        <v/>
      </c>
      <c r="N67" s="32"/>
      <c r="O67" s="35" t="str">
        <f aca="true">IF(OR(B67="",B67&lt;TODAY()),"",COUNTIFS($B$5:$B$504,"&gt;="&amp;TODAY(),$B$5:$B$504,"&lt;"&amp;B67)+COUNTIFS($B$5:B67,B67))</f>
        <v/>
      </c>
    </row>
    <row r="68" customFormat="false" ht="15" hidden="false" customHeight="false" outlineLevel="0" collapsed="false">
      <c r="A68" s="32"/>
      <c r="B68" s="27"/>
      <c r="C68" s="29"/>
      <c r="D68" s="32"/>
      <c r="E68" s="32"/>
      <c r="F68" s="32"/>
      <c r="G68" s="31"/>
      <c r="H68" s="31"/>
      <c r="I68" s="33" t="str">
        <f aca="false">IF(G68="","",G68-H68)</f>
        <v/>
      </c>
      <c r="J68" s="33" t="str">
        <f aca="false">IF(A68="","",SUMIFS(Freelancers!$E$5:$E$504,Freelancers!$B$5:$B$504,A68))</f>
        <v/>
      </c>
      <c r="K68" s="33" t="str">
        <f aca="false">IF(A68="","",SUMIFS(Gastos!$D$5:$D$504,Gastos!$E$5:$E$504,A68))</f>
        <v/>
      </c>
      <c r="L68" s="33" t="str">
        <f aca="false">IF(G68="","",G68-N(J68)-N(K68))</f>
        <v/>
      </c>
      <c r="M68" s="34" t="str">
        <f aca="false">IF(G68="","",IF(H68&gt;=G68,"Pago",IF(H68&gt;0,"Parcial","Pendente")))</f>
        <v/>
      </c>
      <c r="N68" s="32"/>
      <c r="O68" s="35" t="str">
        <f aca="true">IF(OR(B68="",B68&lt;TODAY()),"",COUNTIFS($B$5:$B$504,"&gt;="&amp;TODAY(),$B$5:$B$504,"&lt;"&amp;B68)+COUNTIFS($B$5:B68,B68))</f>
        <v/>
      </c>
    </row>
    <row r="69" customFormat="false" ht="15" hidden="false" customHeight="false" outlineLevel="0" collapsed="false">
      <c r="A69" s="32"/>
      <c r="B69" s="27"/>
      <c r="C69" s="29"/>
      <c r="D69" s="32"/>
      <c r="E69" s="32"/>
      <c r="F69" s="32"/>
      <c r="G69" s="31"/>
      <c r="H69" s="31"/>
      <c r="I69" s="33" t="str">
        <f aca="false">IF(G69="","",G69-H69)</f>
        <v/>
      </c>
      <c r="J69" s="33" t="str">
        <f aca="false">IF(A69="","",SUMIFS(Freelancers!$E$5:$E$504,Freelancers!$B$5:$B$504,A69))</f>
        <v/>
      </c>
      <c r="K69" s="33" t="str">
        <f aca="false">IF(A69="","",SUMIFS(Gastos!$D$5:$D$504,Gastos!$E$5:$E$504,A69))</f>
        <v/>
      </c>
      <c r="L69" s="33" t="str">
        <f aca="false">IF(G69="","",G69-N(J69)-N(K69))</f>
        <v/>
      </c>
      <c r="M69" s="34" t="str">
        <f aca="false">IF(G69="","",IF(H69&gt;=G69,"Pago",IF(H69&gt;0,"Parcial","Pendente")))</f>
        <v/>
      </c>
      <c r="N69" s="32"/>
      <c r="O69" s="35" t="str">
        <f aca="true">IF(OR(B69="",B69&lt;TODAY()),"",COUNTIFS($B$5:$B$504,"&gt;="&amp;TODAY(),$B$5:$B$504,"&lt;"&amp;B69)+COUNTIFS($B$5:B69,B69))</f>
        <v/>
      </c>
    </row>
    <row r="70" customFormat="false" ht="15" hidden="false" customHeight="false" outlineLevel="0" collapsed="false">
      <c r="A70" s="32"/>
      <c r="B70" s="27"/>
      <c r="C70" s="29"/>
      <c r="D70" s="32"/>
      <c r="E70" s="32"/>
      <c r="F70" s="32"/>
      <c r="G70" s="31"/>
      <c r="H70" s="31"/>
      <c r="I70" s="33" t="str">
        <f aca="false">IF(G70="","",G70-H70)</f>
        <v/>
      </c>
      <c r="J70" s="33" t="str">
        <f aca="false">IF(A70="","",SUMIFS(Freelancers!$E$5:$E$504,Freelancers!$B$5:$B$504,A70))</f>
        <v/>
      </c>
      <c r="K70" s="33" t="str">
        <f aca="false">IF(A70="","",SUMIFS(Gastos!$D$5:$D$504,Gastos!$E$5:$E$504,A70))</f>
        <v/>
      </c>
      <c r="L70" s="33" t="str">
        <f aca="false">IF(G70="","",G70-N(J70)-N(K70))</f>
        <v/>
      </c>
      <c r="M70" s="34" t="str">
        <f aca="false">IF(G70="","",IF(H70&gt;=G70,"Pago",IF(H70&gt;0,"Parcial","Pendente")))</f>
        <v/>
      </c>
      <c r="N70" s="32"/>
      <c r="O70" s="35" t="str">
        <f aca="true">IF(OR(B70="",B70&lt;TODAY()),"",COUNTIFS($B$5:$B$504,"&gt;="&amp;TODAY(),$B$5:$B$504,"&lt;"&amp;B70)+COUNTIFS($B$5:B70,B70))</f>
        <v/>
      </c>
    </row>
    <row r="71" customFormat="false" ht="15" hidden="false" customHeight="false" outlineLevel="0" collapsed="false">
      <c r="A71" s="32"/>
      <c r="B71" s="27"/>
      <c r="C71" s="29"/>
      <c r="D71" s="32"/>
      <c r="E71" s="32"/>
      <c r="F71" s="32"/>
      <c r="G71" s="31"/>
      <c r="H71" s="31"/>
      <c r="I71" s="33" t="str">
        <f aca="false">IF(G71="","",G71-H71)</f>
        <v/>
      </c>
      <c r="J71" s="33" t="str">
        <f aca="false">IF(A71="","",SUMIFS(Freelancers!$E$5:$E$504,Freelancers!$B$5:$B$504,A71))</f>
        <v/>
      </c>
      <c r="K71" s="33" t="str">
        <f aca="false">IF(A71="","",SUMIFS(Gastos!$D$5:$D$504,Gastos!$E$5:$E$504,A71))</f>
        <v/>
      </c>
      <c r="L71" s="33" t="str">
        <f aca="false">IF(G71="","",G71-N(J71)-N(K71))</f>
        <v/>
      </c>
      <c r="M71" s="34" t="str">
        <f aca="false">IF(G71="","",IF(H71&gt;=G71,"Pago",IF(H71&gt;0,"Parcial","Pendente")))</f>
        <v/>
      </c>
      <c r="N71" s="32"/>
      <c r="O71" s="35" t="str">
        <f aca="true">IF(OR(B71="",B71&lt;TODAY()),"",COUNTIFS($B$5:$B$504,"&gt;="&amp;TODAY(),$B$5:$B$504,"&lt;"&amp;B71)+COUNTIFS($B$5:B71,B71))</f>
        <v/>
      </c>
    </row>
    <row r="72" customFormat="false" ht="15" hidden="false" customHeight="false" outlineLevel="0" collapsed="false">
      <c r="A72" s="32"/>
      <c r="B72" s="27"/>
      <c r="C72" s="29"/>
      <c r="D72" s="32"/>
      <c r="E72" s="32"/>
      <c r="F72" s="32"/>
      <c r="G72" s="31"/>
      <c r="H72" s="31"/>
      <c r="I72" s="33" t="str">
        <f aca="false">IF(G72="","",G72-H72)</f>
        <v/>
      </c>
      <c r="J72" s="33" t="str">
        <f aca="false">IF(A72="","",SUMIFS(Freelancers!$E$5:$E$504,Freelancers!$B$5:$B$504,A72))</f>
        <v/>
      </c>
      <c r="K72" s="33" t="str">
        <f aca="false">IF(A72="","",SUMIFS(Gastos!$D$5:$D$504,Gastos!$E$5:$E$504,A72))</f>
        <v/>
      </c>
      <c r="L72" s="33" t="str">
        <f aca="false">IF(G72="","",G72-N(J72)-N(K72))</f>
        <v/>
      </c>
      <c r="M72" s="34" t="str">
        <f aca="false">IF(G72="","",IF(H72&gt;=G72,"Pago",IF(H72&gt;0,"Parcial","Pendente")))</f>
        <v/>
      </c>
      <c r="N72" s="32"/>
      <c r="O72" s="35" t="str">
        <f aca="true">IF(OR(B72="",B72&lt;TODAY()),"",COUNTIFS($B$5:$B$504,"&gt;="&amp;TODAY(),$B$5:$B$504,"&lt;"&amp;B72)+COUNTIFS($B$5:B72,B72))</f>
        <v/>
      </c>
    </row>
    <row r="73" customFormat="false" ht="15" hidden="false" customHeight="false" outlineLevel="0" collapsed="false">
      <c r="A73" s="32"/>
      <c r="B73" s="27"/>
      <c r="C73" s="29"/>
      <c r="D73" s="32"/>
      <c r="E73" s="32"/>
      <c r="F73" s="32"/>
      <c r="G73" s="31"/>
      <c r="H73" s="31"/>
      <c r="I73" s="33" t="str">
        <f aca="false">IF(G73="","",G73-H73)</f>
        <v/>
      </c>
      <c r="J73" s="33" t="str">
        <f aca="false">IF(A73="","",SUMIFS(Freelancers!$E$5:$E$504,Freelancers!$B$5:$B$504,A73))</f>
        <v/>
      </c>
      <c r="K73" s="33" t="str">
        <f aca="false">IF(A73="","",SUMIFS(Gastos!$D$5:$D$504,Gastos!$E$5:$E$504,A73))</f>
        <v/>
      </c>
      <c r="L73" s="33" t="str">
        <f aca="false">IF(G73="","",G73-N(J73)-N(K73))</f>
        <v/>
      </c>
      <c r="M73" s="34" t="str">
        <f aca="false">IF(G73="","",IF(H73&gt;=G73,"Pago",IF(H73&gt;0,"Parcial","Pendente")))</f>
        <v/>
      </c>
      <c r="N73" s="32"/>
      <c r="O73" s="35" t="str">
        <f aca="true">IF(OR(B73="",B73&lt;TODAY()),"",COUNTIFS($B$5:$B$504,"&gt;="&amp;TODAY(),$B$5:$B$504,"&lt;"&amp;B73)+COUNTIFS($B$5:B73,B73))</f>
        <v/>
      </c>
    </row>
    <row r="74" customFormat="false" ht="15" hidden="false" customHeight="false" outlineLevel="0" collapsed="false">
      <c r="A74" s="32"/>
      <c r="B74" s="27"/>
      <c r="C74" s="29"/>
      <c r="D74" s="32"/>
      <c r="E74" s="32"/>
      <c r="F74" s="32"/>
      <c r="G74" s="31"/>
      <c r="H74" s="31"/>
      <c r="I74" s="33" t="str">
        <f aca="false">IF(G74="","",G74-H74)</f>
        <v/>
      </c>
      <c r="J74" s="33" t="str">
        <f aca="false">IF(A74="","",SUMIFS(Freelancers!$E$5:$E$504,Freelancers!$B$5:$B$504,A74))</f>
        <v/>
      </c>
      <c r="K74" s="33" t="str">
        <f aca="false">IF(A74="","",SUMIFS(Gastos!$D$5:$D$504,Gastos!$E$5:$E$504,A74))</f>
        <v/>
      </c>
      <c r="L74" s="33" t="str">
        <f aca="false">IF(G74="","",G74-N(J74)-N(K74))</f>
        <v/>
      </c>
      <c r="M74" s="34" t="str">
        <f aca="false">IF(G74="","",IF(H74&gt;=G74,"Pago",IF(H74&gt;0,"Parcial","Pendente")))</f>
        <v/>
      </c>
      <c r="N74" s="32"/>
      <c r="O74" s="35" t="str">
        <f aca="true">IF(OR(B74="",B74&lt;TODAY()),"",COUNTIFS($B$5:$B$504,"&gt;="&amp;TODAY(),$B$5:$B$504,"&lt;"&amp;B74)+COUNTIFS($B$5:B74,B74))</f>
        <v/>
      </c>
    </row>
    <row r="75" customFormat="false" ht="15" hidden="false" customHeight="false" outlineLevel="0" collapsed="false">
      <c r="A75" s="32"/>
      <c r="B75" s="27"/>
      <c r="C75" s="29"/>
      <c r="D75" s="32"/>
      <c r="E75" s="32"/>
      <c r="F75" s="32"/>
      <c r="G75" s="31"/>
      <c r="H75" s="31"/>
      <c r="I75" s="33" t="str">
        <f aca="false">IF(G75="","",G75-H75)</f>
        <v/>
      </c>
      <c r="J75" s="33" t="str">
        <f aca="false">IF(A75="","",SUMIFS(Freelancers!$E$5:$E$504,Freelancers!$B$5:$B$504,A75))</f>
        <v/>
      </c>
      <c r="K75" s="33" t="str">
        <f aca="false">IF(A75="","",SUMIFS(Gastos!$D$5:$D$504,Gastos!$E$5:$E$504,A75))</f>
        <v/>
      </c>
      <c r="L75" s="33" t="str">
        <f aca="false">IF(G75="","",G75-N(J75)-N(K75))</f>
        <v/>
      </c>
      <c r="M75" s="34" t="str">
        <f aca="false">IF(G75="","",IF(H75&gt;=G75,"Pago",IF(H75&gt;0,"Parcial","Pendente")))</f>
        <v/>
      </c>
      <c r="N75" s="32"/>
      <c r="O75" s="35" t="str">
        <f aca="true">IF(OR(B75="",B75&lt;TODAY()),"",COUNTIFS($B$5:$B$504,"&gt;="&amp;TODAY(),$B$5:$B$504,"&lt;"&amp;B75)+COUNTIFS($B$5:B75,B75))</f>
        <v/>
      </c>
    </row>
    <row r="76" customFormat="false" ht="15" hidden="false" customHeight="false" outlineLevel="0" collapsed="false">
      <c r="A76" s="32"/>
      <c r="B76" s="27"/>
      <c r="C76" s="29"/>
      <c r="D76" s="32"/>
      <c r="E76" s="32"/>
      <c r="F76" s="32"/>
      <c r="G76" s="31"/>
      <c r="H76" s="31"/>
      <c r="I76" s="33" t="str">
        <f aca="false">IF(G76="","",G76-H76)</f>
        <v/>
      </c>
      <c r="J76" s="33" t="str">
        <f aca="false">IF(A76="","",SUMIFS(Freelancers!$E$5:$E$504,Freelancers!$B$5:$B$504,A76))</f>
        <v/>
      </c>
      <c r="K76" s="33" t="str">
        <f aca="false">IF(A76="","",SUMIFS(Gastos!$D$5:$D$504,Gastos!$E$5:$E$504,A76))</f>
        <v/>
      </c>
      <c r="L76" s="33" t="str">
        <f aca="false">IF(G76="","",G76-N(J76)-N(K76))</f>
        <v/>
      </c>
      <c r="M76" s="34" t="str">
        <f aca="false">IF(G76="","",IF(H76&gt;=G76,"Pago",IF(H76&gt;0,"Parcial","Pendente")))</f>
        <v/>
      </c>
      <c r="N76" s="32"/>
      <c r="O76" s="35" t="str">
        <f aca="true">IF(OR(B76="",B76&lt;TODAY()),"",COUNTIFS($B$5:$B$504,"&gt;="&amp;TODAY(),$B$5:$B$504,"&lt;"&amp;B76)+COUNTIFS($B$5:B76,B76))</f>
        <v/>
      </c>
    </row>
    <row r="77" customFormat="false" ht="15" hidden="false" customHeight="false" outlineLevel="0" collapsed="false">
      <c r="A77" s="32"/>
      <c r="B77" s="27"/>
      <c r="C77" s="29"/>
      <c r="D77" s="32"/>
      <c r="E77" s="32"/>
      <c r="F77" s="32"/>
      <c r="G77" s="31"/>
      <c r="H77" s="31"/>
      <c r="I77" s="33" t="str">
        <f aca="false">IF(G77="","",G77-H77)</f>
        <v/>
      </c>
      <c r="J77" s="33" t="str">
        <f aca="false">IF(A77="","",SUMIFS(Freelancers!$E$5:$E$504,Freelancers!$B$5:$B$504,A77))</f>
        <v/>
      </c>
      <c r="K77" s="33" t="str">
        <f aca="false">IF(A77="","",SUMIFS(Gastos!$D$5:$D$504,Gastos!$E$5:$E$504,A77))</f>
        <v/>
      </c>
      <c r="L77" s="33" t="str">
        <f aca="false">IF(G77="","",G77-N(J77)-N(K77))</f>
        <v/>
      </c>
      <c r="M77" s="34" t="str">
        <f aca="false">IF(G77="","",IF(H77&gt;=G77,"Pago",IF(H77&gt;0,"Parcial","Pendente")))</f>
        <v/>
      </c>
      <c r="N77" s="32"/>
      <c r="O77" s="35" t="str">
        <f aca="true">IF(OR(B77="",B77&lt;TODAY()),"",COUNTIFS($B$5:$B$504,"&gt;="&amp;TODAY(),$B$5:$B$504,"&lt;"&amp;B77)+COUNTIFS($B$5:B77,B77))</f>
        <v/>
      </c>
    </row>
    <row r="78" customFormat="false" ht="15" hidden="false" customHeight="false" outlineLevel="0" collapsed="false">
      <c r="A78" s="32"/>
      <c r="B78" s="27"/>
      <c r="C78" s="29"/>
      <c r="D78" s="32"/>
      <c r="E78" s="32"/>
      <c r="F78" s="32"/>
      <c r="G78" s="31"/>
      <c r="H78" s="31"/>
      <c r="I78" s="33" t="str">
        <f aca="false">IF(G78="","",G78-H78)</f>
        <v/>
      </c>
      <c r="J78" s="33" t="str">
        <f aca="false">IF(A78="","",SUMIFS(Freelancers!$E$5:$E$504,Freelancers!$B$5:$B$504,A78))</f>
        <v/>
      </c>
      <c r="K78" s="33" t="str">
        <f aca="false">IF(A78="","",SUMIFS(Gastos!$D$5:$D$504,Gastos!$E$5:$E$504,A78))</f>
        <v/>
      </c>
      <c r="L78" s="33" t="str">
        <f aca="false">IF(G78="","",G78-N(J78)-N(K78))</f>
        <v/>
      </c>
      <c r="M78" s="34" t="str">
        <f aca="false">IF(G78="","",IF(H78&gt;=G78,"Pago",IF(H78&gt;0,"Parcial","Pendente")))</f>
        <v/>
      </c>
      <c r="N78" s="32"/>
      <c r="O78" s="35" t="str">
        <f aca="true">IF(OR(B78="",B78&lt;TODAY()),"",COUNTIFS($B$5:$B$504,"&gt;="&amp;TODAY(),$B$5:$B$504,"&lt;"&amp;B78)+COUNTIFS($B$5:B78,B78))</f>
        <v/>
      </c>
    </row>
    <row r="79" customFormat="false" ht="15" hidden="false" customHeight="false" outlineLevel="0" collapsed="false">
      <c r="A79" s="32"/>
      <c r="B79" s="27"/>
      <c r="C79" s="29"/>
      <c r="D79" s="32"/>
      <c r="E79" s="32"/>
      <c r="F79" s="32"/>
      <c r="G79" s="31"/>
      <c r="H79" s="31"/>
      <c r="I79" s="33" t="str">
        <f aca="false">IF(G79="","",G79-H79)</f>
        <v/>
      </c>
      <c r="J79" s="33" t="str">
        <f aca="false">IF(A79="","",SUMIFS(Freelancers!$E$5:$E$504,Freelancers!$B$5:$B$504,A79))</f>
        <v/>
      </c>
      <c r="K79" s="33" t="str">
        <f aca="false">IF(A79="","",SUMIFS(Gastos!$D$5:$D$504,Gastos!$E$5:$E$504,A79))</f>
        <v/>
      </c>
      <c r="L79" s="33" t="str">
        <f aca="false">IF(G79="","",G79-N(J79)-N(K79))</f>
        <v/>
      </c>
      <c r="M79" s="34" t="str">
        <f aca="false">IF(G79="","",IF(H79&gt;=G79,"Pago",IF(H79&gt;0,"Parcial","Pendente")))</f>
        <v/>
      </c>
      <c r="N79" s="32"/>
      <c r="O79" s="35" t="str">
        <f aca="true">IF(OR(B79="",B79&lt;TODAY()),"",COUNTIFS($B$5:$B$504,"&gt;="&amp;TODAY(),$B$5:$B$504,"&lt;"&amp;B79)+COUNTIFS($B$5:B79,B79))</f>
        <v/>
      </c>
    </row>
    <row r="80" customFormat="false" ht="15" hidden="false" customHeight="false" outlineLevel="0" collapsed="false">
      <c r="A80" s="32"/>
      <c r="B80" s="27"/>
      <c r="C80" s="29"/>
      <c r="D80" s="32"/>
      <c r="E80" s="32"/>
      <c r="F80" s="32"/>
      <c r="G80" s="31"/>
      <c r="H80" s="31"/>
      <c r="I80" s="33" t="str">
        <f aca="false">IF(G80="","",G80-H80)</f>
        <v/>
      </c>
      <c r="J80" s="33" t="str">
        <f aca="false">IF(A80="","",SUMIFS(Freelancers!$E$5:$E$504,Freelancers!$B$5:$B$504,A80))</f>
        <v/>
      </c>
      <c r="K80" s="33" t="str">
        <f aca="false">IF(A80="","",SUMIFS(Gastos!$D$5:$D$504,Gastos!$E$5:$E$504,A80))</f>
        <v/>
      </c>
      <c r="L80" s="33" t="str">
        <f aca="false">IF(G80="","",G80-N(J80)-N(K80))</f>
        <v/>
      </c>
      <c r="M80" s="34" t="str">
        <f aca="false">IF(G80="","",IF(H80&gt;=G80,"Pago",IF(H80&gt;0,"Parcial","Pendente")))</f>
        <v/>
      </c>
      <c r="N80" s="32"/>
      <c r="O80" s="35" t="str">
        <f aca="true">IF(OR(B80="",B80&lt;TODAY()),"",COUNTIFS($B$5:$B$504,"&gt;="&amp;TODAY(),$B$5:$B$504,"&lt;"&amp;B80)+COUNTIFS($B$5:B80,B80))</f>
        <v/>
      </c>
    </row>
    <row r="81" customFormat="false" ht="15" hidden="false" customHeight="false" outlineLevel="0" collapsed="false">
      <c r="A81" s="32"/>
      <c r="B81" s="27"/>
      <c r="C81" s="29"/>
      <c r="D81" s="32"/>
      <c r="E81" s="32"/>
      <c r="F81" s="32"/>
      <c r="G81" s="31"/>
      <c r="H81" s="31"/>
      <c r="I81" s="33" t="str">
        <f aca="false">IF(G81="","",G81-H81)</f>
        <v/>
      </c>
      <c r="J81" s="33" t="str">
        <f aca="false">IF(A81="","",SUMIFS(Freelancers!$E$5:$E$504,Freelancers!$B$5:$B$504,A81))</f>
        <v/>
      </c>
      <c r="K81" s="33" t="str">
        <f aca="false">IF(A81="","",SUMIFS(Gastos!$D$5:$D$504,Gastos!$E$5:$E$504,A81))</f>
        <v/>
      </c>
      <c r="L81" s="33" t="str">
        <f aca="false">IF(G81="","",G81-N(J81)-N(K81))</f>
        <v/>
      </c>
      <c r="M81" s="34" t="str">
        <f aca="false">IF(G81="","",IF(H81&gt;=G81,"Pago",IF(H81&gt;0,"Parcial","Pendente")))</f>
        <v/>
      </c>
      <c r="N81" s="32"/>
      <c r="O81" s="35" t="str">
        <f aca="true">IF(OR(B81="",B81&lt;TODAY()),"",COUNTIFS($B$5:$B$504,"&gt;="&amp;TODAY(),$B$5:$B$504,"&lt;"&amp;B81)+COUNTIFS($B$5:B81,B81))</f>
        <v/>
      </c>
    </row>
    <row r="82" customFormat="false" ht="15" hidden="false" customHeight="false" outlineLevel="0" collapsed="false">
      <c r="A82" s="32"/>
      <c r="B82" s="27"/>
      <c r="C82" s="29"/>
      <c r="D82" s="32"/>
      <c r="E82" s="32"/>
      <c r="F82" s="32"/>
      <c r="G82" s="31"/>
      <c r="H82" s="31"/>
      <c r="I82" s="33" t="str">
        <f aca="false">IF(G82="","",G82-H82)</f>
        <v/>
      </c>
      <c r="J82" s="33" t="str">
        <f aca="false">IF(A82="","",SUMIFS(Freelancers!$E$5:$E$504,Freelancers!$B$5:$B$504,A82))</f>
        <v/>
      </c>
      <c r="K82" s="33" t="str">
        <f aca="false">IF(A82="","",SUMIFS(Gastos!$D$5:$D$504,Gastos!$E$5:$E$504,A82))</f>
        <v/>
      </c>
      <c r="L82" s="33" t="str">
        <f aca="false">IF(G82="","",G82-N(J82)-N(K82))</f>
        <v/>
      </c>
      <c r="M82" s="34" t="str">
        <f aca="false">IF(G82="","",IF(H82&gt;=G82,"Pago",IF(H82&gt;0,"Parcial","Pendente")))</f>
        <v/>
      </c>
      <c r="N82" s="32"/>
      <c r="O82" s="35" t="str">
        <f aca="true">IF(OR(B82="",B82&lt;TODAY()),"",COUNTIFS($B$5:$B$504,"&gt;="&amp;TODAY(),$B$5:$B$504,"&lt;"&amp;B82)+COUNTIFS($B$5:B82,B82))</f>
        <v/>
      </c>
    </row>
    <row r="83" customFormat="false" ht="15" hidden="false" customHeight="false" outlineLevel="0" collapsed="false">
      <c r="A83" s="32"/>
      <c r="B83" s="27"/>
      <c r="C83" s="29"/>
      <c r="D83" s="32"/>
      <c r="E83" s="32"/>
      <c r="F83" s="32"/>
      <c r="G83" s="31"/>
      <c r="H83" s="31"/>
      <c r="I83" s="33" t="str">
        <f aca="false">IF(G83="","",G83-H83)</f>
        <v/>
      </c>
      <c r="J83" s="33" t="str">
        <f aca="false">IF(A83="","",SUMIFS(Freelancers!$E$5:$E$504,Freelancers!$B$5:$B$504,A83))</f>
        <v/>
      </c>
      <c r="K83" s="33" t="str">
        <f aca="false">IF(A83="","",SUMIFS(Gastos!$D$5:$D$504,Gastos!$E$5:$E$504,A83))</f>
        <v/>
      </c>
      <c r="L83" s="33" t="str">
        <f aca="false">IF(G83="","",G83-N(J83)-N(K83))</f>
        <v/>
      </c>
      <c r="M83" s="34" t="str">
        <f aca="false">IF(G83="","",IF(H83&gt;=G83,"Pago",IF(H83&gt;0,"Parcial","Pendente")))</f>
        <v/>
      </c>
      <c r="N83" s="32"/>
      <c r="O83" s="35" t="str">
        <f aca="true">IF(OR(B83="",B83&lt;TODAY()),"",COUNTIFS($B$5:$B$504,"&gt;="&amp;TODAY(),$B$5:$B$504,"&lt;"&amp;B83)+COUNTIFS($B$5:B83,B83))</f>
        <v/>
      </c>
    </row>
    <row r="84" customFormat="false" ht="15" hidden="false" customHeight="false" outlineLevel="0" collapsed="false">
      <c r="A84" s="32"/>
      <c r="B84" s="27"/>
      <c r="C84" s="29"/>
      <c r="D84" s="32"/>
      <c r="E84" s="32"/>
      <c r="F84" s="32"/>
      <c r="G84" s="31"/>
      <c r="H84" s="31"/>
      <c r="I84" s="33" t="str">
        <f aca="false">IF(G84="","",G84-H84)</f>
        <v/>
      </c>
      <c r="J84" s="33" t="str">
        <f aca="false">IF(A84="","",SUMIFS(Freelancers!$E$5:$E$504,Freelancers!$B$5:$B$504,A84))</f>
        <v/>
      </c>
      <c r="K84" s="33" t="str">
        <f aca="false">IF(A84="","",SUMIFS(Gastos!$D$5:$D$504,Gastos!$E$5:$E$504,A84))</f>
        <v/>
      </c>
      <c r="L84" s="33" t="str">
        <f aca="false">IF(G84="","",G84-N(J84)-N(K84))</f>
        <v/>
      </c>
      <c r="M84" s="34" t="str">
        <f aca="false">IF(G84="","",IF(H84&gt;=G84,"Pago",IF(H84&gt;0,"Parcial","Pendente")))</f>
        <v/>
      </c>
      <c r="N84" s="32"/>
      <c r="O84" s="35" t="str">
        <f aca="true">IF(OR(B84="",B84&lt;TODAY()),"",COUNTIFS($B$5:$B$504,"&gt;="&amp;TODAY(),$B$5:$B$504,"&lt;"&amp;B84)+COUNTIFS($B$5:B84,B84))</f>
        <v/>
      </c>
    </row>
    <row r="85" customFormat="false" ht="15" hidden="false" customHeight="false" outlineLevel="0" collapsed="false">
      <c r="A85" s="32"/>
      <c r="B85" s="27"/>
      <c r="C85" s="29"/>
      <c r="D85" s="32"/>
      <c r="E85" s="32"/>
      <c r="F85" s="32"/>
      <c r="G85" s="31"/>
      <c r="H85" s="31"/>
      <c r="I85" s="33" t="str">
        <f aca="false">IF(G85="","",G85-H85)</f>
        <v/>
      </c>
      <c r="J85" s="33" t="str">
        <f aca="false">IF(A85="","",SUMIFS(Freelancers!$E$5:$E$504,Freelancers!$B$5:$B$504,A85))</f>
        <v/>
      </c>
      <c r="K85" s="33" t="str">
        <f aca="false">IF(A85="","",SUMIFS(Gastos!$D$5:$D$504,Gastos!$E$5:$E$504,A85))</f>
        <v/>
      </c>
      <c r="L85" s="33" t="str">
        <f aca="false">IF(G85="","",G85-N(J85)-N(K85))</f>
        <v/>
      </c>
      <c r="M85" s="34" t="str">
        <f aca="false">IF(G85="","",IF(H85&gt;=G85,"Pago",IF(H85&gt;0,"Parcial","Pendente")))</f>
        <v/>
      </c>
      <c r="N85" s="32"/>
      <c r="O85" s="35" t="str">
        <f aca="true">IF(OR(B85="",B85&lt;TODAY()),"",COUNTIFS($B$5:$B$504,"&gt;="&amp;TODAY(),$B$5:$B$504,"&lt;"&amp;B85)+COUNTIFS($B$5:B85,B85))</f>
        <v/>
      </c>
    </row>
    <row r="86" customFormat="false" ht="15" hidden="false" customHeight="false" outlineLevel="0" collapsed="false">
      <c r="A86" s="32"/>
      <c r="B86" s="27"/>
      <c r="C86" s="29"/>
      <c r="D86" s="32"/>
      <c r="E86" s="32"/>
      <c r="F86" s="32"/>
      <c r="G86" s="31"/>
      <c r="H86" s="31"/>
      <c r="I86" s="33" t="str">
        <f aca="false">IF(G86="","",G86-H86)</f>
        <v/>
      </c>
      <c r="J86" s="33" t="str">
        <f aca="false">IF(A86="","",SUMIFS(Freelancers!$E$5:$E$504,Freelancers!$B$5:$B$504,A86))</f>
        <v/>
      </c>
      <c r="K86" s="33" t="str">
        <f aca="false">IF(A86="","",SUMIFS(Gastos!$D$5:$D$504,Gastos!$E$5:$E$504,A86))</f>
        <v/>
      </c>
      <c r="L86" s="33" t="str">
        <f aca="false">IF(G86="","",G86-N(J86)-N(K86))</f>
        <v/>
      </c>
      <c r="M86" s="34" t="str">
        <f aca="false">IF(G86="","",IF(H86&gt;=G86,"Pago",IF(H86&gt;0,"Parcial","Pendente")))</f>
        <v/>
      </c>
      <c r="N86" s="32"/>
      <c r="O86" s="35" t="str">
        <f aca="true">IF(OR(B86="",B86&lt;TODAY()),"",COUNTIFS($B$5:$B$504,"&gt;="&amp;TODAY(),$B$5:$B$504,"&lt;"&amp;B86)+COUNTIFS($B$5:B86,B86))</f>
        <v/>
      </c>
    </row>
    <row r="87" customFormat="false" ht="15" hidden="false" customHeight="false" outlineLevel="0" collapsed="false">
      <c r="A87" s="32"/>
      <c r="B87" s="27"/>
      <c r="C87" s="29"/>
      <c r="D87" s="32"/>
      <c r="E87" s="32"/>
      <c r="F87" s="32"/>
      <c r="G87" s="31"/>
      <c r="H87" s="31"/>
      <c r="I87" s="33" t="str">
        <f aca="false">IF(G87="","",G87-H87)</f>
        <v/>
      </c>
      <c r="J87" s="33" t="str">
        <f aca="false">IF(A87="","",SUMIFS(Freelancers!$E$5:$E$504,Freelancers!$B$5:$B$504,A87))</f>
        <v/>
      </c>
      <c r="K87" s="33" t="str">
        <f aca="false">IF(A87="","",SUMIFS(Gastos!$D$5:$D$504,Gastos!$E$5:$E$504,A87))</f>
        <v/>
      </c>
      <c r="L87" s="33" t="str">
        <f aca="false">IF(G87="","",G87-N(J87)-N(K87))</f>
        <v/>
      </c>
      <c r="M87" s="34" t="str">
        <f aca="false">IF(G87="","",IF(H87&gt;=G87,"Pago",IF(H87&gt;0,"Parcial","Pendente")))</f>
        <v/>
      </c>
      <c r="N87" s="32"/>
      <c r="O87" s="35" t="str">
        <f aca="true">IF(OR(B87="",B87&lt;TODAY()),"",COUNTIFS($B$5:$B$504,"&gt;="&amp;TODAY(),$B$5:$B$504,"&lt;"&amp;B87)+COUNTIFS($B$5:B87,B87))</f>
        <v/>
      </c>
    </row>
    <row r="88" customFormat="false" ht="15" hidden="false" customHeight="false" outlineLevel="0" collapsed="false">
      <c r="A88" s="32"/>
      <c r="B88" s="27"/>
      <c r="C88" s="29"/>
      <c r="D88" s="32"/>
      <c r="E88" s="32"/>
      <c r="F88" s="32"/>
      <c r="G88" s="31"/>
      <c r="H88" s="31"/>
      <c r="I88" s="33" t="str">
        <f aca="false">IF(G88="","",G88-H88)</f>
        <v/>
      </c>
      <c r="J88" s="33" t="str">
        <f aca="false">IF(A88="","",SUMIFS(Freelancers!$E$5:$E$504,Freelancers!$B$5:$B$504,A88))</f>
        <v/>
      </c>
      <c r="K88" s="33" t="str">
        <f aca="false">IF(A88="","",SUMIFS(Gastos!$D$5:$D$504,Gastos!$E$5:$E$504,A88))</f>
        <v/>
      </c>
      <c r="L88" s="33" t="str">
        <f aca="false">IF(G88="","",G88-N(J88)-N(K88))</f>
        <v/>
      </c>
      <c r="M88" s="34" t="str">
        <f aca="false">IF(G88="","",IF(H88&gt;=G88,"Pago",IF(H88&gt;0,"Parcial","Pendente")))</f>
        <v/>
      </c>
      <c r="N88" s="32"/>
      <c r="O88" s="35" t="str">
        <f aca="true">IF(OR(B88="",B88&lt;TODAY()),"",COUNTIFS($B$5:$B$504,"&gt;="&amp;TODAY(),$B$5:$B$504,"&lt;"&amp;B88)+COUNTIFS($B$5:B88,B88))</f>
        <v/>
      </c>
    </row>
    <row r="89" customFormat="false" ht="15" hidden="false" customHeight="false" outlineLevel="0" collapsed="false">
      <c r="A89" s="32"/>
      <c r="B89" s="27"/>
      <c r="C89" s="29"/>
      <c r="D89" s="32"/>
      <c r="E89" s="32"/>
      <c r="F89" s="32"/>
      <c r="G89" s="31"/>
      <c r="H89" s="31"/>
      <c r="I89" s="33" t="str">
        <f aca="false">IF(G89="","",G89-H89)</f>
        <v/>
      </c>
      <c r="J89" s="33" t="str">
        <f aca="false">IF(A89="","",SUMIFS(Freelancers!$E$5:$E$504,Freelancers!$B$5:$B$504,A89))</f>
        <v/>
      </c>
      <c r="K89" s="33" t="str">
        <f aca="false">IF(A89="","",SUMIFS(Gastos!$D$5:$D$504,Gastos!$E$5:$E$504,A89))</f>
        <v/>
      </c>
      <c r="L89" s="33" t="str">
        <f aca="false">IF(G89="","",G89-N(J89)-N(K89))</f>
        <v/>
      </c>
      <c r="M89" s="34" t="str">
        <f aca="false">IF(G89="","",IF(H89&gt;=G89,"Pago",IF(H89&gt;0,"Parcial","Pendente")))</f>
        <v/>
      </c>
      <c r="N89" s="32"/>
      <c r="O89" s="35" t="str">
        <f aca="true">IF(OR(B89="",B89&lt;TODAY()),"",COUNTIFS($B$5:$B$504,"&gt;="&amp;TODAY(),$B$5:$B$504,"&lt;"&amp;B89)+COUNTIFS($B$5:B89,B89))</f>
        <v/>
      </c>
    </row>
    <row r="90" customFormat="false" ht="15" hidden="false" customHeight="false" outlineLevel="0" collapsed="false">
      <c r="A90" s="32"/>
      <c r="B90" s="27"/>
      <c r="C90" s="29"/>
      <c r="D90" s="32"/>
      <c r="E90" s="32"/>
      <c r="F90" s="32"/>
      <c r="G90" s="31"/>
      <c r="H90" s="31"/>
      <c r="I90" s="33" t="str">
        <f aca="false">IF(G90="","",G90-H90)</f>
        <v/>
      </c>
      <c r="J90" s="33" t="str">
        <f aca="false">IF(A90="","",SUMIFS(Freelancers!$E$5:$E$504,Freelancers!$B$5:$B$504,A90))</f>
        <v/>
      </c>
      <c r="K90" s="33" t="str">
        <f aca="false">IF(A90="","",SUMIFS(Gastos!$D$5:$D$504,Gastos!$E$5:$E$504,A90))</f>
        <v/>
      </c>
      <c r="L90" s="33" t="str">
        <f aca="false">IF(G90="","",G90-N(J90)-N(K90))</f>
        <v/>
      </c>
      <c r="M90" s="34" t="str">
        <f aca="false">IF(G90="","",IF(H90&gt;=G90,"Pago",IF(H90&gt;0,"Parcial","Pendente")))</f>
        <v/>
      </c>
      <c r="N90" s="32"/>
      <c r="O90" s="35" t="str">
        <f aca="true">IF(OR(B90="",B90&lt;TODAY()),"",COUNTIFS($B$5:$B$504,"&gt;="&amp;TODAY(),$B$5:$B$504,"&lt;"&amp;B90)+COUNTIFS($B$5:B90,B90))</f>
        <v/>
      </c>
    </row>
    <row r="91" customFormat="false" ht="15" hidden="false" customHeight="false" outlineLevel="0" collapsed="false">
      <c r="A91" s="32"/>
      <c r="B91" s="27"/>
      <c r="C91" s="29"/>
      <c r="D91" s="32"/>
      <c r="E91" s="32"/>
      <c r="F91" s="32"/>
      <c r="G91" s="31"/>
      <c r="H91" s="31"/>
      <c r="I91" s="33" t="str">
        <f aca="false">IF(G91="","",G91-H91)</f>
        <v/>
      </c>
      <c r="J91" s="33" t="str">
        <f aca="false">IF(A91="","",SUMIFS(Freelancers!$E$5:$E$504,Freelancers!$B$5:$B$504,A91))</f>
        <v/>
      </c>
      <c r="K91" s="33" t="str">
        <f aca="false">IF(A91="","",SUMIFS(Gastos!$D$5:$D$504,Gastos!$E$5:$E$504,A91))</f>
        <v/>
      </c>
      <c r="L91" s="33" t="str">
        <f aca="false">IF(G91="","",G91-N(J91)-N(K91))</f>
        <v/>
      </c>
      <c r="M91" s="34" t="str">
        <f aca="false">IF(G91="","",IF(H91&gt;=G91,"Pago",IF(H91&gt;0,"Parcial","Pendente")))</f>
        <v/>
      </c>
      <c r="N91" s="32"/>
      <c r="O91" s="35" t="str">
        <f aca="true">IF(OR(B91="",B91&lt;TODAY()),"",COUNTIFS($B$5:$B$504,"&gt;="&amp;TODAY(),$B$5:$B$504,"&lt;"&amp;B91)+COUNTIFS($B$5:B91,B91))</f>
        <v/>
      </c>
    </row>
    <row r="92" customFormat="false" ht="15" hidden="false" customHeight="false" outlineLevel="0" collapsed="false">
      <c r="A92" s="32"/>
      <c r="B92" s="27"/>
      <c r="C92" s="29"/>
      <c r="D92" s="32"/>
      <c r="E92" s="32"/>
      <c r="F92" s="32"/>
      <c r="G92" s="31"/>
      <c r="H92" s="31"/>
      <c r="I92" s="33" t="str">
        <f aca="false">IF(G92="","",G92-H92)</f>
        <v/>
      </c>
      <c r="J92" s="33" t="str">
        <f aca="false">IF(A92="","",SUMIFS(Freelancers!$E$5:$E$504,Freelancers!$B$5:$B$504,A92))</f>
        <v/>
      </c>
      <c r="K92" s="33" t="str">
        <f aca="false">IF(A92="","",SUMIFS(Gastos!$D$5:$D$504,Gastos!$E$5:$E$504,A92))</f>
        <v/>
      </c>
      <c r="L92" s="33" t="str">
        <f aca="false">IF(G92="","",G92-N(J92)-N(K92))</f>
        <v/>
      </c>
      <c r="M92" s="34" t="str">
        <f aca="false">IF(G92="","",IF(H92&gt;=G92,"Pago",IF(H92&gt;0,"Parcial","Pendente")))</f>
        <v/>
      </c>
      <c r="N92" s="32"/>
      <c r="O92" s="35" t="str">
        <f aca="true">IF(OR(B92="",B92&lt;TODAY()),"",COUNTIFS($B$5:$B$504,"&gt;="&amp;TODAY(),$B$5:$B$504,"&lt;"&amp;B92)+COUNTIFS($B$5:B92,B92))</f>
        <v/>
      </c>
    </row>
    <row r="93" customFormat="false" ht="15" hidden="false" customHeight="false" outlineLevel="0" collapsed="false">
      <c r="A93" s="32"/>
      <c r="B93" s="27"/>
      <c r="C93" s="29"/>
      <c r="D93" s="32"/>
      <c r="E93" s="32"/>
      <c r="F93" s="32"/>
      <c r="G93" s="31"/>
      <c r="H93" s="31"/>
      <c r="I93" s="33" t="str">
        <f aca="false">IF(G93="","",G93-H93)</f>
        <v/>
      </c>
      <c r="J93" s="33" t="str">
        <f aca="false">IF(A93="","",SUMIFS(Freelancers!$E$5:$E$504,Freelancers!$B$5:$B$504,A93))</f>
        <v/>
      </c>
      <c r="K93" s="33" t="str">
        <f aca="false">IF(A93="","",SUMIFS(Gastos!$D$5:$D$504,Gastos!$E$5:$E$504,A93))</f>
        <v/>
      </c>
      <c r="L93" s="33" t="str">
        <f aca="false">IF(G93="","",G93-N(J93)-N(K93))</f>
        <v/>
      </c>
      <c r="M93" s="34" t="str">
        <f aca="false">IF(G93="","",IF(H93&gt;=G93,"Pago",IF(H93&gt;0,"Parcial","Pendente")))</f>
        <v/>
      </c>
      <c r="N93" s="32"/>
      <c r="O93" s="35" t="str">
        <f aca="true">IF(OR(B93="",B93&lt;TODAY()),"",COUNTIFS($B$5:$B$504,"&gt;="&amp;TODAY(),$B$5:$B$504,"&lt;"&amp;B93)+COUNTIFS($B$5:B93,B93))</f>
        <v/>
      </c>
    </row>
    <row r="94" customFormat="false" ht="15" hidden="false" customHeight="false" outlineLevel="0" collapsed="false">
      <c r="A94" s="32"/>
      <c r="B94" s="27"/>
      <c r="C94" s="29"/>
      <c r="D94" s="32"/>
      <c r="E94" s="32"/>
      <c r="F94" s="32"/>
      <c r="G94" s="31"/>
      <c r="H94" s="31"/>
      <c r="I94" s="33" t="str">
        <f aca="false">IF(G94="","",G94-H94)</f>
        <v/>
      </c>
      <c r="J94" s="33" t="str">
        <f aca="false">IF(A94="","",SUMIFS(Freelancers!$E$5:$E$504,Freelancers!$B$5:$B$504,A94))</f>
        <v/>
      </c>
      <c r="K94" s="33" t="str">
        <f aca="false">IF(A94="","",SUMIFS(Gastos!$D$5:$D$504,Gastos!$E$5:$E$504,A94))</f>
        <v/>
      </c>
      <c r="L94" s="33" t="str">
        <f aca="false">IF(G94="","",G94-N(J94)-N(K94))</f>
        <v/>
      </c>
      <c r="M94" s="34" t="str">
        <f aca="false">IF(G94="","",IF(H94&gt;=G94,"Pago",IF(H94&gt;0,"Parcial","Pendente")))</f>
        <v/>
      </c>
      <c r="N94" s="32"/>
      <c r="O94" s="35" t="str">
        <f aca="true">IF(OR(B94="",B94&lt;TODAY()),"",COUNTIFS($B$5:$B$504,"&gt;="&amp;TODAY(),$B$5:$B$504,"&lt;"&amp;B94)+COUNTIFS($B$5:B94,B94))</f>
        <v/>
      </c>
    </row>
    <row r="95" customFormat="false" ht="15" hidden="false" customHeight="false" outlineLevel="0" collapsed="false">
      <c r="A95" s="32"/>
      <c r="B95" s="27"/>
      <c r="C95" s="29"/>
      <c r="D95" s="32"/>
      <c r="E95" s="32"/>
      <c r="F95" s="32"/>
      <c r="G95" s="31"/>
      <c r="H95" s="31"/>
      <c r="I95" s="33" t="str">
        <f aca="false">IF(G95="","",G95-H95)</f>
        <v/>
      </c>
      <c r="J95" s="33" t="str">
        <f aca="false">IF(A95="","",SUMIFS(Freelancers!$E$5:$E$504,Freelancers!$B$5:$B$504,A95))</f>
        <v/>
      </c>
      <c r="K95" s="33" t="str">
        <f aca="false">IF(A95="","",SUMIFS(Gastos!$D$5:$D$504,Gastos!$E$5:$E$504,A95))</f>
        <v/>
      </c>
      <c r="L95" s="33" t="str">
        <f aca="false">IF(G95="","",G95-N(J95)-N(K95))</f>
        <v/>
      </c>
      <c r="M95" s="34" t="str">
        <f aca="false">IF(G95="","",IF(H95&gt;=G95,"Pago",IF(H95&gt;0,"Parcial","Pendente")))</f>
        <v/>
      </c>
      <c r="N95" s="32"/>
      <c r="O95" s="35" t="str">
        <f aca="true">IF(OR(B95="",B95&lt;TODAY()),"",COUNTIFS($B$5:$B$504,"&gt;="&amp;TODAY(),$B$5:$B$504,"&lt;"&amp;B95)+COUNTIFS($B$5:B95,B95))</f>
        <v/>
      </c>
    </row>
    <row r="96" customFormat="false" ht="15" hidden="false" customHeight="false" outlineLevel="0" collapsed="false">
      <c r="A96" s="32"/>
      <c r="B96" s="27"/>
      <c r="C96" s="29"/>
      <c r="D96" s="32"/>
      <c r="E96" s="32"/>
      <c r="F96" s="32"/>
      <c r="G96" s="31"/>
      <c r="H96" s="31"/>
      <c r="I96" s="33" t="str">
        <f aca="false">IF(G96="","",G96-H96)</f>
        <v/>
      </c>
      <c r="J96" s="33" t="str">
        <f aca="false">IF(A96="","",SUMIFS(Freelancers!$E$5:$E$504,Freelancers!$B$5:$B$504,A96))</f>
        <v/>
      </c>
      <c r="K96" s="33" t="str">
        <f aca="false">IF(A96="","",SUMIFS(Gastos!$D$5:$D$504,Gastos!$E$5:$E$504,A96))</f>
        <v/>
      </c>
      <c r="L96" s="33" t="str">
        <f aca="false">IF(G96="","",G96-N(J96)-N(K96))</f>
        <v/>
      </c>
      <c r="M96" s="34" t="str">
        <f aca="false">IF(G96="","",IF(H96&gt;=G96,"Pago",IF(H96&gt;0,"Parcial","Pendente")))</f>
        <v/>
      </c>
      <c r="N96" s="32"/>
      <c r="O96" s="35" t="str">
        <f aca="true">IF(OR(B96="",B96&lt;TODAY()),"",COUNTIFS($B$5:$B$504,"&gt;="&amp;TODAY(),$B$5:$B$504,"&lt;"&amp;B96)+COUNTIFS($B$5:B96,B96))</f>
        <v/>
      </c>
    </row>
    <row r="97" customFormat="false" ht="15" hidden="false" customHeight="false" outlineLevel="0" collapsed="false">
      <c r="A97" s="32"/>
      <c r="B97" s="27"/>
      <c r="C97" s="29"/>
      <c r="D97" s="32"/>
      <c r="E97" s="32"/>
      <c r="F97" s="32"/>
      <c r="G97" s="31"/>
      <c r="H97" s="31"/>
      <c r="I97" s="33" t="str">
        <f aca="false">IF(G97="","",G97-H97)</f>
        <v/>
      </c>
      <c r="J97" s="33" t="str">
        <f aca="false">IF(A97="","",SUMIFS(Freelancers!$E$5:$E$504,Freelancers!$B$5:$B$504,A97))</f>
        <v/>
      </c>
      <c r="K97" s="33" t="str">
        <f aca="false">IF(A97="","",SUMIFS(Gastos!$D$5:$D$504,Gastos!$E$5:$E$504,A97))</f>
        <v/>
      </c>
      <c r="L97" s="33" t="str">
        <f aca="false">IF(G97="","",G97-N(J97)-N(K97))</f>
        <v/>
      </c>
      <c r="M97" s="34" t="str">
        <f aca="false">IF(G97="","",IF(H97&gt;=G97,"Pago",IF(H97&gt;0,"Parcial","Pendente")))</f>
        <v/>
      </c>
      <c r="N97" s="32"/>
      <c r="O97" s="35" t="str">
        <f aca="true">IF(OR(B97="",B97&lt;TODAY()),"",COUNTIFS($B$5:$B$504,"&gt;="&amp;TODAY(),$B$5:$B$504,"&lt;"&amp;B97)+COUNTIFS($B$5:B97,B97))</f>
        <v/>
      </c>
    </row>
    <row r="98" customFormat="false" ht="15" hidden="false" customHeight="false" outlineLevel="0" collapsed="false">
      <c r="A98" s="32"/>
      <c r="B98" s="27"/>
      <c r="C98" s="29"/>
      <c r="D98" s="32"/>
      <c r="E98" s="32"/>
      <c r="F98" s="32"/>
      <c r="G98" s="31"/>
      <c r="H98" s="31"/>
      <c r="I98" s="33" t="str">
        <f aca="false">IF(G98="","",G98-H98)</f>
        <v/>
      </c>
      <c r="J98" s="33" t="str">
        <f aca="false">IF(A98="","",SUMIFS(Freelancers!$E$5:$E$504,Freelancers!$B$5:$B$504,A98))</f>
        <v/>
      </c>
      <c r="K98" s="33" t="str">
        <f aca="false">IF(A98="","",SUMIFS(Gastos!$D$5:$D$504,Gastos!$E$5:$E$504,A98))</f>
        <v/>
      </c>
      <c r="L98" s="33" t="str">
        <f aca="false">IF(G98="","",G98-N(J98)-N(K98))</f>
        <v/>
      </c>
      <c r="M98" s="34" t="str">
        <f aca="false">IF(G98="","",IF(H98&gt;=G98,"Pago",IF(H98&gt;0,"Parcial","Pendente")))</f>
        <v/>
      </c>
      <c r="N98" s="32"/>
      <c r="O98" s="35" t="str">
        <f aca="true">IF(OR(B98="",B98&lt;TODAY()),"",COUNTIFS($B$5:$B$504,"&gt;="&amp;TODAY(),$B$5:$B$504,"&lt;"&amp;B98)+COUNTIFS($B$5:B98,B98))</f>
        <v/>
      </c>
    </row>
    <row r="99" customFormat="false" ht="15" hidden="false" customHeight="false" outlineLevel="0" collapsed="false">
      <c r="A99" s="32"/>
      <c r="B99" s="27"/>
      <c r="C99" s="29"/>
      <c r="D99" s="32"/>
      <c r="E99" s="32"/>
      <c r="F99" s="32"/>
      <c r="G99" s="31"/>
      <c r="H99" s="31"/>
      <c r="I99" s="33" t="str">
        <f aca="false">IF(G99="","",G99-H99)</f>
        <v/>
      </c>
      <c r="J99" s="33" t="str">
        <f aca="false">IF(A99="","",SUMIFS(Freelancers!$E$5:$E$504,Freelancers!$B$5:$B$504,A99))</f>
        <v/>
      </c>
      <c r="K99" s="33" t="str">
        <f aca="false">IF(A99="","",SUMIFS(Gastos!$D$5:$D$504,Gastos!$E$5:$E$504,A99))</f>
        <v/>
      </c>
      <c r="L99" s="33" t="str">
        <f aca="false">IF(G99="","",G99-N(J99)-N(K99))</f>
        <v/>
      </c>
      <c r="M99" s="34" t="str">
        <f aca="false">IF(G99="","",IF(H99&gt;=G99,"Pago",IF(H99&gt;0,"Parcial","Pendente")))</f>
        <v/>
      </c>
      <c r="N99" s="32"/>
      <c r="O99" s="35" t="str">
        <f aca="true">IF(OR(B99="",B99&lt;TODAY()),"",COUNTIFS($B$5:$B$504,"&gt;="&amp;TODAY(),$B$5:$B$504,"&lt;"&amp;B99)+COUNTIFS($B$5:B99,B99))</f>
        <v/>
      </c>
    </row>
    <row r="100" customFormat="false" ht="15" hidden="false" customHeight="false" outlineLevel="0" collapsed="false">
      <c r="A100" s="32"/>
      <c r="B100" s="27"/>
      <c r="C100" s="29"/>
      <c r="D100" s="32"/>
      <c r="E100" s="32"/>
      <c r="F100" s="32"/>
      <c r="G100" s="31"/>
      <c r="H100" s="31"/>
      <c r="I100" s="33" t="str">
        <f aca="false">IF(G100="","",G100-H100)</f>
        <v/>
      </c>
      <c r="J100" s="33" t="str">
        <f aca="false">IF(A100="","",SUMIFS(Freelancers!$E$5:$E$504,Freelancers!$B$5:$B$504,A100))</f>
        <v/>
      </c>
      <c r="K100" s="33" t="str">
        <f aca="false">IF(A100="","",SUMIFS(Gastos!$D$5:$D$504,Gastos!$E$5:$E$504,A100))</f>
        <v/>
      </c>
      <c r="L100" s="33" t="str">
        <f aca="false">IF(G100="","",G100-N(J100)-N(K100))</f>
        <v/>
      </c>
      <c r="M100" s="34" t="str">
        <f aca="false">IF(G100="","",IF(H100&gt;=G100,"Pago",IF(H100&gt;0,"Parcial","Pendente")))</f>
        <v/>
      </c>
      <c r="N100" s="32"/>
      <c r="O100" s="35" t="str">
        <f aca="true">IF(OR(B100="",B100&lt;TODAY()),"",COUNTIFS($B$5:$B$504,"&gt;="&amp;TODAY(),$B$5:$B$504,"&lt;"&amp;B100)+COUNTIFS($B$5:B100,B100))</f>
        <v/>
      </c>
    </row>
    <row r="101" customFormat="false" ht="15" hidden="false" customHeight="false" outlineLevel="0" collapsed="false">
      <c r="A101" s="32"/>
      <c r="B101" s="27"/>
      <c r="C101" s="29"/>
      <c r="D101" s="32"/>
      <c r="E101" s="32"/>
      <c r="F101" s="32"/>
      <c r="G101" s="31"/>
      <c r="H101" s="31"/>
      <c r="I101" s="33" t="str">
        <f aca="false">IF(G101="","",G101-H101)</f>
        <v/>
      </c>
      <c r="J101" s="33" t="str">
        <f aca="false">IF(A101="","",SUMIFS(Freelancers!$E$5:$E$504,Freelancers!$B$5:$B$504,A101))</f>
        <v/>
      </c>
      <c r="K101" s="33" t="str">
        <f aca="false">IF(A101="","",SUMIFS(Gastos!$D$5:$D$504,Gastos!$E$5:$E$504,A101))</f>
        <v/>
      </c>
      <c r="L101" s="33" t="str">
        <f aca="false">IF(G101="","",G101-N(J101)-N(K101))</f>
        <v/>
      </c>
      <c r="M101" s="34" t="str">
        <f aca="false">IF(G101="","",IF(H101&gt;=G101,"Pago",IF(H101&gt;0,"Parcial","Pendente")))</f>
        <v/>
      </c>
      <c r="N101" s="32"/>
      <c r="O101" s="35" t="str">
        <f aca="true">IF(OR(B101="",B101&lt;TODAY()),"",COUNTIFS($B$5:$B$504,"&gt;="&amp;TODAY(),$B$5:$B$504,"&lt;"&amp;B101)+COUNTIFS($B$5:B101,B101))</f>
        <v/>
      </c>
    </row>
    <row r="102" customFormat="false" ht="15" hidden="false" customHeight="false" outlineLevel="0" collapsed="false">
      <c r="A102" s="32"/>
      <c r="B102" s="27"/>
      <c r="C102" s="29"/>
      <c r="D102" s="32"/>
      <c r="E102" s="32"/>
      <c r="F102" s="32"/>
      <c r="G102" s="31"/>
      <c r="H102" s="31"/>
      <c r="I102" s="33" t="str">
        <f aca="false">IF(G102="","",G102-H102)</f>
        <v/>
      </c>
      <c r="J102" s="33" t="str">
        <f aca="false">IF(A102="","",SUMIFS(Freelancers!$E$5:$E$504,Freelancers!$B$5:$B$504,A102))</f>
        <v/>
      </c>
      <c r="K102" s="33" t="str">
        <f aca="false">IF(A102="","",SUMIFS(Gastos!$D$5:$D$504,Gastos!$E$5:$E$504,A102))</f>
        <v/>
      </c>
      <c r="L102" s="33" t="str">
        <f aca="false">IF(G102="","",G102-N(J102)-N(K102))</f>
        <v/>
      </c>
      <c r="M102" s="34" t="str">
        <f aca="false">IF(G102="","",IF(H102&gt;=G102,"Pago",IF(H102&gt;0,"Parcial","Pendente")))</f>
        <v/>
      </c>
      <c r="N102" s="32"/>
      <c r="O102" s="35" t="str">
        <f aca="true">IF(OR(B102="",B102&lt;TODAY()),"",COUNTIFS($B$5:$B$504,"&gt;="&amp;TODAY(),$B$5:$B$504,"&lt;"&amp;B102)+COUNTIFS($B$5:B102,B102))</f>
        <v/>
      </c>
    </row>
    <row r="103" customFormat="false" ht="15" hidden="false" customHeight="false" outlineLevel="0" collapsed="false">
      <c r="A103" s="32"/>
      <c r="B103" s="27"/>
      <c r="C103" s="29"/>
      <c r="D103" s="32"/>
      <c r="E103" s="32"/>
      <c r="F103" s="32"/>
      <c r="G103" s="31"/>
      <c r="H103" s="31"/>
      <c r="I103" s="33" t="str">
        <f aca="false">IF(G103="","",G103-H103)</f>
        <v/>
      </c>
      <c r="J103" s="33" t="str">
        <f aca="false">IF(A103="","",SUMIFS(Freelancers!$E$5:$E$504,Freelancers!$B$5:$B$504,A103))</f>
        <v/>
      </c>
      <c r="K103" s="33" t="str">
        <f aca="false">IF(A103="","",SUMIFS(Gastos!$D$5:$D$504,Gastos!$E$5:$E$504,A103))</f>
        <v/>
      </c>
      <c r="L103" s="33" t="str">
        <f aca="false">IF(G103="","",G103-N(J103)-N(K103))</f>
        <v/>
      </c>
      <c r="M103" s="34" t="str">
        <f aca="false">IF(G103="","",IF(H103&gt;=G103,"Pago",IF(H103&gt;0,"Parcial","Pendente")))</f>
        <v/>
      </c>
      <c r="N103" s="32"/>
      <c r="O103" s="35" t="str">
        <f aca="true">IF(OR(B103="",B103&lt;TODAY()),"",COUNTIFS($B$5:$B$504,"&gt;="&amp;TODAY(),$B$5:$B$504,"&lt;"&amp;B103)+COUNTIFS($B$5:B103,B103))</f>
        <v/>
      </c>
    </row>
    <row r="104" customFormat="false" ht="15" hidden="false" customHeight="false" outlineLevel="0" collapsed="false">
      <c r="A104" s="32"/>
      <c r="B104" s="27"/>
      <c r="C104" s="29"/>
      <c r="D104" s="32"/>
      <c r="E104" s="32"/>
      <c r="F104" s="32"/>
      <c r="G104" s="31"/>
      <c r="H104" s="31"/>
      <c r="I104" s="33" t="str">
        <f aca="false">IF(G104="","",G104-H104)</f>
        <v/>
      </c>
      <c r="J104" s="33" t="str">
        <f aca="false">IF(A104="","",SUMIFS(Freelancers!$E$5:$E$504,Freelancers!$B$5:$B$504,A104))</f>
        <v/>
      </c>
      <c r="K104" s="33" t="str">
        <f aca="false">IF(A104="","",SUMIFS(Gastos!$D$5:$D$504,Gastos!$E$5:$E$504,A104))</f>
        <v/>
      </c>
      <c r="L104" s="33" t="str">
        <f aca="false">IF(G104="","",G104-N(J104)-N(K104))</f>
        <v/>
      </c>
      <c r="M104" s="34" t="str">
        <f aca="false">IF(G104="","",IF(H104&gt;=G104,"Pago",IF(H104&gt;0,"Parcial","Pendente")))</f>
        <v/>
      </c>
      <c r="N104" s="32"/>
      <c r="O104" s="35" t="str">
        <f aca="true">IF(OR(B104="",B104&lt;TODAY()),"",COUNTIFS($B$5:$B$504,"&gt;="&amp;TODAY(),$B$5:$B$504,"&lt;"&amp;B104)+COUNTIFS($B$5:B104,B104))</f>
        <v/>
      </c>
    </row>
    <row r="105" customFormat="false" ht="15" hidden="false" customHeight="false" outlineLevel="0" collapsed="false">
      <c r="A105" s="32"/>
      <c r="B105" s="27"/>
      <c r="C105" s="29"/>
      <c r="D105" s="32"/>
      <c r="E105" s="32"/>
      <c r="F105" s="32"/>
      <c r="G105" s="31"/>
      <c r="H105" s="31"/>
      <c r="I105" s="33" t="str">
        <f aca="false">IF(G105="","",G105-H105)</f>
        <v/>
      </c>
      <c r="J105" s="33" t="str">
        <f aca="false">IF(A105="","",SUMIFS(Freelancers!$E$5:$E$504,Freelancers!$B$5:$B$504,A105))</f>
        <v/>
      </c>
      <c r="K105" s="33" t="str">
        <f aca="false">IF(A105="","",SUMIFS(Gastos!$D$5:$D$504,Gastos!$E$5:$E$504,A105))</f>
        <v/>
      </c>
      <c r="L105" s="33" t="str">
        <f aca="false">IF(G105="","",G105-N(J105)-N(K105))</f>
        <v/>
      </c>
      <c r="M105" s="34" t="str">
        <f aca="false">IF(G105="","",IF(H105&gt;=G105,"Pago",IF(H105&gt;0,"Parcial","Pendente")))</f>
        <v/>
      </c>
      <c r="N105" s="32"/>
      <c r="O105" s="35" t="str">
        <f aca="true">IF(OR(B105="",B105&lt;TODAY()),"",COUNTIFS($B$5:$B$504,"&gt;="&amp;TODAY(),$B$5:$B$504,"&lt;"&amp;B105)+COUNTIFS($B$5:B105,B105))</f>
        <v/>
      </c>
    </row>
    <row r="106" customFormat="false" ht="15" hidden="false" customHeight="false" outlineLevel="0" collapsed="false">
      <c r="A106" s="32"/>
      <c r="B106" s="27"/>
      <c r="C106" s="29"/>
      <c r="D106" s="32"/>
      <c r="E106" s="32"/>
      <c r="F106" s="32"/>
      <c r="G106" s="31"/>
      <c r="H106" s="31"/>
      <c r="I106" s="33" t="str">
        <f aca="false">IF(G106="","",G106-H106)</f>
        <v/>
      </c>
      <c r="J106" s="33" t="str">
        <f aca="false">IF(A106="","",SUMIFS(Freelancers!$E$5:$E$504,Freelancers!$B$5:$B$504,A106))</f>
        <v/>
      </c>
      <c r="K106" s="33" t="str">
        <f aca="false">IF(A106="","",SUMIFS(Gastos!$D$5:$D$504,Gastos!$E$5:$E$504,A106))</f>
        <v/>
      </c>
      <c r="L106" s="33" t="str">
        <f aca="false">IF(G106="","",G106-N(J106)-N(K106))</f>
        <v/>
      </c>
      <c r="M106" s="34" t="str">
        <f aca="false">IF(G106="","",IF(H106&gt;=G106,"Pago",IF(H106&gt;0,"Parcial","Pendente")))</f>
        <v/>
      </c>
      <c r="N106" s="32"/>
      <c r="O106" s="35" t="str">
        <f aca="true">IF(OR(B106="",B106&lt;TODAY()),"",COUNTIFS($B$5:$B$504,"&gt;="&amp;TODAY(),$B$5:$B$504,"&lt;"&amp;B106)+COUNTIFS($B$5:B106,B106))</f>
        <v/>
      </c>
    </row>
    <row r="107" customFormat="false" ht="15" hidden="false" customHeight="false" outlineLevel="0" collapsed="false">
      <c r="A107" s="32"/>
      <c r="B107" s="27"/>
      <c r="C107" s="29"/>
      <c r="D107" s="32"/>
      <c r="E107" s="32"/>
      <c r="F107" s="32"/>
      <c r="G107" s="31"/>
      <c r="H107" s="31"/>
      <c r="I107" s="33" t="str">
        <f aca="false">IF(G107="","",G107-H107)</f>
        <v/>
      </c>
      <c r="J107" s="33" t="str">
        <f aca="false">IF(A107="","",SUMIFS(Freelancers!$E$5:$E$504,Freelancers!$B$5:$B$504,A107))</f>
        <v/>
      </c>
      <c r="K107" s="33" t="str">
        <f aca="false">IF(A107="","",SUMIFS(Gastos!$D$5:$D$504,Gastos!$E$5:$E$504,A107))</f>
        <v/>
      </c>
      <c r="L107" s="33" t="str">
        <f aca="false">IF(G107="","",G107-N(J107)-N(K107))</f>
        <v/>
      </c>
      <c r="M107" s="34" t="str">
        <f aca="false">IF(G107="","",IF(H107&gt;=G107,"Pago",IF(H107&gt;0,"Parcial","Pendente")))</f>
        <v/>
      </c>
      <c r="N107" s="32"/>
      <c r="O107" s="35" t="str">
        <f aca="true">IF(OR(B107="",B107&lt;TODAY()),"",COUNTIFS($B$5:$B$504,"&gt;="&amp;TODAY(),$B$5:$B$504,"&lt;"&amp;B107)+COUNTIFS($B$5:B107,B107))</f>
        <v/>
      </c>
    </row>
    <row r="108" customFormat="false" ht="15" hidden="false" customHeight="false" outlineLevel="0" collapsed="false">
      <c r="A108" s="32"/>
      <c r="B108" s="27"/>
      <c r="C108" s="29"/>
      <c r="D108" s="32"/>
      <c r="E108" s="32"/>
      <c r="F108" s="32"/>
      <c r="G108" s="31"/>
      <c r="H108" s="31"/>
      <c r="I108" s="33" t="str">
        <f aca="false">IF(G108="","",G108-H108)</f>
        <v/>
      </c>
      <c r="J108" s="33" t="str">
        <f aca="false">IF(A108="","",SUMIFS(Freelancers!$E$5:$E$504,Freelancers!$B$5:$B$504,A108))</f>
        <v/>
      </c>
      <c r="K108" s="33" t="str">
        <f aca="false">IF(A108="","",SUMIFS(Gastos!$D$5:$D$504,Gastos!$E$5:$E$504,A108))</f>
        <v/>
      </c>
      <c r="L108" s="33" t="str">
        <f aca="false">IF(G108="","",G108-N(J108)-N(K108))</f>
        <v/>
      </c>
      <c r="M108" s="34" t="str">
        <f aca="false">IF(G108="","",IF(H108&gt;=G108,"Pago",IF(H108&gt;0,"Parcial","Pendente")))</f>
        <v/>
      </c>
      <c r="N108" s="32"/>
      <c r="O108" s="35" t="str">
        <f aca="true">IF(OR(B108="",B108&lt;TODAY()),"",COUNTIFS($B$5:$B$504,"&gt;="&amp;TODAY(),$B$5:$B$504,"&lt;"&amp;B108)+COUNTIFS($B$5:B108,B108))</f>
        <v/>
      </c>
    </row>
    <row r="109" customFormat="false" ht="15" hidden="false" customHeight="false" outlineLevel="0" collapsed="false">
      <c r="A109" s="32"/>
      <c r="B109" s="27"/>
      <c r="C109" s="29"/>
      <c r="D109" s="32"/>
      <c r="E109" s="32"/>
      <c r="F109" s="32"/>
      <c r="G109" s="31"/>
      <c r="H109" s="31"/>
      <c r="I109" s="33" t="str">
        <f aca="false">IF(G109="","",G109-H109)</f>
        <v/>
      </c>
      <c r="J109" s="33" t="str">
        <f aca="false">IF(A109="","",SUMIFS(Freelancers!$E$5:$E$504,Freelancers!$B$5:$B$504,A109))</f>
        <v/>
      </c>
      <c r="K109" s="33" t="str">
        <f aca="false">IF(A109="","",SUMIFS(Gastos!$D$5:$D$504,Gastos!$E$5:$E$504,A109))</f>
        <v/>
      </c>
      <c r="L109" s="33" t="str">
        <f aca="false">IF(G109="","",G109-N(J109)-N(K109))</f>
        <v/>
      </c>
      <c r="M109" s="34" t="str">
        <f aca="false">IF(G109="","",IF(H109&gt;=G109,"Pago",IF(H109&gt;0,"Parcial","Pendente")))</f>
        <v/>
      </c>
      <c r="N109" s="32"/>
      <c r="O109" s="35" t="str">
        <f aca="true">IF(OR(B109="",B109&lt;TODAY()),"",COUNTIFS($B$5:$B$504,"&gt;="&amp;TODAY(),$B$5:$B$504,"&lt;"&amp;B109)+COUNTIFS($B$5:B109,B109))</f>
        <v/>
      </c>
    </row>
    <row r="110" customFormat="false" ht="15" hidden="false" customHeight="false" outlineLevel="0" collapsed="false">
      <c r="A110" s="32"/>
      <c r="B110" s="27"/>
      <c r="C110" s="29"/>
      <c r="D110" s="32"/>
      <c r="E110" s="32"/>
      <c r="F110" s="32"/>
      <c r="G110" s="31"/>
      <c r="H110" s="31"/>
      <c r="I110" s="33" t="str">
        <f aca="false">IF(G110="","",G110-H110)</f>
        <v/>
      </c>
      <c r="J110" s="33" t="str">
        <f aca="false">IF(A110="","",SUMIFS(Freelancers!$E$5:$E$504,Freelancers!$B$5:$B$504,A110))</f>
        <v/>
      </c>
      <c r="K110" s="33" t="str">
        <f aca="false">IF(A110="","",SUMIFS(Gastos!$D$5:$D$504,Gastos!$E$5:$E$504,A110))</f>
        <v/>
      </c>
      <c r="L110" s="33" t="str">
        <f aca="false">IF(G110="","",G110-N(J110)-N(K110))</f>
        <v/>
      </c>
      <c r="M110" s="34" t="str">
        <f aca="false">IF(G110="","",IF(H110&gt;=G110,"Pago",IF(H110&gt;0,"Parcial","Pendente")))</f>
        <v/>
      </c>
      <c r="N110" s="32"/>
      <c r="O110" s="35" t="str">
        <f aca="true">IF(OR(B110="",B110&lt;TODAY()),"",COUNTIFS($B$5:$B$504,"&gt;="&amp;TODAY(),$B$5:$B$504,"&lt;"&amp;B110)+COUNTIFS($B$5:B110,B110))</f>
        <v/>
      </c>
    </row>
    <row r="111" customFormat="false" ht="15" hidden="false" customHeight="false" outlineLevel="0" collapsed="false">
      <c r="A111" s="32"/>
      <c r="B111" s="27"/>
      <c r="C111" s="29"/>
      <c r="D111" s="32"/>
      <c r="E111" s="32"/>
      <c r="F111" s="32"/>
      <c r="G111" s="31"/>
      <c r="H111" s="31"/>
      <c r="I111" s="33" t="str">
        <f aca="false">IF(G111="","",G111-H111)</f>
        <v/>
      </c>
      <c r="J111" s="33" t="str">
        <f aca="false">IF(A111="","",SUMIFS(Freelancers!$E$5:$E$504,Freelancers!$B$5:$B$504,A111))</f>
        <v/>
      </c>
      <c r="K111" s="33" t="str">
        <f aca="false">IF(A111="","",SUMIFS(Gastos!$D$5:$D$504,Gastos!$E$5:$E$504,A111))</f>
        <v/>
      </c>
      <c r="L111" s="33" t="str">
        <f aca="false">IF(G111="","",G111-N(J111)-N(K111))</f>
        <v/>
      </c>
      <c r="M111" s="34" t="str">
        <f aca="false">IF(G111="","",IF(H111&gt;=G111,"Pago",IF(H111&gt;0,"Parcial","Pendente")))</f>
        <v/>
      </c>
      <c r="N111" s="32"/>
      <c r="O111" s="35" t="str">
        <f aca="true">IF(OR(B111="",B111&lt;TODAY()),"",COUNTIFS($B$5:$B$504,"&gt;="&amp;TODAY(),$B$5:$B$504,"&lt;"&amp;B111)+COUNTIFS($B$5:B111,B111))</f>
        <v/>
      </c>
    </row>
    <row r="112" customFormat="false" ht="15" hidden="false" customHeight="false" outlineLevel="0" collapsed="false">
      <c r="A112" s="32"/>
      <c r="B112" s="27"/>
      <c r="C112" s="29"/>
      <c r="D112" s="32"/>
      <c r="E112" s="32"/>
      <c r="F112" s="32"/>
      <c r="G112" s="31"/>
      <c r="H112" s="31"/>
      <c r="I112" s="33" t="str">
        <f aca="false">IF(G112="","",G112-H112)</f>
        <v/>
      </c>
      <c r="J112" s="33" t="str">
        <f aca="false">IF(A112="","",SUMIFS(Freelancers!$E$5:$E$504,Freelancers!$B$5:$B$504,A112))</f>
        <v/>
      </c>
      <c r="K112" s="33" t="str">
        <f aca="false">IF(A112="","",SUMIFS(Gastos!$D$5:$D$504,Gastos!$E$5:$E$504,A112))</f>
        <v/>
      </c>
      <c r="L112" s="33" t="str">
        <f aca="false">IF(G112="","",G112-N(J112)-N(K112))</f>
        <v/>
      </c>
      <c r="M112" s="34" t="str">
        <f aca="false">IF(G112="","",IF(H112&gt;=G112,"Pago",IF(H112&gt;0,"Parcial","Pendente")))</f>
        <v/>
      </c>
      <c r="N112" s="32"/>
      <c r="O112" s="35" t="str">
        <f aca="true">IF(OR(B112="",B112&lt;TODAY()),"",COUNTIFS($B$5:$B$504,"&gt;="&amp;TODAY(),$B$5:$B$504,"&lt;"&amp;B112)+COUNTIFS($B$5:B112,B112))</f>
        <v/>
      </c>
    </row>
    <row r="113" customFormat="false" ht="15" hidden="false" customHeight="false" outlineLevel="0" collapsed="false">
      <c r="A113" s="32"/>
      <c r="B113" s="27"/>
      <c r="C113" s="29"/>
      <c r="D113" s="32"/>
      <c r="E113" s="32"/>
      <c r="F113" s="32"/>
      <c r="G113" s="31"/>
      <c r="H113" s="31"/>
      <c r="I113" s="33" t="str">
        <f aca="false">IF(G113="","",G113-H113)</f>
        <v/>
      </c>
      <c r="J113" s="33" t="str">
        <f aca="false">IF(A113="","",SUMIFS(Freelancers!$E$5:$E$504,Freelancers!$B$5:$B$504,A113))</f>
        <v/>
      </c>
      <c r="K113" s="33" t="str">
        <f aca="false">IF(A113="","",SUMIFS(Gastos!$D$5:$D$504,Gastos!$E$5:$E$504,A113))</f>
        <v/>
      </c>
      <c r="L113" s="33" t="str">
        <f aca="false">IF(G113="","",G113-N(J113)-N(K113))</f>
        <v/>
      </c>
      <c r="M113" s="34" t="str">
        <f aca="false">IF(G113="","",IF(H113&gt;=G113,"Pago",IF(H113&gt;0,"Parcial","Pendente")))</f>
        <v/>
      </c>
      <c r="N113" s="32"/>
      <c r="O113" s="35" t="str">
        <f aca="true">IF(OR(B113="",B113&lt;TODAY()),"",COUNTIFS($B$5:$B$504,"&gt;="&amp;TODAY(),$B$5:$B$504,"&lt;"&amp;B113)+COUNTIFS($B$5:B113,B113))</f>
        <v/>
      </c>
    </row>
    <row r="114" customFormat="false" ht="15" hidden="false" customHeight="false" outlineLevel="0" collapsed="false">
      <c r="A114" s="32"/>
      <c r="B114" s="27"/>
      <c r="C114" s="29"/>
      <c r="D114" s="32"/>
      <c r="E114" s="32"/>
      <c r="F114" s="32"/>
      <c r="G114" s="31"/>
      <c r="H114" s="31"/>
      <c r="I114" s="33" t="str">
        <f aca="false">IF(G114="","",G114-H114)</f>
        <v/>
      </c>
      <c r="J114" s="33" t="str">
        <f aca="false">IF(A114="","",SUMIFS(Freelancers!$E$5:$E$504,Freelancers!$B$5:$B$504,A114))</f>
        <v/>
      </c>
      <c r="K114" s="33" t="str">
        <f aca="false">IF(A114="","",SUMIFS(Gastos!$D$5:$D$504,Gastos!$E$5:$E$504,A114))</f>
        <v/>
      </c>
      <c r="L114" s="33" t="str">
        <f aca="false">IF(G114="","",G114-N(J114)-N(K114))</f>
        <v/>
      </c>
      <c r="M114" s="34" t="str">
        <f aca="false">IF(G114="","",IF(H114&gt;=G114,"Pago",IF(H114&gt;0,"Parcial","Pendente")))</f>
        <v/>
      </c>
      <c r="N114" s="32"/>
      <c r="O114" s="35" t="str">
        <f aca="true">IF(OR(B114="",B114&lt;TODAY()),"",COUNTIFS($B$5:$B$504,"&gt;="&amp;TODAY(),$B$5:$B$504,"&lt;"&amp;B114)+COUNTIFS($B$5:B114,B114))</f>
        <v/>
      </c>
    </row>
    <row r="115" customFormat="false" ht="15" hidden="false" customHeight="false" outlineLevel="0" collapsed="false">
      <c r="A115" s="32"/>
      <c r="B115" s="27"/>
      <c r="C115" s="29"/>
      <c r="D115" s="32"/>
      <c r="E115" s="32"/>
      <c r="F115" s="32"/>
      <c r="G115" s="31"/>
      <c r="H115" s="31"/>
      <c r="I115" s="33" t="str">
        <f aca="false">IF(G115="","",G115-H115)</f>
        <v/>
      </c>
      <c r="J115" s="33" t="str">
        <f aca="false">IF(A115="","",SUMIFS(Freelancers!$E$5:$E$504,Freelancers!$B$5:$B$504,A115))</f>
        <v/>
      </c>
      <c r="K115" s="33" t="str">
        <f aca="false">IF(A115="","",SUMIFS(Gastos!$D$5:$D$504,Gastos!$E$5:$E$504,A115))</f>
        <v/>
      </c>
      <c r="L115" s="33" t="str">
        <f aca="false">IF(G115="","",G115-N(J115)-N(K115))</f>
        <v/>
      </c>
      <c r="M115" s="34" t="str">
        <f aca="false">IF(G115="","",IF(H115&gt;=G115,"Pago",IF(H115&gt;0,"Parcial","Pendente")))</f>
        <v/>
      </c>
      <c r="N115" s="32"/>
      <c r="O115" s="35" t="str">
        <f aca="true">IF(OR(B115="",B115&lt;TODAY()),"",COUNTIFS($B$5:$B$504,"&gt;="&amp;TODAY(),$B$5:$B$504,"&lt;"&amp;B115)+COUNTIFS($B$5:B115,B115))</f>
        <v/>
      </c>
    </row>
    <row r="116" customFormat="false" ht="15" hidden="false" customHeight="false" outlineLevel="0" collapsed="false">
      <c r="A116" s="32"/>
      <c r="B116" s="27"/>
      <c r="C116" s="29"/>
      <c r="D116" s="32"/>
      <c r="E116" s="32"/>
      <c r="F116" s="32"/>
      <c r="G116" s="31"/>
      <c r="H116" s="31"/>
      <c r="I116" s="33" t="str">
        <f aca="false">IF(G116="","",G116-H116)</f>
        <v/>
      </c>
      <c r="J116" s="33" t="str">
        <f aca="false">IF(A116="","",SUMIFS(Freelancers!$E$5:$E$504,Freelancers!$B$5:$B$504,A116))</f>
        <v/>
      </c>
      <c r="K116" s="33" t="str">
        <f aca="false">IF(A116="","",SUMIFS(Gastos!$D$5:$D$504,Gastos!$E$5:$E$504,A116))</f>
        <v/>
      </c>
      <c r="L116" s="33" t="str">
        <f aca="false">IF(G116="","",G116-N(J116)-N(K116))</f>
        <v/>
      </c>
      <c r="M116" s="34" t="str">
        <f aca="false">IF(G116="","",IF(H116&gt;=G116,"Pago",IF(H116&gt;0,"Parcial","Pendente")))</f>
        <v/>
      </c>
      <c r="N116" s="32"/>
      <c r="O116" s="35" t="str">
        <f aca="true">IF(OR(B116="",B116&lt;TODAY()),"",COUNTIFS($B$5:$B$504,"&gt;="&amp;TODAY(),$B$5:$B$504,"&lt;"&amp;B116)+COUNTIFS($B$5:B116,B116))</f>
        <v/>
      </c>
    </row>
    <row r="117" customFormat="false" ht="15" hidden="false" customHeight="false" outlineLevel="0" collapsed="false">
      <c r="A117" s="32"/>
      <c r="B117" s="27"/>
      <c r="C117" s="29"/>
      <c r="D117" s="32"/>
      <c r="E117" s="32"/>
      <c r="F117" s="32"/>
      <c r="G117" s="31"/>
      <c r="H117" s="31"/>
      <c r="I117" s="33" t="str">
        <f aca="false">IF(G117="","",G117-H117)</f>
        <v/>
      </c>
      <c r="J117" s="33" t="str">
        <f aca="false">IF(A117="","",SUMIFS(Freelancers!$E$5:$E$504,Freelancers!$B$5:$B$504,A117))</f>
        <v/>
      </c>
      <c r="K117" s="33" t="str">
        <f aca="false">IF(A117="","",SUMIFS(Gastos!$D$5:$D$504,Gastos!$E$5:$E$504,A117))</f>
        <v/>
      </c>
      <c r="L117" s="33" t="str">
        <f aca="false">IF(G117="","",G117-N(J117)-N(K117))</f>
        <v/>
      </c>
      <c r="M117" s="34" t="str">
        <f aca="false">IF(G117="","",IF(H117&gt;=G117,"Pago",IF(H117&gt;0,"Parcial","Pendente")))</f>
        <v/>
      </c>
      <c r="N117" s="32"/>
      <c r="O117" s="35" t="str">
        <f aca="true">IF(OR(B117="",B117&lt;TODAY()),"",COUNTIFS($B$5:$B$504,"&gt;="&amp;TODAY(),$B$5:$B$504,"&lt;"&amp;B117)+COUNTIFS($B$5:B117,B117))</f>
        <v/>
      </c>
    </row>
    <row r="118" customFormat="false" ht="15" hidden="false" customHeight="false" outlineLevel="0" collapsed="false">
      <c r="A118" s="32"/>
      <c r="B118" s="27"/>
      <c r="C118" s="29"/>
      <c r="D118" s="32"/>
      <c r="E118" s="32"/>
      <c r="F118" s="32"/>
      <c r="G118" s="31"/>
      <c r="H118" s="31"/>
      <c r="I118" s="33" t="str">
        <f aca="false">IF(G118="","",G118-H118)</f>
        <v/>
      </c>
      <c r="J118" s="33" t="str">
        <f aca="false">IF(A118="","",SUMIFS(Freelancers!$E$5:$E$504,Freelancers!$B$5:$B$504,A118))</f>
        <v/>
      </c>
      <c r="K118" s="33" t="str">
        <f aca="false">IF(A118="","",SUMIFS(Gastos!$D$5:$D$504,Gastos!$E$5:$E$504,A118))</f>
        <v/>
      </c>
      <c r="L118" s="33" t="str">
        <f aca="false">IF(G118="","",G118-N(J118)-N(K118))</f>
        <v/>
      </c>
      <c r="M118" s="34" t="str">
        <f aca="false">IF(G118="","",IF(H118&gt;=G118,"Pago",IF(H118&gt;0,"Parcial","Pendente")))</f>
        <v/>
      </c>
      <c r="N118" s="32"/>
      <c r="O118" s="35" t="str">
        <f aca="true">IF(OR(B118="",B118&lt;TODAY()),"",COUNTIFS($B$5:$B$504,"&gt;="&amp;TODAY(),$B$5:$B$504,"&lt;"&amp;B118)+COUNTIFS($B$5:B118,B118))</f>
        <v/>
      </c>
    </row>
    <row r="119" customFormat="false" ht="15" hidden="false" customHeight="false" outlineLevel="0" collapsed="false">
      <c r="A119" s="32"/>
      <c r="B119" s="27"/>
      <c r="C119" s="29"/>
      <c r="D119" s="32"/>
      <c r="E119" s="32"/>
      <c r="F119" s="32"/>
      <c r="G119" s="31"/>
      <c r="H119" s="31"/>
      <c r="I119" s="33" t="str">
        <f aca="false">IF(G119="","",G119-H119)</f>
        <v/>
      </c>
      <c r="J119" s="33" t="str">
        <f aca="false">IF(A119="","",SUMIFS(Freelancers!$E$5:$E$504,Freelancers!$B$5:$B$504,A119))</f>
        <v/>
      </c>
      <c r="K119" s="33" t="str">
        <f aca="false">IF(A119="","",SUMIFS(Gastos!$D$5:$D$504,Gastos!$E$5:$E$504,A119))</f>
        <v/>
      </c>
      <c r="L119" s="33" t="str">
        <f aca="false">IF(G119="","",G119-N(J119)-N(K119))</f>
        <v/>
      </c>
      <c r="M119" s="34" t="str">
        <f aca="false">IF(G119="","",IF(H119&gt;=G119,"Pago",IF(H119&gt;0,"Parcial","Pendente")))</f>
        <v/>
      </c>
      <c r="N119" s="32"/>
      <c r="O119" s="35" t="str">
        <f aca="true">IF(OR(B119="",B119&lt;TODAY()),"",COUNTIFS($B$5:$B$504,"&gt;="&amp;TODAY(),$B$5:$B$504,"&lt;"&amp;B119)+COUNTIFS($B$5:B119,B119))</f>
        <v/>
      </c>
    </row>
    <row r="120" customFormat="false" ht="15" hidden="false" customHeight="false" outlineLevel="0" collapsed="false">
      <c r="A120" s="32"/>
      <c r="B120" s="27"/>
      <c r="C120" s="29"/>
      <c r="D120" s="32"/>
      <c r="E120" s="32"/>
      <c r="F120" s="32"/>
      <c r="G120" s="31"/>
      <c r="H120" s="31"/>
      <c r="I120" s="33" t="str">
        <f aca="false">IF(G120="","",G120-H120)</f>
        <v/>
      </c>
      <c r="J120" s="33" t="str">
        <f aca="false">IF(A120="","",SUMIFS(Freelancers!$E$5:$E$504,Freelancers!$B$5:$B$504,A120))</f>
        <v/>
      </c>
      <c r="K120" s="33" t="str">
        <f aca="false">IF(A120="","",SUMIFS(Gastos!$D$5:$D$504,Gastos!$E$5:$E$504,A120))</f>
        <v/>
      </c>
      <c r="L120" s="33" t="str">
        <f aca="false">IF(G120="","",G120-N(J120)-N(K120))</f>
        <v/>
      </c>
      <c r="M120" s="34" t="str">
        <f aca="false">IF(G120="","",IF(H120&gt;=G120,"Pago",IF(H120&gt;0,"Parcial","Pendente")))</f>
        <v/>
      </c>
      <c r="N120" s="32"/>
      <c r="O120" s="35" t="str">
        <f aca="true">IF(OR(B120="",B120&lt;TODAY()),"",COUNTIFS($B$5:$B$504,"&gt;="&amp;TODAY(),$B$5:$B$504,"&lt;"&amp;B120)+COUNTIFS($B$5:B120,B120))</f>
        <v/>
      </c>
    </row>
    <row r="121" customFormat="false" ht="15" hidden="false" customHeight="false" outlineLevel="0" collapsed="false">
      <c r="A121" s="32"/>
      <c r="B121" s="27"/>
      <c r="C121" s="29"/>
      <c r="D121" s="32"/>
      <c r="E121" s="32"/>
      <c r="F121" s="32"/>
      <c r="G121" s="31"/>
      <c r="H121" s="31"/>
      <c r="I121" s="33" t="str">
        <f aca="false">IF(G121="","",G121-H121)</f>
        <v/>
      </c>
      <c r="J121" s="33" t="str">
        <f aca="false">IF(A121="","",SUMIFS(Freelancers!$E$5:$E$504,Freelancers!$B$5:$B$504,A121))</f>
        <v/>
      </c>
      <c r="K121" s="33" t="str">
        <f aca="false">IF(A121="","",SUMIFS(Gastos!$D$5:$D$504,Gastos!$E$5:$E$504,A121))</f>
        <v/>
      </c>
      <c r="L121" s="33" t="str">
        <f aca="false">IF(G121="","",G121-N(J121)-N(K121))</f>
        <v/>
      </c>
      <c r="M121" s="34" t="str">
        <f aca="false">IF(G121="","",IF(H121&gt;=G121,"Pago",IF(H121&gt;0,"Parcial","Pendente")))</f>
        <v/>
      </c>
      <c r="N121" s="32"/>
      <c r="O121" s="35" t="str">
        <f aca="true">IF(OR(B121="",B121&lt;TODAY()),"",COUNTIFS($B$5:$B$504,"&gt;="&amp;TODAY(),$B$5:$B$504,"&lt;"&amp;B121)+COUNTIFS($B$5:B121,B121))</f>
        <v/>
      </c>
    </row>
    <row r="122" customFormat="false" ht="15" hidden="false" customHeight="false" outlineLevel="0" collapsed="false">
      <c r="A122" s="32"/>
      <c r="B122" s="27"/>
      <c r="C122" s="29"/>
      <c r="D122" s="32"/>
      <c r="E122" s="32"/>
      <c r="F122" s="32"/>
      <c r="G122" s="31"/>
      <c r="H122" s="31"/>
      <c r="I122" s="33" t="str">
        <f aca="false">IF(G122="","",G122-H122)</f>
        <v/>
      </c>
      <c r="J122" s="33" t="str">
        <f aca="false">IF(A122="","",SUMIFS(Freelancers!$E$5:$E$504,Freelancers!$B$5:$B$504,A122))</f>
        <v/>
      </c>
      <c r="K122" s="33" t="str">
        <f aca="false">IF(A122="","",SUMIFS(Gastos!$D$5:$D$504,Gastos!$E$5:$E$504,A122))</f>
        <v/>
      </c>
      <c r="L122" s="33" t="str">
        <f aca="false">IF(G122="","",G122-N(J122)-N(K122))</f>
        <v/>
      </c>
      <c r="M122" s="34" t="str">
        <f aca="false">IF(G122="","",IF(H122&gt;=G122,"Pago",IF(H122&gt;0,"Parcial","Pendente")))</f>
        <v/>
      </c>
      <c r="N122" s="32"/>
      <c r="O122" s="35" t="str">
        <f aca="true">IF(OR(B122="",B122&lt;TODAY()),"",COUNTIFS($B$5:$B$504,"&gt;="&amp;TODAY(),$B$5:$B$504,"&lt;"&amp;B122)+COUNTIFS($B$5:B122,B122))</f>
        <v/>
      </c>
    </row>
    <row r="123" customFormat="false" ht="15" hidden="false" customHeight="false" outlineLevel="0" collapsed="false">
      <c r="A123" s="32"/>
      <c r="B123" s="27"/>
      <c r="C123" s="29"/>
      <c r="D123" s="32"/>
      <c r="E123" s="32"/>
      <c r="F123" s="32"/>
      <c r="G123" s="31"/>
      <c r="H123" s="31"/>
      <c r="I123" s="33" t="str">
        <f aca="false">IF(G123="","",G123-H123)</f>
        <v/>
      </c>
      <c r="J123" s="33" t="str">
        <f aca="false">IF(A123="","",SUMIFS(Freelancers!$E$5:$E$504,Freelancers!$B$5:$B$504,A123))</f>
        <v/>
      </c>
      <c r="K123" s="33" t="str">
        <f aca="false">IF(A123="","",SUMIFS(Gastos!$D$5:$D$504,Gastos!$E$5:$E$504,A123))</f>
        <v/>
      </c>
      <c r="L123" s="33" t="str">
        <f aca="false">IF(G123="","",G123-N(J123)-N(K123))</f>
        <v/>
      </c>
      <c r="M123" s="34" t="str">
        <f aca="false">IF(G123="","",IF(H123&gt;=G123,"Pago",IF(H123&gt;0,"Parcial","Pendente")))</f>
        <v/>
      </c>
      <c r="N123" s="32"/>
      <c r="O123" s="35" t="str">
        <f aca="true">IF(OR(B123="",B123&lt;TODAY()),"",COUNTIFS($B$5:$B$504,"&gt;="&amp;TODAY(),$B$5:$B$504,"&lt;"&amp;B123)+COUNTIFS($B$5:B123,B123))</f>
        <v/>
      </c>
    </row>
    <row r="124" customFormat="false" ht="15" hidden="false" customHeight="false" outlineLevel="0" collapsed="false">
      <c r="A124" s="32"/>
      <c r="B124" s="27"/>
      <c r="C124" s="29"/>
      <c r="D124" s="32"/>
      <c r="E124" s="32"/>
      <c r="F124" s="32"/>
      <c r="G124" s="31"/>
      <c r="H124" s="31"/>
      <c r="I124" s="33" t="str">
        <f aca="false">IF(G124="","",G124-H124)</f>
        <v/>
      </c>
      <c r="J124" s="33" t="str">
        <f aca="false">IF(A124="","",SUMIFS(Freelancers!$E$5:$E$504,Freelancers!$B$5:$B$504,A124))</f>
        <v/>
      </c>
      <c r="K124" s="33" t="str">
        <f aca="false">IF(A124="","",SUMIFS(Gastos!$D$5:$D$504,Gastos!$E$5:$E$504,A124))</f>
        <v/>
      </c>
      <c r="L124" s="33" t="str">
        <f aca="false">IF(G124="","",G124-N(J124)-N(K124))</f>
        <v/>
      </c>
      <c r="M124" s="34" t="str">
        <f aca="false">IF(G124="","",IF(H124&gt;=G124,"Pago",IF(H124&gt;0,"Parcial","Pendente")))</f>
        <v/>
      </c>
      <c r="N124" s="32"/>
      <c r="O124" s="35" t="str">
        <f aca="true">IF(OR(B124="",B124&lt;TODAY()),"",COUNTIFS($B$5:$B$504,"&gt;="&amp;TODAY(),$B$5:$B$504,"&lt;"&amp;B124)+COUNTIFS($B$5:B124,B124))</f>
        <v/>
      </c>
    </row>
    <row r="125" customFormat="false" ht="15" hidden="false" customHeight="false" outlineLevel="0" collapsed="false">
      <c r="A125" s="32"/>
      <c r="B125" s="27"/>
      <c r="C125" s="29"/>
      <c r="D125" s="32"/>
      <c r="E125" s="32"/>
      <c r="F125" s="32"/>
      <c r="G125" s="31"/>
      <c r="H125" s="31"/>
      <c r="I125" s="33" t="str">
        <f aca="false">IF(G125="","",G125-H125)</f>
        <v/>
      </c>
      <c r="J125" s="33" t="str">
        <f aca="false">IF(A125="","",SUMIFS(Freelancers!$E$5:$E$504,Freelancers!$B$5:$B$504,A125))</f>
        <v/>
      </c>
      <c r="K125" s="33" t="str">
        <f aca="false">IF(A125="","",SUMIFS(Gastos!$D$5:$D$504,Gastos!$E$5:$E$504,A125))</f>
        <v/>
      </c>
      <c r="L125" s="33" t="str">
        <f aca="false">IF(G125="","",G125-N(J125)-N(K125))</f>
        <v/>
      </c>
      <c r="M125" s="34" t="str">
        <f aca="false">IF(G125="","",IF(H125&gt;=G125,"Pago",IF(H125&gt;0,"Parcial","Pendente")))</f>
        <v/>
      </c>
      <c r="N125" s="32"/>
      <c r="O125" s="35" t="str">
        <f aca="true">IF(OR(B125="",B125&lt;TODAY()),"",COUNTIFS($B$5:$B$504,"&gt;="&amp;TODAY(),$B$5:$B$504,"&lt;"&amp;B125)+COUNTIFS($B$5:B125,B125))</f>
        <v/>
      </c>
    </row>
    <row r="126" customFormat="false" ht="15" hidden="false" customHeight="false" outlineLevel="0" collapsed="false">
      <c r="A126" s="32"/>
      <c r="B126" s="27"/>
      <c r="C126" s="29"/>
      <c r="D126" s="32"/>
      <c r="E126" s="32"/>
      <c r="F126" s="32"/>
      <c r="G126" s="31"/>
      <c r="H126" s="31"/>
      <c r="I126" s="33" t="str">
        <f aca="false">IF(G126="","",G126-H126)</f>
        <v/>
      </c>
      <c r="J126" s="33" t="str">
        <f aca="false">IF(A126="","",SUMIFS(Freelancers!$E$5:$E$504,Freelancers!$B$5:$B$504,A126))</f>
        <v/>
      </c>
      <c r="K126" s="33" t="str">
        <f aca="false">IF(A126="","",SUMIFS(Gastos!$D$5:$D$504,Gastos!$E$5:$E$504,A126))</f>
        <v/>
      </c>
      <c r="L126" s="33" t="str">
        <f aca="false">IF(G126="","",G126-N(J126)-N(K126))</f>
        <v/>
      </c>
      <c r="M126" s="34" t="str">
        <f aca="false">IF(G126="","",IF(H126&gt;=G126,"Pago",IF(H126&gt;0,"Parcial","Pendente")))</f>
        <v/>
      </c>
      <c r="N126" s="32"/>
      <c r="O126" s="35" t="str">
        <f aca="true">IF(OR(B126="",B126&lt;TODAY()),"",COUNTIFS($B$5:$B$504,"&gt;="&amp;TODAY(),$B$5:$B$504,"&lt;"&amp;B126)+COUNTIFS($B$5:B126,B126))</f>
        <v/>
      </c>
    </row>
    <row r="127" customFormat="false" ht="15" hidden="false" customHeight="false" outlineLevel="0" collapsed="false">
      <c r="A127" s="32"/>
      <c r="B127" s="27"/>
      <c r="C127" s="29"/>
      <c r="D127" s="32"/>
      <c r="E127" s="32"/>
      <c r="F127" s="32"/>
      <c r="G127" s="31"/>
      <c r="H127" s="31"/>
      <c r="I127" s="33" t="str">
        <f aca="false">IF(G127="","",G127-H127)</f>
        <v/>
      </c>
      <c r="J127" s="33" t="str">
        <f aca="false">IF(A127="","",SUMIFS(Freelancers!$E$5:$E$504,Freelancers!$B$5:$B$504,A127))</f>
        <v/>
      </c>
      <c r="K127" s="33" t="str">
        <f aca="false">IF(A127="","",SUMIFS(Gastos!$D$5:$D$504,Gastos!$E$5:$E$504,A127))</f>
        <v/>
      </c>
      <c r="L127" s="33" t="str">
        <f aca="false">IF(G127="","",G127-N(J127)-N(K127))</f>
        <v/>
      </c>
      <c r="M127" s="34" t="str">
        <f aca="false">IF(G127="","",IF(H127&gt;=G127,"Pago",IF(H127&gt;0,"Parcial","Pendente")))</f>
        <v/>
      </c>
      <c r="N127" s="32"/>
      <c r="O127" s="35" t="str">
        <f aca="true">IF(OR(B127="",B127&lt;TODAY()),"",COUNTIFS($B$5:$B$504,"&gt;="&amp;TODAY(),$B$5:$B$504,"&lt;"&amp;B127)+COUNTIFS($B$5:B127,B127))</f>
        <v/>
      </c>
    </row>
    <row r="128" customFormat="false" ht="15" hidden="false" customHeight="false" outlineLevel="0" collapsed="false">
      <c r="A128" s="32"/>
      <c r="B128" s="27"/>
      <c r="C128" s="29"/>
      <c r="D128" s="32"/>
      <c r="E128" s="32"/>
      <c r="F128" s="32"/>
      <c r="G128" s="31"/>
      <c r="H128" s="31"/>
      <c r="I128" s="33" t="str">
        <f aca="false">IF(G128="","",G128-H128)</f>
        <v/>
      </c>
      <c r="J128" s="33" t="str">
        <f aca="false">IF(A128="","",SUMIFS(Freelancers!$E$5:$E$504,Freelancers!$B$5:$B$504,A128))</f>
        <v/>
      </c>
      <c r="K128" s="33" t="str">
        <f aca="false">IF(A128="","",SUMIFS(Gastos!$D$5:$D$504,Gastos!$E$5:$E$504,A128))</f>
        <v/>
      </c>
      <c r="L128" s="33" t="str">
        <f aca="false">IF(G128="","",G128-N(J128)-N(K128))</f>
        <v/>
      </c>
      <c r="M128" s="34" t="str">
        <f aca="false">IF(G128="","",IF(H128&gt;=G128,"Pago",IF(H128&gt;0,"Parcial","Pendente")))</f>
        <v/>
      </c>
      <c r="N128" s="32"/>
      <c r="O128" s="35" t="str">
        <f aca="true">IF(OR(B128="",B128&lt;TODAY()),"",COUNTIFS($B$5:$B$504,"&gt;="&amp;TODAY(),$B$5:$B$504,"&lt;"&amp;B128)+COUNTIFS($B$5:B128,B128))</f>
        <v/>
      </c>
    </row>
    <row r="129" customFormat="false" ht="15" hidden="false" customHeight="false" outlineLevel="0" collapsed="false">
      <c r="A129" s="32"/>
      <c r="B129" s="27"/>
      <c r="C129" s="29"/>
      <c r="D129" s="32"/>
      <c r="E129" s="32"/>
      <c r="F129" s="32"/>
      <c r="G129" s="31"/>
      <c r="H129" s="31"/>
      <c r="I129" s="33" t="str">
        <f aca="false">IF(G129="","",G129-H129)</f>
        <v/>
      </c>
      <c r="J129" s="33" t="str">
        <f aca="false">IF(A129="","",SUMIFS(Freelancers!$E$5:$E$504,Freelancers!$B$5:$B$504,A129))</f>
        <v/>
      </c>
      <c r="K129" s="33" t="str">
        <f aca="false">IF(A129="","",SUMIFS(Gastos!$D$5:$D$504,Gastos!$E$5:$E$504,A129))</f>
        <v/>
      </c>
      <c r="L129" s="33" t="str">
        <f aca="false">IF(G129="","",G129-N(J129)-N(K129))</f>
        <v/>
      </c>
      <c r="M129" s="34" t="str">
        <f aca="false">IF(G129="","",IF(H129&gt;=G129,"Pago",IF(H129&gt;0,"Parcial","Pendente")))</f>
        <v/>
      </c>
      <c r="N129" s="32"/>
      <c r="O129" s="35" t="str">
        <f aca="true">IF(OR(B129="",B129&lt;TODAY()),"",COUNTIFS($B$5:$B$504,"&gt;="&amp;TODAY(),$B$5:$B$504,"&lt;"&amp;B129)+COUNTIFS($B$5:B129,B129))</f>
        <v/>
      </c>
    </row>
    <row r="130" customFormat="false" ht="15" hidden="false" customHeight="false" outlineLevel="0" collapsed="false">
      <c r="A130" s="32"/>
      <c r="B130" s="27"/>
      <c r="C130" s="29"/>
      <c r="D130" s="32"/>
      <c r="E130" s="32"/>
      <c r="F130" s="32"/>
      <c r="G130" s="31"/>
      <c r="H130" s="31"/>
      <c r="I130" s="33" t="str">
        <f aca="false">IF(G130="","",G130-H130)</f>
        <v/>
      </c>
      <c r="J130" s="33" t="str">
        <f aca="false">IF(A130="","",SUMIFS(Freelancers!$E$5:$E$504,Freelancers!$B$5:$B$504,A130))</f>
        <v/>
      </c>
      <c r="K130" s="33" t="str">
        <f aca="false">IF(A130="","",SUMIFS(Gastos!$D$5:$D$504,Gastos!$E$5:$E$504,A130))</f>
        <v/>
      </c>
      <c r="L130" s="33" t="str">
        <f aca="false">IF(G130="","",G130-N(J130)-N(K130))</f>
        <v/>
      </c>
      <c r="M130" s="34" t="str">
        <f aca="false">IF(G130="","",IF(H130&gt;=G130,"Pago",IF(H130&gt;0,"Parcial","Pendente")))</f>
        <v/>
      </c>
      <c r="N130" s="32"/>
      <c r="O130" s="35" t="str">
        <f aca="true">IF(OR(B130="",B130&lt;TODAY()),"",COUNTIFS($B$5:$B$504,"&gt;="&amp;TODAY(),$B$5:$B$504,"&lt;"&amp;B130)+COUNTIFS($B$5:B130,B130))</f>
        <v/>
      </c>
    </row>
    <row r="131" customFormat="false" ht="15" hidden="false" customHeight="false" outlineLevel="0" collapsed="false">
      <c r="A131" s="32"/>
      <c r="B131" s="27"/>
      <c r="C131" s="29"/>
      <c r="D131" s="32"/>
      <c r="E131" s="32"/>
      <c r="F131" s="32"/>
      <c r="G131" s="31"/>
      <c r="H131" s="31"/>
      <c r="I131" s="33" t="str">
        <f aca="false">IF(G131="","",G131-H131)</f>
        <v/>
      </c>
      <c r="J131" s="33" t="str">
        <f aca="false">IF(A131="","",SUMIFS(Freelancers!$E$5:$E$504,Freelancers!$B$5:$B$504,A131))</f>
        <v/>
      </c>
      <c r="K131" s="33" t="str">
        <f aca="false">IF(A131="","",SUMIFS(Gastos!$D$5:$D$504,Gastos!$E$5:$E$504,A131))</f>
        <v/>
      </c>
      <c r="L131" s="33" t="str">
        <f aca="false">IF(G131="","",G131-N(J131)-N(K131))</f>
        <v/>
      </c>
      <c r="M131" s="34" t="str">
        <f aca="false">IF(G131="","",IF(H131&gt;=G131,"Pago",IF(H131&gt;0,"Parcial","Pendente")))</f>
        <v/>
      </c>
      <c r="N131" s="32"/>
      <c r="O131" s="35" t="str">
        <f aca="true">IF(OR(B131="",B131&lt;TODAY()),"",COUNTIFS($B$5:$B$504,"&gt;="&amp;TODAY(),$B$5:$B$504,"&lt;"&amp;B131)+COUNTIFS($B$5:B131,B131))</f>
        <v/>
      </c>
    </row>
    <row r="132" customFormat="false" ht="15" hidden="false" customHeight="false" outlineLevel="0" collapsed="false">
      <c r="A132" s="32"/>
      <c r="B132" s="27"/>
      <c r="C132" s="29"/>
      <c r="D132" s="32"/>
      <c r="E132" s="32"/>
      <c r="F132" s="32"/>
      <c r="G132" s="31"/>
      <c r="H132" s="31"/>
      <c r="I132" s="33" t="str">
        <f aca="false">IF(G132="","",G132-H132)</f>
        <v/>
      </c>
      <c r="J132" s="33" t="str">
        <f aca="false">IF(A132="","",SUMIFS(Freelancers!$E$5:$E$504,Freelancers!$B$5:$B$504,A132))</f>
        <v/>
      </c>
      <c r="K132" s="33" t="str">
        <f aca="false">IF(A132="","",SUMIFS(Gastos!$D$5:$D$504,Gastos!$E$5:$E$504,A132))</f>
        <v/>
      </c>
      <c r="L132" s="33" t="str">
        <f aca="false">IF(G132="","",G132-N(J132)-N(K132))</f>
        <v/>
      </c>
      <c r="M132" s="34" t="str">
        <f aca="false">IF(G132="","",IF(H132&gt;=G132,"Pago",IF(H132&gt;0,"Parcial","Pendente")))</f>
        <v/>
      </c>
      <c r="N132" s="32"/>
      <c r="O132" s="35" t="str">
        <f aca="true">IF(OR(B132="",B132&lt;TODAY()),"",COUNTIFS($B$5:$B$504,"&gt;="&amp;TODAY(),$B$5:$B$504,"&lt;"&amp;B132)+COUNTIFS($B$5:B132,B132))</f>
        <v/>
      </c>
    </row>
    <row r="133" customFormat="false" ht="15" hidden="false" customHeight="false" outlineLevel="0" collapsed="false">
      <c r="A133" s="32"/>
      <c r="B133" s="27"/>
      <c r="C133" s="29"/>
      <c r="D133" s="32"/>
      <c r="E133" s="32"/>
      <c r="F133" s="32"/>
      <c r="G133" s="31"/>
      <c r="H133" s="31"/>
      <c r="I133" s="33" t="str">
        <f aca="false">IF(G133="","",G133-H133)</f>
        <v/>
      </c>
      <c r="J133" s="33" t="str">
        <f aca="false">IF(A133="","",SUMIFS(Freelancers!$E$5:$E$504,Freelancers!$B$5:$B$504,A133))</f>
        <v/>
      </c>
      <c r="K133" s="33" t="str">
        <f aca="false">IF(A133="","",SUMIFS(Gastos!$D$5:$D$504,Gastos!$E$5:$E$504,A133))</f>
        <v/>
      </c>
      <c r="L133" s="33" t="str">
        <f aca="false">IF(G133="","",G133-N(J133)-N(K133))</f>
        <v/>
      </c>
      <c r="M133" s="34" t="str">
        <f aca="false">IF(G133="","",IF(H133&gt;=G133,"Pago",IF(H133&gt;0,"Parcial","Pendente")))</f>
        <v/>
      </c>
      <c r="N133" s="32"/>
      <c r="O133" s="35" t="str">
        <f aca="true">IF(OR(B133="",B133&lt;TODAY()),"",COUNTIFS($B$5:$B$504,"&gt;="&amp;TODAY(),$B$5:$B$504,"&lt;"&amp;B133)+COUNTIFS($B$5:B133,B133))</f>
        <v/>
      </c>
    </row>
    <row r="134" customFormat="false" ht="15" hidden="false" customHeight="false" outlineLevel="0" collapsed="false">
      <c r="A134" s="32"/>
      <c r="B134" s="27"/>
      <c r="C134" s="29"/>
      <c r="D134" s="32"/>
      <c r="E134" s="32"/>
      <c r="F134" s="32"/>
      <c r="G134" s="31"/>
      <c r="H134" s="31"/>
      <c r="I134" s="33" t="str">
        <f aca="false">IF(G134="","",G134-H134)</f>
        <v/>
      </c>
      <c r="J134" s="33" t="str">
        <f aca="false">IF(A134="","",SUMIFS(Freelancers!$E$5:$E$504,Freelancers!$B$5:$B$504,A134))</f>
        <v/>
      </c>
      <c r="K134" s="33" t="str">
        <f aca="false">IF(A134="","",SUMIFS(Gastos!$D$5:$D$504,Gastos!$E$5:$E$504,A134))</f>
        <v/>
      </c>
      <c r="L134" s="33" t="str">
        <f aca="false">IF(G134="","",G134-N(J134)-N(K134))</f>
        <v/>
      </c>
      <c r="M134" s="34" t="str">
        <f aca="false">IF(G134="","",IF(H134&gt;=G134,"Pago",IF(H134&gt;0,"Parcial","Pendente")))</f>
        <v/>
      </c>
      <c r="N134" s="32"/>
      <c r="O134" s="35" t="str">
        <f aca="true">IF(OR(B134="",B134&lt;TODAY()),"",COUNTIFS($B$5:$B$504,"&gt;="&amp;TODAY(),$B$5:$B$504,"&lt;"&amp;B134)+COUNTIFS($B$5:B134,B134))</f>
        <v/>
      </c>
    </row>
    <row r="135" customFormat="false" ht="15" hidden="false" customHeight="false" outlineLevel="0" collapsed="false">
      <c r="A135" s="32"/>
      <c r="B135" s="27"/>
      <c r="C135" s="29"/>
      <c r="D135" s="32"/>
      <c r="E135" s="32"/>
      <c r="F135" s="32"/>
      <c r="G135" s="31"/>
      <c r="H135" s="31"/>
      <c r="I135" s="33" t="str">
        <f aca="false">IF(G135="","",G135-H135)</f>
        <v/>
      </c>
      <c r="J135" s="33" t="str">
        <f aca="false">IF(A135="","",SUMIFS(Freelancers!$E$5:$E$504,Freelancers!$B$5:$B$504,A135))</f>
        <v/>
      </c>
      <c r="K135" s="33" t="str">
        <f aca="false">IF(A135="","",SUMIFS(Gastos!$D$5:$D$504,Gastos!$E$5:$E$504,A135))</f>
        <v/>
      </c>
      <c r="L135" s="33" t="str">
        <f aca="false">IF(G135="","",G135-N(J135)-N(K135))</f>
        <v/>
      </c>
      <c r="M135" s="34" t="str">
        <f aca="false">IF(G135="","",IF(H135&gt;=G135,"Pago",IF(H135&gt;0,"Parcial","Pendente")))</f>
        <v/>
      </c>
      <c r="N135" s="32"/>
      <c r="O135" s="35" t="str">
        <f aca="true">IF(OR(B135="",B135&lt;TODAY()),"",COUNTIFS($B$5:$B$504,"&gt;="&amp;TODAY(),$B$5:$B$504,"&lt;"&amp;B135)+COUNTIFS($B$5:B135,B135))</f>
        <v/>
      </c>
    </row>
    <row r="136" customFormat="false" ht="15" hidden="false" customHeight="false" outlineLevel="0" collapsed="false">
      <c r="A136" s="32"/>
      <c r="B136" s="27"/>
      <c r="C136" s="29"/>
      <c r="D136" s="32"/>
      <c r="E136" s="32"/>
      <c r="F136" s="32"/>
      <c r="G136" s="31"/>
      <c r="H136" s="31"/>
      <c r="I136" s="33" t="str">
        <f aca="false">IF(G136="","",G136-H136)</f>
        <v/>
      </c>
      <c r="J136" s="33" t="str">
        <f aca="false">IF(A136="","",SUMIFS(Freelancers!$E$5:$E$504,Freelancers!$B$5:$B$504,A136))</f>
        <v/>
      </c>
      <c r="K136" s="33" t="str">
        <f aca="false">IF(A136="","",SUMIFS(Gastos!$D$5:$D$504,Gastos!$E$5:$E$504,A136))</f>
        <v/>
      </c>
      <c r="L136" s="33" t="str">
        <f aca="false">IF(G136="","",G136-N(J136)-N(K136))</f>
        <v/>
      </c>
      <c r="M136" s="34" t="str">
        <f aca="false">IF(G136="","",IF(H136&gt;=G136,"Pago",IF(H136&gt;0,"Parcial","Pendente")))</f>
        <v/>
      </c>
      <c r="N136" s="32"/>
      <c r="O136" s="35" t="str">
        <f aca="true">IF(OR(B136="",B136&lt;TODAY()),"",COUNTIFS($B$5:$B$504,"&gt;="&amp;TODAY(),$B$5:$B$504,"&lt;"&amp;B136)+COUNTIFS($B$5:B136,B136))</f>
        <v/>
      </c>
    </row>
    <row r="137" customFormat="false" ht="15" hidden="false" customHeight="false" outlineLevel="0" collapsed="false">
      <c r="A137" s="32"/>
      <c r="B137" s="27"/>
      <c r="C137" s="29"/>
      <c r="D137" s="32"/>
      <c r="E137" s="32"/>
      <c r="F137" s="32"/>
      <c r="G137" s="31"/>
      <c r="H137" s="31"/>
      <c r="I137" s="33" t="str">
        <f aca="false">IF(G137="","",G137-H137)</f>
        <v/>
      </c>
      <c r="J137" s="33" t="str">
        <f aca="false">IF(A137="","",SUMIFS(Freelancers!$E$5:$E$504,Freelancers!$B$5:$B$504,A137))</f>
        <v/>
      </c>
      <c r="K137" s="33" t="str">
        <f aca="false">IF(A137="","",SUMIFS(Gastos!$D$5:$D$504,Gastos!$E$5:$E$504,A137))</f>
        <v/>
      </c>
      <c r="L137" s="33" t="str">
        <f aca="false">IF(G137="","",G137-N(J137)-N(K137))</f>
        <v/>
      </c>
      <c r="M137" s="34" t="str">
        <f aca="false">IF(G137="","",IF(H137&gt;=G137,"Pago",IF(H137&gt;0,"Parcial","Pendente")))</f>
        <v/>
      </c>
      <c r="N137" s="32"/>
      <c r="O137" s="35" t="str">
        <f aca="true">IF(OR(B137="",B137&lt;TODAY()),"",COUNTIFS($B$5:$B$504,"&gt;="&amp;TODAY(),$B$5:$B$504,"&lt;"&amp;B137)+COUNTIFS($B$5:B137,B137))</f>
        <v/>
      </c>
    </row>
    <row r="138" customFormat="false" ht="15" hidden="false" customHeight="false" outlineLevel="0" collapsed="false">
      <c r="A138" s="32"/>
      <c r="B138" s="27"/>
      <c r="C138" s="29"/>
      <c r="D138" s="32"/>
      <c r="E138" s="32"/>
      <c r="F138" s="32"/>
      <c r="G138" s="31"/>
      <c r="H138" s="31"/>
      <c r="I138" s="33" t="str">
        <f aca="false">IF(G138="","",G138-H138)</f>
        <v/>
      </c>
      <c r="J138" s="33" t="str">
        <f aca="false">IF(A138="","",SUMIFS(Freelancers!$E$5:$E$504,Freelancers!$B$5:$B$504,A138))</f>
        <v/>
      </c>
      <c r="K138" s="33" t="str">
        <f aca="false">IF(A138="","",SUMIFS(Gastos!$D$5:$D$504,Gastos!$E$5:$E$504,A138))</f>
        <v/>
      </c>
      <c r="L138" s="33" t="str">
        <f aca="false">IF(G138="","",G138-N(J138)-N(K138))</f>
        <v/>
      </c>
      <c r="M138" s="34" t="str">
        <f aca="false">IF(G138="","",IF(H138&gt;=G138,"Pago",IF(H138&gt;0,"Parcial","Pendente")))</f>
        <v/>
      </c>
      <c r="N138" s="32"/>
      <c r="O138" s="35" t="str">
        <f aca="true">IF(OR(B138="",B138&lt;TODAY()),"",COUNTIFS($B$5:$B$504,"&gt;="&amp;TODAY(),$B$5:$B$504,"&lt;"&amp;B138)+COUNTIFS($B$5:B138,B138))</f>
        <v/>
      </c>
    </row>
    <row r="139" customFormat="false" ht="15" hidden="false" customHeight="false" outlineLevel="0" collapsed="false">
      <c r="A139" s="32"/>
      <c r="B139" s="27"/>
      <c r="C139" s="29"/>
      <c r="D139" s="32"/>
      <c r="E139" s="32"/>
      <c r="F139" s="32"/>
      <c r="G139" s="31"/>
      <c r="H139" s="31"/>
      <c r="I139" s="33" t="str">
        <f aca="false">IF(G139="","",G139-H139)</f>
        <v/>
      </c>
      <c r="J139" s="33" t="str">
        <f aca="false">IF(A139="","",SUMIFS(Freelancers!$E$5:$E$504,Freelancers!$B$5:$B$504,A139))</f>
        <v/>
      </c>
      <c r="K139" s="33" t="str">
        <f aca="false">IF(A139="","",SUMIFS(Gastos!$D$5:$D$504,Gastos!$E$5:$E$504,A139))</f>
        <v/>
      </c>
      <c r="L139" s="33" t="str">
        <f aca="false">IF(G139="","",G139-N(J139)-N(K139))</f>
        <v/>
      </c>
      <c r="M139" s="34" t="str">
        <f aca="false">IF(G139="","",IF(H139&gt;=G139,"Pago",IF(H139&gt;0,"Parcial","Pendente")))</f>
        <v/>
      </c>
      <c r="N139" s="32"/>
      <c r="O139" s="35" t="str">
        <f aca="true">IF(OR(B139="",B139&lt;TODAY()),"",COUNTIFS($B$5:$B$504,"&gt;="&amp;TODAY(),$B$5:$B$504,"&lt;"&amp;B139)+COUNTIFS($B$5:B139,B139))</f>
        <v/>
      </c>
    </row>
    <row r="140" customFormat="false" ht="15" hidden="false" customHeight="false" outlineLevel="0" collapsed="false">
      <c r="A140" s="32"/>
      <c r="B140" s="27"/>
      <c r="C140" s="29"/>
      <c r="D140" s="32"/>
      <c r="E140" s="32"/>
      <c r="F140" s="32"/>
      <c r="G140" s="31"/>
      <c r="H140" s="31"/>
      <c r="I140" s="33" t="str">
        <f aca="false">IF(G140="","",G140-H140)</f>
        <v/>
      </c>
      <c r="J140" s="33" t="str">
        <f aca="false">IF(A140="","",SUMIFS(Freelancers!$E$5:$E$504,Freelancers!$B$5:$B$504,A140))</f>
        <v/>
      </c>
      <c r="K140" s="33" t="str">
        <f aca="false">IF(A140="","",SUMIFS(Gastos!$D$5:$D$504,Gastos!$E$5:$E$504,A140))</f>
        <v/>
      </c>
      <c r="L140" s="33" t="str">
        <f aca="false">IF(G140="","",G140-N(J140)-N(K140))</f>
        <v/>
      </c>
      <c r="M140" s="34" t="str">
        <f aca="false">IF(G140="","",IF(H140&gt;=G140,"Pago",IF(H140&gt;0,"Parcial","Pendente")))</f>
        <v/>
      </c>
      <c r="N140" s="32"/>
      <c r="O140" s="35" t="str">
        <f aca="true">IF(OR(B140="",B140&lt;TODAY()),"",COUNTIFS($B$5:$B$504,"&gt;="&amp;TODAY(),$B$5:$B$504,"&lt;"&amp;B140)+COUNTIFS($B$5:B140,B140))</f>
        <v/>
      </c>
    </row>
    <row r="141" customFormat="false" ht="15" hidden="false" customHeight="false" outlineLevel="0" collapsed="false">
      <c r="A141" s="32"/>
      <c r="B141" s="27"/>
      <c r="C141" s="29"/>
      <c r="D141" s="32"/>
      <c r="E141" s="32"/>
      <c r="F141" s="32"/>
      <c r="G141" s="31"/>
      <c r="H141" s="31"/>
      <c r="I141" s="33" t="str">
        <f aca="false">IF(G141="","",G141-H141)</f>
        <v/>
      </c>
      <c r="J141" s="33" t="str">
        <f aca="false">IF(A141="","",SUMIFS(Freelancers!$E$5:$E$504,Freelancers!$B$5:$B$504,A141))</f>
        <v/>
      </c>
      <c r="K141" s="33" t="str">
        <f aca="false">IF(A141="","",SUMIFS(Gastos!$D$5:$D$504,Gastos!$E$5:$E$504,A141))</f>
        <v/>
      </c>
      <c r="L141" s="33" t="str">
        <f aca="false">IF(G141="","",G141-N(J141)-N(K141))</f>
        <v/>
      </c>
      <c r="M141" s="34" t="str">
        <f aca="false">IF(G141="","",IF(H141&gt;=G141,"Pago",IF(H141&gt;0,"Parcial","Pendente")))</f>
        <v/>
      </c>
      <c r="N141" s="32"/>
      <c r="O141" s="35" t="str">
        <f aca="true">IF(OR(B141="",B141&lt;TODAY()),"",COUNTIFS($B$5:$B$504,"&gt;="&amp;TODAY(),$B$5:$B$504,"&lt;"&amp;B141)+COUNTIFS($B$5:B141,B141))</f>
        <v/>
      </c>
    </row>
    <row r="142" customFormat="false" ht="15" hidden="false" customHeight="false" outlineLevel="0" collapsed="false">
      <c r="A142" s="32"/>
      <c r="B142" s="27"/>
      <c r="C142" s="29"/>
      <c r="D142" s="32"/>
      <c r="E142" s="32"/>
      <c r="F142" s="32"/>
      <c r="G142" s="31"/>
      <c r="H142" s="31"/>
      <c r="I142" s="33" t="str">
        <f aca="false">IF(G142="","",G142-H142)</f>
        <v/>
      </c>
      <c r="J142" s="33" t="str">
        <f aca="false">IF(A142="","",SUMIFS(Freelancers!$E$5:$E$504,Freelancers!$B$5:$B$504,A142))</f>
        <v/>
      </c>
      <c r="K142" s="33" t="str">
        <f aca="false">IF(A142="","",SUMIFS(Gastos!$D$5:$D$504,Gastos!$E$5:$E$504,A142))</f>
        <v/>
      </c>
      <c r="L142" s="33" t="str">
        <f aca="false">IF(G142="","",G142-N(J142)-N(K142))</f>
        <v/>
      </c>
      <c r="M142" s="34" t="str">
        <f aca="false">IF(G142="","",IF(H142&gt;=G142,"Pago",IF(H142&gt;0,"Parcial","Pendente")))</f>
        <v/>
      </c>
      <c r="N142" s="32"/>
      <c r="O142" s="35" t="str">
        <f aca="true">IF(OR(B142="",B142&lt;TODAY()),"",COUNTIFS($B$5:$B$504,"&gt;="&amp;TODAY(),$B$5:$B$504,"&lt;"&amp;B142)+COUNTIFS($B$5:B142,B142))</f>
        <v/>
      </c>
    </row>
    <row r="143" customFormat="false" ht="15" hidden="false" customHeight="false" outlineLevel="0" collapsed="false">
      <c r="A143" s="32"/>
      <c r="B143" s="27"/>
      <c r="C143" s="29"/>
      <c r="D143" s="32"/>
      <c r="E143" s="32"/>
      <c r="F143" s="32"/>
      <c r="G143" s="31"/>
      <c r="H143" s="31"/>
      <c r="I143" s="33" t="str">
        <f aca="false">IF(G143="","",G143-H143)</f>
        <v/>
      </c>
      <c r="J143" s="33" t="str">
        <f aca="false">IF(A143="","",SUMIFS(Freelancers!$E$5:$E$504,Freelancers!$B$5:$B$504,A143))</f>
        <v/>
      </c>
      <c r="K143" s="33" t="str">
        <f aca="false">IF(A143="","",SUMIFS(Gastos!$D$5:$D$504,Gastos!$E$5:$E$504,A143))</f>
        <v/>
      </c>
      <c r="L143" s="33" t="str">
        <f aca="false">IF(G143="","",G143-N(J143)-N(K143))</f>
        <v/>
      </c>
      <c r="M143" s="34" t="str">
        <f aca="false">IF(G143="","",IF(H143&gt;=G143,"Pago",IF(H143&gt;0,"Parcial","Pendente")))</f>
        <v/>
      </c>
      <c r="N143" s="32"/>
      <c r="O143" s="35" t="str">
        <f aca="true">IF(OR(B143="",B143&lt;TODAY()),"",COUNTIFS($B$5:$B$504,"&gt;="&amp;TODAY(),$B$5:$B$504,"&lt;"&amp;B143)+COUNTIFS($B$5:B143,B143))</f>
        <v/>
      </c>
    </row>
    <row r="144" customFormat="false" ht="15" hidden="false" customHeight="false" outlineLevel="0" collapsed="false">
      <c r="A144" s="32"/>
      <c r="B144" s="27"/>
      <c r="C144" s="29"/>
      <c r="D144" s="32"/>
      <c r="E144" s="32"/>
      <c r="F144" s="32"/>
      <c r="G144" s="31"/>
      <c r="H144" s="31"/>
      <c r="I144" s="33" t="str">
        <f aca="false">IF(G144="","",G144-H144)</f>
        <v/>
      </c>
      <c r="J144" s="33" t="str">
        <f aca="false">IF(A144="","",SUMIFS(Freelancers!$E$5:$E$504,Freelancers!$B$5:$B$504,A144))</f>
        <v/>
      </c>
      <c r="K144" s="33" t="str">
        <f aca="false">IF(A144="","",SUMIFS(Gastos!$D$5:$D$504,Gastos!$E$5:$E$504,A144))</f>
        <v/>
      </c>
      <c r="L144" s="33" t="str">
        <f aca="false">IF(G144="","",G144-N(J144)-N(K144))</f>
        <v/>
      </c>
      <c r="M144" s="34" t="str">
        <f aca="false">IF(G144="","",IF(H144&gt;=G144,"Pago",IF(H144&gt;0,"Parcial","Pendente")))</f>
        <v/>
      </c>
      <c r="N144" s="32"/>
      <c r="O144" s="35" t="str">
        <f aca="true">IF(OR(B144="",B144&lt;TODAY()),"",COUNTIFS($B$5:$B$504,"&gt;="&amp;TODAY(),$B$5:$B$504,"&lt;"&amp;B144)+COUNTIFS($B$5:B144,B144))</f>
        <v/>
      </c>
    </row>
    <row r="145" customFormat="false" ht="15" hidden="false" customHeight="false" outlineLevel="0" collapsed="false">
      <c r="A145" s="32"/>
      <c r="B145" s="27"/>
      <c r="C145" s="29"/>
      <c r="D145" s="32"/>
      <c r="E145" s="32"/>
      <c r="F145" s="32"/>
      <c r="G145" s="31"/>
      <c r="H145" s="31"/>
      <c r="I145" s="33" t="str">
        <f aca="false">IF(G145="","",G145-H145)</f>
        <v/>
      </c>
      <c r="J145" s="33" t="str">
        <f aca="false">IF(A145="","",SUMIFS(Freelancers!$E$5:$E$504,Freelancers!$B$5:$B$504,A145))</f>
        <v/>
      </c>
      <c r="K145" s="33" t="str">
        <f aca="false">IF(A145="","",SUMIFS(Gastos!$D$5:$D$504,Gastos!$E$5:$E$504,A145))</f>
        <v/>
      </c>
      <c r="L145" s="33" t="str">
        <f aca="false">IF(G145="","",G145-N(J145)-N(K145))</f>
        <v/>
      </c>
      <c r="M145" s="34" t="str">
        <f aca="false">IF(G145="","",IF(H145&gt;=G145,"Pago",IF(H145&gt;0,"Parcial","Pendente")))</f>
        <v/>
      </c>
      <c r="N145" s="32"/>
      <c r="O145" s="35" t="str">
        <f aca="true">IF(OR(B145="",B145&lt;TODAY()),"",COUNTIFS($B$5:$B$504,"&gt;="&amp;TODAY(),$B$5:$B$504,"&lt;"&amp;B145)+COUNTIFS($B$5:B145,B145))</f>
        <v/>
      </c>
    </row>
    <row r="146" customFormat="false" ht="15" hidden="false" customHeight="false" outlineLevel="0" collapsed="false">
      <c r="A146" s="32"/>
      <c r="B146" s="27"/>
      <c r="C146" s="29"/>
      <c r="D146" s="32"/>
      <c r="E146" s="32"/>
      <c r="F146" s="32"/>
      <c r="G146" s="31"/>
      <c r="H146" s="31"/>
      <c r="I146" s="33" t="str">
        <f aca="false">IF(G146="","",G146-H146)</f>
        <v/>
      </c>
      <c r="J146" s="33" t="str">
        <f aca="false">IF(A146="","",SUMIFS(Freelancers!$E$5:$E$504,Freelancers!$B$5:$B$504,A146))</f>
        <v/>
      </c>
      <c r="K146" s="33" t="str">
        <f aca="false">IF(A146="","",SUMIFS(Gastos!$D$5:$D$504,Gastos!$E$5:$E$504,A146))</f>
        <v/>
      </c>
      <c r="L146" s="33" t="str">
        <f aca="false">IF(G146="","",G146-N(J146)-N(K146))</f>
        <v/>
      </c>
      <c r="M146" s="34" t="str">
        <f aca="false">IF(G146="","",IF(H146&gt;=G146,"Pago",IF(H146&gt;0,"Parcial","Pendente")))</f>
        <v/>
      </c>
      <c r="N146" s="32"/>
      <c r="O146" s="35" t="str">
        <f aca="true">IF(OR(B146="",B146&lt;TODAY()),"",COUNTIFS($B$5:$B$504,"&gt;="&amp;TODAY(),$B$5:$B$504,"&lt;"&amp;B146)+COUNTIFS($B$5:B146,B146))</f>
        <v/>
      </c>
    </row>
    <row r="147" customFormat="false" ht="15" hidden="false" customHeight="false" outlineLevel="0" collapsed="false">
      <c r="A147" s="32"/>
      <c r="B147" s="27"/>
      <c r="C147" s="29"/>
      <c r="D147" s="32"/>
      <c r="E147" s="32"/>
      <c r="F147" s="32"/>
      <c r="G147" s="31"/>
      <c r="H147" s="31"/>
      <c r="I147" s="33" t="str">
        <f aca="false">IF(G147="","",G147-H147)</f>
        <v/>
      </c>
      <c r="J147" s="33" t="str">
        <f aca="false">IF(A147="","",SUMIFS(Freelancers!$E$5:$E$504,Freelancers!$B$5:$B$504,A147))</f>
        <v/>
      </c>
      <c r="K147" s="33" t="str">
        <f aca="false">IF(A147="","",SUMIFS(Gastos!$D$5:$D$504,Gastos!$E$5:$E$504,A147))</f>
        <v/>
      </c>
      <c r="L147" s="33" t="str">
        <f aca="false">IF(G147="","",G147-N(J147)-N(K147))</f>
        <v/>
      </c>
      <c r="M147" s="34" t="str">
        <f aca="false">IF(G147="","",IF(H147&gt;=G147,"Pago",IF(H147&gt;0,"Parcial","Pendente")))</f>
        <v/>
      </c>
      <c r="N147" s="32"/>
      <c r="O147" s="35" t="str">
        <f aca="true">IF(OR(B147="",B147&lt;TODAY()),"",COUNTIFS($B$5:$B$504,"&gt;="&amp;TODAY(),$B$5:$B$504,"&lt;"&amp;B147)+COUNTIFS($B$5:B147,B147))</f>
        <v/>
      </c>
    </row>
    <row r="148" customFormat="false" ht="15" hidden="false" customHeight="false" outlineLevel="0" collapsed="false">
      <c r="A148" s="32"/>
      <c r="B148" s="27"/>
      <c r="C148" s="29"/>
      <c r="D148" s="32"/>
      <c r="E148" s="32"/>
      <c r="F148" s="32"/>
      <c r="G148" s="31"/>
      <c r="H148" s="31"/>
      <c r="I148" s="33" t="str">
        <f aca="false">IF(G148="","",G148-H148)</f>
        <v/>
      </c>
      <c r="J148" s="33" t="str">
        <f aca="false">IF(A148="","",SUMIFS(Freelancers!$E$5:$E$504,Freelancers!$B$5:$B$504,A148))</f>
        <v/>
      </c>
      <c r="K148" s="33" t="str">
        <f aca="false">IF(A148="","",SUMIFS(Gastos!$D$5:$D$504,Gastos!$E$5:$E$504,A148))</f>
        <v/>
      </c>
      <c r="L148" s="33" t="str">
        <f aca="false">IF(G148="","",G148-N(J148)-N(K148))</f>
        <v/>
      </c>
      <c r="M148" s="34" t="str">
        <f aca="false">IF(G148="","",IF(H148&gt;=G148,"Pago",IF(H148&gt;0,"Parcial","Pendente")))</f>
        <v/>
      </c>
      <c r="N148" s="32"/>
      <c r="O148" s="35" t="str">
        <f aca="true">IF(OR(B148="",B148&lt;TODAY()),"",COUNTIFS($B$5:$B$504,"&gt;="&amp;TODAY(),$B$5:$B$504,"&lt;"&amp;B148)+COUNTIFS($B$5:B148,B148))</f>
        <v/>
      </c>
    </row>
    <row r="149" customFormat="false" ht="15" hidden="false" customHeight="false" outlineLevel="0" collapsed="false">
      <c r="A149" s="32"/>
      <c r="B149" s="27"/>
      <c r="C149" s="29"/>
      <c r="D149" s="32"/>
      <c r="E149" s="32"/>
      <c r="F149" s="32"/>
      <c r="G149" s="31"/>
      <c r="H149" s="31"/>
      <c r="I149" s="33" t="str">
        <f aca="false">IF(G149="","",G149-H149)</f>
        <v/>
      </c>
      <c r="J149" s="33" t="str">
        <f aca="false">IF(A149="","",SUMIFS(Freelancers!$E$5:$E$504,Freelancers!$B$5:$B$504,A149))</f>
        <v/>
      </c>
      <c r="K149" s="33" t="str">
        <f aca="false">IF(A149="","",SUMIFS(Gastos!$D$5:$D$504,Gastos!$E$5:$E$504,A149))</f>
        <v/>
      </c>
      <c r="L149" s="33" t="str">
        <f aca="false">IF(G149="","",G149-N(J149)-N(K149))</f>
        <v/>
      </c>
      <c r="M149" s="34" t="str">
        <f aca="false">IF(G149="","",IF(H149&gt;=G149,"Pago",IF(H149&gt;0,"Parcial","Pendente")))</f>
        <v/>
      </c>
      <c r="N149" s="32"/>
      <c r="O149" s="35" t="str">
        <f aca="true">IF(OR(B149="",B149&lt;TODAY()),"",COUNTIFS($B$5:$B$504,"&gt;="&amp;TODAY(),$B$5:$B$504,"&lt;"&amp;B149)+COUNTIFS($B$5:B149,B149))</f>
        <v/>
      </c>
    </row>
    <row r="150" customFormat="false" ht="15" hidden="false" customHeight="false" outlineLevel="0" collapsed="false">
      <c r="A150" s="32"/>
      <c r="B150" s="27"/>
      <c r="C150" s="29"/>
      <c r="D150" s="32"/>
      <c r="E150" s="32"/>
      <c r="F150" s="32"/>
      <c r="G150" s="31"/>
      <c r="H150" s="31"/>
      <c r="I150" s="33" t="str">
        <f aca="false">IF(G150="","",G150-H150)</f>
        <v/>
      </c>
      <c r="J150" s="33" t="str">
        <f aca="false">IF(A150="","",SUMIFS(Freelancers!$E$5:$E$504,Freelancers!$B$5:$B$504,A150))</f>
        <v/>
      </c>
      <c r="K150" s="33" t="str">
        <f aca="false">IF(A150="","",SUMIFS(Gastos!$D$5:$D$504,Gastos!$E$5:$E$504,A150))</f>
        <v/>
      </c>
      <c r="L150" s="33" t="str">
        <f aca="false">IF(G150="","",G150-N(J150)-N(K150))</f>
        <v/>
      </c>
      <c r="M150" s="34" t="str">
        <f aca="false">IF(G150="","",IF(H150&gt;=G150,"Pago",IF(H150&gt;0,"Parcial","Pendente")))</f>
        <v/>
      </c>
      <c r="N150" s="32"/>
      <c r="O150" s="35" t="str">
        <f aca="true">IF(OR(B150="",B150&lt;TODAY()),"",COUNTIFS($B$5:$B$504,"&gt;="&amp;TODAY(),$B$5:$B$504,"&lt;"&amp;B150)+COUNTIFS($B$5:B150,B150))</f>
        <v/>
      </c>
    </row>
    <row r="151" customFormat="false" ht="15" hidden="false" customHeight="false" outlineLevel="0" collapsed="false">
      <c r="A151" s="32"/>
      <c r="B151" s="27"/>
      <c r="C151" s="29"/>
      <c r="D151" s="32"/>
      <c r="E151" s="32"/>
      <c r="F151" s="32"/>
      <c r="G151" s="31"/>
      <c r="H151" s="31"/>
      <c r="I151" s="33" t="str">
        <f aca="false">IF(G151="","",G151-H151)</f>
        <v/>
      </c>
      <c r="J151" s="33" t="str">
        <f aca="false">IF(A151="","",SUMIFS(Freelancers!$E$5:$E$504,Freelancers!$B$5:$B$504,A151))</f>
        <v/>
      </c>
      <c r="K151" s="33" t="str">
        <f aca="false">IF(A151="","",SUMIFS(Gastos!$D$5:$D$504,Gastos!$E$5:$E$504,A151))</f>
        <v/>
      </c>
      <c r="L151" s="33" t="str">
        <f aca="false">IF(G151="","",G151-N(J151)-N(K151))</f>
        <v/>
      </c>
      <c r="M151" s="34" t="str">
        <f aca="false">IF(G151="","",IF(H151&gt;=G151,"Pago",IF(H151&gt;0,"Parcial","Pendente")))</f>
        <v/>
      </c>
      <c r="N151" s="32"/>
      <c r="O151" s="35" t="str">
        <f aca="true">IF(OR(B151="",B151&lt;TODAY()),"",COUNTIFS($B$5:$B$504,"&gt;="&amp;TODAY(),$B$5:$B$504,"&lt;"&amp;B151)+COUNTIFS($B$5:B151,B151))</f>
        <v/>
      </c>
    </row>
    <row r="152" customFormat="false" ht="15" hidden="false" customHeight="false" outlineLevel="0" collapsed="false">
      <c r="A152" s="32"/>
      <c r="B152" s="27"/>
      <c r="C152" s="29"/>
      <c r="D152" s="32"/>
      <c r="E152" s="32"/>
      <c r="F152" s="32"/>
      <c r="G152" s="31"/>
      <c r="H152" s="31"/>
      <c r="I152" s="33" t="str">
        <f aca="false">IF(G152="","",G152-H152)</f>
        <v/>
      </c>
      <c r="J152" s="33" t="str">
        <f aca="false">IF(A152="","",SUMIFS(Freelancers!$E$5:$E$504,Freelancers!$B$5:$B$504,A152))</f>
        <v/>
      </c>
      <c r="K152" s="33" t="str">
        <f aca="false">IF(A152="","",SUMIFS(Gastos!$D$5:$D$504,Gastos!$E$5:$E$504,A152))</f>
        <v/>
      </c>
      <c r="L152" s="33" t="str">
        <f aca="false">IF(G152="","",G152-N(J152)-N(K152))</f>
        <v/>
      </c>
      <c r="M152" s="34" t="str">
        <f aca="false">IF(G152="","",IF(H152&gt;=G152,"Pago",IF(H152&gt;0,"Parcial","Pendente")))</f>
        <v/>
      </c>
      <c r="N152" s="32"/>
      <c r="O152" s="35" t="str">
        <f aca="true">IF(OR(B152="",B152&lt;TODAY()),"",COUNTIFS($B$5:$B$504,"&gt;="&amp;TODAY(),$B$5:$B$504,"&lt;"&amp;B152)+COUNTIFS($B$5:B152,B152))</f>
        <v/>
      </c>
    </row>
    <row r="153" customFormat="false" ht="15" hidden="false" customHeight="false" outlineLevel="0" collapsed="false">
      <c r="A153" s="32"/>
      <c r="B153" s="27"/>
      <c r="C153" s="29"/>
      <c r="D153" s="32"/>
      <c r="E153" s="32"/>
      <c r="F153" s="32"/>
      <c r="G153" s="31"/>
      <c r="H153" s="31"/>
      <c r="I153" s="33" t="str">
        <f aca="false">IF(G153="","",G153-H153)</f>
        <v/>
      </c>
      <c r="J153" s="33" t="str">
        <f aca="false">IF(A153="","",SUMIFS(Freelancers!$E$5:$E$504,Freelancers!$B$5:$B$504,A153))</f>
        <v/>
      </c>
      <c r="K153" s="33" t="str">
        <f aca="false">IF(A153="","",SUMIFS(Gastos!$D$5:$D$504,Gastos!$E$5:$E$504,A153))</f>
        <v/>
      </c>
      <c r="L153" s="33" t="str">
        <f aca="false">IF(G153="","",G153-N(J153)-N(K153))</f>
        <v/>
      </c>
      <c r="M153" s="34" t="str">
        <f aca="false">IF(G153="","",IF(H153&gt;=G153,"Pago",IF(H153&gt;0,"Parcial","Pendente")))</f>
        <v/>
      </c>
      <c r="N153" s="32"/>
      <c r="O153" s="35" t="str">
        <f aca="true">IF(OR(B153="",B153&lt;TODAY()),"",COUNTIFS($B$5:$B$504,"&gt;="&amp;TODAY(),$B$5:$B$504,"&lt;"&amp;B153)+COUNTIFS($B$5:B153,B153))</f>
        <v/>
      </c>
    </row>
    <row r="154" customFormat="false" ht="15" hidden="false" customHeight="false" outlineLevel="0" collapsed="false">
      <c r="A154" s="32"/>
      <c r="B154" s="27"/>
      <c r="C154" s="29"/>
      <c r="D154" s="32"/>
      <c r="E154" s="32"/>
      <c r="F154" s="32"/>
      <c r="G154" s="31"/>
      <c r="H154" s="31"/>
      <c r="I154" s="33" t="str">
        <f aca="false">IF(G154="","",G154-H154)</f>
        <v/>
      </c>
      <c r="J154" s="33" t="str">
        <f aca="false">IF(A154="","",SUMIFS(Freelancers!$E$5:$E$504,Freelancers!$B$5:$B$504,A154))</f>
        <v/>
      </c>
      <c r="K154" s="33" t="str">
        <f aca="false">IF(A154="","",SUMIFS(Gastos!$D$5:$D$504,Gastos!$E$5:$E$504,A154))</f>
        <v/>
      </c>
      <c r="L154" s="33" t="str">
        <f aca="false">IF(G154="","",G154-N(J154)-N(K154))</f>
        <v/>
      </c>
      <c r="M154" s="34" t="str">
        <f aca="false">IF(G154="","",IF(H154&gt;=G154,"Pago",IF(H154&gt;0,"Parcial","Pendente")))</f>
        <v/>
      </c>
      <c r="N154" s="32"/>
      <c r="O154" s="35" t="str">
        <f aca="true">IF(OR(B154="",B154&lt;TODAY()),"",COUNTIFS($B$5:$B$504,"&gt;="&amp;TODAY(),$B$5:$B$504,"&lt;"&amp;B154)+COUNTIFS($B$5:B154,B154))</f>
        <v/>
      </c>
    </row>
    <row r="155" customFormat="false" ht="15" hidden="false" customHeight="false" outlineLevel="0" collapsed="false">
      <c r="A155" s="32"/>
      <c r="B155" s="27"/>
      <c r="C155" s="29"/>
      <c r="D155" s="32"/>
      <c r="E155" s="32"/>
      <c r="F155" s="32"/>
      <c r="G155" s="31"/>
      <c r="H155" s="31"/>
      <c r="I155" s="33" t="str">
        <f aca="false">IF(G155="","",G155-H155)</f>
        <v/>
      </c>
      <c r="J155" s="33" t="str">
        <f aca="false">IF(A155="","",SUMIFS(Freelancers!$E$5:$E$504,Freelancers!$B$5:$B$504,A155))</f>
        <v/>
      </c>
      <c r="K155" s="33" t="str">
        <f aca="false">IF(A155="","",SUMIFS(Gastos!$D$5:$D$504,Gastos!$E$5:$E$504,A155))</f>
        <v/>
      </c>
      <c r="L155" s="33" t="str">
        <f aca="false">IF(G155="","",G155-N(J155)-N(K155))</f>
        <v/>
      </c>
      <c r="M155" s="34" t="str">
        <f aca="false">IF(G155="","",IF(H155&gt;=G155,"Pago",IF(H155&gt;0,"Parcial","Pendente")))</f>
        <v/>
      </c>
      <c r="N155" s="32"/>
      <c r="O155" s="35" t="str">
        <f aca="true">IF(OR(B155="",B155&lt;TODAY()),"",COUNTIFS($B$5:$B$504,"&gt;="&amp;TODAY(),$B$5:$B$504,"&lt;"&amp;B155)+COUNTIFS($B$5:B155,B155))</f>
        <v/>
      </c>
    </row>
    <row r="156" customFormat="false" ht="15" hidden="false" customHeight="false" outlineLevel="0" collapsed="false">
      <c r="A156" s="32"/>
      <c r="B156" s="27"/>
      <c r="C156" s="29"/>
      <c r="D156" s="32"/>
      <c r="E156" s="32"/>
      <c r="F156" s="32"/>
      <c r="G156" s="31"/>
      <c r="H156" s="31"/>
      <c r="I156" s="33" t="str">
        <f aca="false">IF(G156="","",G156-H156)</f>
        <v/>
      </c>
      <c r="J156" s="33" t="str">
        <f aca="false">IF(A156="","",SUMIFS(Freelancers!$E$5:$E$504,Freelancers!$B$5:$B$504,A156))</f>
        <v/>
      </c>
      <c r="K156" s="33" t="str">
        <f aca="false">IF(A156="","",SUMIFS(Gastos!$D$5:$D$504,Gastos!$E$5:$E$504,A156))</f>
        <v/>
      </c>
      <c r="L156" s="33" t="str">
        <f aca="false">IF(G156="","",G156-N(J156)-N(K156))</f>
        <v/>
      </c>
      <c r="M156" s="34" t="str">
        <f aca="false">IF(G156="","",IF(H156&gt;=G156,"Pago",IF(H156&gt;0,"Parcial","Pendente")))</f>
        <v/>
      </c>
      <c r="N156" s="32"/>
      <c r="O156" s="35" t="str">
        <f aca="true">IF(OR(B156="",B156&lt;TODAY()),"",COUNTIFS($B$5:$B$504,"&gt;="&amp;TODAY(),$B$5:$B$504,"&lt;"&amp;B156)+COUNTIFS($B$5:B156,B156))</f>
        <v/>
      </c>
    </row>
    <row r="157" customFormat="false" ht="15" hidden="false" customHeight="false" outlineLevel="0" collapsed="false">
      <c r="A157" s="32"/>
      <c r="B157" s="27"/>
      <c r="C157" s="29"/>
      <c r="D157" s="32"/>
      <c r="E157" s="32"/>
      <c r="F157" s="32"/>
      <c r="G157" s="31"/>
      <c r="H157" s="31"/>
      <c r="I157" s="33" t="str">
        <f aca="false">IF(G157="","",G157-H157)</f>
        <v/>
      </c>
      <c r="J157" s="33" t="str">
        <f aca="false">IF(A157="","",SUMIFS(Freelancers!$E$5:$E$504,Freelancers!$B$5:$B$504,A157))</f>
        <v/>
      </c>
      <c r="K157" s="33" t="str">
        <f aca="false">IF(A157="","",SUMIFS(Gastos!$D$5:$D$504,Gastos!$E$5:$E$504,A157))</f>
        <v/>
      </c>
      <c r="L157" s="33" t="str">
        <f aca="false">IF(G157="","",G157-N(J157)-N(K157))</f>
        <v/>
      </c>
      <c r="M157" s="34" t="str">
        <f aca="false">IF(G157="","",IF(H157&gt;=G157,"Pago",IF(H157&gt;0,"Parcial","Pendente")))</f>
        <v/>
      </c>
      <c r="N157" s="32"/>
      <c r="O157" s="35" t="str">
        <f aca="true">IF(OR(B157="",B157&lt;TODAY()),"",COUNTIFS($B$5:$B$504,"&gt;="&amp;TODAY(),$B$5:$B$504,"&lt;"&amp;B157)+COUNTIFS($B$5:B157,B157))</f>
        <v/>
      </c>
    </row>
    <row r="158" customFormat="false" ht="15" hidden="false" customHeight="false" outlineLevel="0" collapsed="false">
      <c r="A158" s="32"/>
      <c r="B158" s="27"/>
      <c r="C158" s="29"/>
      <c r="D158" s="32"/>
      <c r="E158" s="32"/>
      <c r="F158" s="32"/>
      <c r="G158" s="31"/>
      <c r="H158" s="31"/>
      <c r="I158" s="33" t="str">
        <f aca="false">IF(G158="","",G158-H158)</f>
        <v/>
      </c>
      <c r="J158" s="33" t="str">
        <f aca="false">IF(A158="","",SUMIFS(Freelancers!$E$5:$E$504,Freelancers!$B$5:$B$504,A158))</f>
        <v/>
      </c>
      <c r="K158" s="33" t="str">
        <f aca="false">IF(A158="","",SUMIFS(Gastos!$D$5:$D$504,Gastos!$E$5:$E$504,A158))</f>
        <v/>
      </c>
      <c r="L158" s="33" t="str">
        <f aca="false">IF(G158="","",G158-N(J158)-N(K158))</f>
        <v/>
      </c>
      <c r="M158" s="34" t="str">
        <f aca="false">IF(G158="","",IF(H158&gt;=G158,"Pago",IF(H158&gt;0,"Parcial","Pendente")))</f>
        <v/>
      </c>
      <c r="N158" s="32"/>
      <c r="O158" s="35" t="str">
        <f aca="true">IF(OR(B158="",B158&lt;TODAY()),"",COUNTIFS($B$5:$B$504,"&gt;="&amp;TODAY(),$B$5:$B$504,"&lt;"&amp;B158)+COUNTIFS($B$5:B158,B158))</f>
        <v/>
      </c>
    </row>
    <row r="159" customFormat="false" ht="15" hidden="false" customHeight="false" outlineLevel="0" collapsed="false">
      <c r="A159" s="32"/>
      <c r="B159" s="27"/>
      <c r="C159" s="29"/>
      <c r="D159" s="32"/>
      <c r="E159" s="32"/>
      <c r="F159" s="32"/>
      <c r="G159" s="31"/>
      <c r="H159" s="31"/>
      <c r="I159" s="33" t="str">
        <f aca="false">IF(G159="","",G159-H159)</f>
        <v/>
      </c>
      <c r="J159" s="33" t="str">
        <f aca="false">IF(A159="","",SUMIFS(Freelancers!$E$5:$E$504,Freelancers!$B$5:$B$504,A159))</f>
        <v/>
      </c>
      <c r="K159" s="33" t="str">
        <f aca="false">IF(A159="","",SUMIFS(Gastos!$D$5:$D$504,Gastos!$E$5:$E$504,A159))</f>
        <v/>
      </c>
      <c r="L159" s="33" t="str">
        <f aca="false">IF(G159="","",G159-N(J159)-N(K159))</f>
        <v/>
      </c>
      <c r="M159" s="34" t="str">
        <f aca="false">IF(G159="","",IF(H159&gt;=G159,"Pago",IF(H159&gt;0,"Parcial","Pendente")))</f>
        <v/>
      </c>
      <c r="N159" s="32"/>
      <c r="O159" s="35" t="str">
        <f aca="true">IF(OR(B159="",B159&lt;TODAY()),"",COUNTIFS($B$5:$B$504,"&gt;="&amp;TODAY(),$B$5:$B$504,"&lt;"&amp;B159)+COUNTIFS($B$5:B159,B159))</f>
        <v/>
      </c>
    </row>
    <row r="160" customFormat="false" ht="15" hidden="false" customHeight="false" outlineLevel="0" collapsed="false">
      <c r="A160" s="32"/>
      <c r="B160" s="27"/>
      <c r="C160" s="29"/>
      <c r="D160" s="32"/>
      <c r="E160" s="32"/>
      <c r="F160" s="32"/>
      <c r="G160" s="31"/>
      <c r="H160" s="31"/>
      <c r="I160" s="33" t="str">
        <f aca="false">IF(G160="","",G160-H160)</f>
        <v/>
      </c>
      <c r="J160" s="33" t="str">
        <f aca="false">IF(A160="","",SUMIFS(Freelancers!$E$5:$E$504,Freelancers!$B$5:$B$504,A160))</f>
        <v/>
      </c>
      <c r="K160" s="33" t="str">
        <f aca="false">IF(A160="","",SUMIFS(Gastos!$D$5:$D$504,Gastos!$E$5:$E$504,A160))</f>
        <v/>
      </c>
      <c r="L160" s="33" t="str">
        <f aca="false">IF(G160="","",G160-N(J160)-N(K160))</f>
        <v/>
      </c>
      <c r="M160" s="34" t="str">
        <f aca="false">IF(G160="","",IF(H160&gt;=G160,"Pago",IF(H160&gt;0,"Parcial","Pendente")))</f>
        <v/>
      </c>
      <c r="N160" s="32"/>
      <c r="O160" s="35" t="str">
        <f aca="true">IF(OR(B160="",B160&lt;TODAY()),"",COUNTIFS($B$5:$B$504,"&gt;="&amp;TODAY(),$B$5:$B$504,"&lt;"&amp;B160)+COUNTIFS($B$5:B160,B160))</f>
        <v/>
      </c>
    </row>
    <row r="161" customFormat="false" ht="15" hidden="false" customHeight="false" outlineLevel="0" collapsed="false">
      <c r="A161" s="32"/>
      <c r="B161" s="27"/>
      <c r="C161" s="29"/>
      <c r="D161" s="32"/>
      <c r="E161" s="32"/>
      <c r="F161" s="32"/>
      <c r="G161" s="31"/>
      <c r="H161" s="31"/>
      <c r="I161" s="33" t="str">
        <f aca="false">IF(G161="","",G161-H161)</f>
        <v/>
      </c>
      <c r="J161" s="33" t="str">
        <f aca="false">IF(A161="","",SUMIFS(Freelancers!$E$5:$E$504,Freelancers!$B$5:$B$504,A161))</f>
        <v/>
      </c>
      <c r="K161" s="33" t="str">
        <f aca="false">IF(A161="","",SUMIFS(Gastos!$D$5:$D$504,Gastos!$E$5:$E$504,A161))</f>
        <v/>
      </c>
      <c r="L161" s="33" t="str">
        <f aca="false">IF(G161="","",G161-N(J161)-N(K161))</f>
        <v/>
      </c>
      <c r="M161" s="34" t="str">
        <f aca="false">IF(G161="","",IF(H161&gt;=G161,"Pago",IF(H161&gt;0,"Parcial","Pendente")))</f>
        <v/>
      </c>
      <c r="N161" s="32"/>
      <c r="O161" s="35" t="str">
        <f aca="true">IF(OR(B161="",B161&lt;TODAY()),"",COUNTIFS($B$5:$B$504,"&gt;="&amp;TODAY(),$B$5:$B$504,"&lt;"&amp;B161)+COUNTIFS($B$5:B161,B161))</f>
        <v/>
      </c>
    </row>
    <row r="162" customFormat="false" ht="15" hidden="false" customHeight="false" outlineLevel="0" collapsed="false">
      <c r="A162" s="32"/>
      <c r="B162" s="27"/>
      <c r="C162" s="29"/>
      <c r="D162" s="32"/>
      <c r="E162" s="32"/>
      <c r="F162" s="32"/>
      <c r="G162" s="31"/>
      <c r="H162" s="31"/>
      <c r="I162" s="33" t="str">
        <f aca="false">IF(G162="","",G162-H162)</f>
        <v/>
      </c>
      <c r="J162" s="33" t="str">
        <f aca="false">IF(A162="","",SUMIFS(Freelancers!$E$5:$E$504,Freelancers!$B$5:$B$504,A162))</f>
        <v/>
      </c>
      <c r="K162" s="33" t="str">
        <f aca="false">IF(A162="","",SUMIFS(Gastos!$D$5:$D$504,Gastos!$E$5:$E$504,A162))</f>
        <v/>
      </c>
      <c r="L162" s="33" t="str">
        <f aca="false">IF(G162="","",G162-N(J162)-N(K162))</f>
        <v/>
      </c>
      <c r="M162" s="34" t="str">
        <f aca="false">IF(G162="","",IF(H162&gt;=G162,"Pago",IF(H162&gt;0,"Parcial","Pendente")))</f>
        <v/>
      </c>
      <c r="N162" s="32"/>
      <c r="O162" s="35" t="str">
        <f aca="true">IF(OR(B162="",B162&lt;TODAY()),"",COUNTIFS($B$5:$B$504,"&gt;="&amp;TODAY(),$B$5:$B$504,"&lt;"&amp;B162)+COUNTIFS($B$5:B162,B162))</f>
        <v/>
      </c>
    </row>
    <row r="163" customFormat="false" ht="15" hidden="false" customHeight="false" outlineLevel="0" collapsed="false">
      <c r="A163" s="32"/>
      <c r="B163" s="27"/>
      <c r="C163" s="29"/>
      <c r="D163" s="32"/>
      <c r="E163" s="32"/>
      <c r="F163" s="32"/>
      <c r="G163" s="31"/>
      <c r="H163" s="31"/>
      <c r="I163" s="33" t="str">
        <f aca="false">IF(G163="","",G163-H163)</f>
        <v/>
      </c>
      <c r="J163" s="33" t="str">
        <f aca="false">IF(A163="","",SUMIFS(Freelancers!$E$5:$E$504,Freelancers!$B$5:$B$504,A163))</f>
        <v/>
      </c>
      <c r="K163" s="33" t="str">
        <f aca="false">IF(A163="","",SUMIFS(Gastos!$D$5:$D$504,Gastos!$E$5:$E$504,A163))</f>
        <v/>
      </c>
      <c r="L163" s="33" t="str">
        <f aca="false">IF(G163="","",G163-N(J163)-N(K163))</f>
        <v/>
      </c>
      <c r="M163" s="34" t="str">
        <f aca="false">IF(G163="","",IF(H163&gt;=G163,"Pago",IF(H163&gt;0,"Parcial","Pendente")))</f>
        <v/>
      </c>
      <c r="N163" s="32"/>
      <c r="O163" s="35" t="str">
        <f aca="true">IF(OR(B163="",B163&lt;TODAY()),"",COUNTIFS($B$5:$B$504,"&gt;="&amp;TODAY(),$B$5:$B$504,"&lt;"&amp;B163)+COUNTIFS($B$5:B163,B163))</f>
        <v/>
      </c>
    </row>
    <row r="164" customFormat="false" ht="15" hidden="false" customHeight="false" outlineLevel="0" collapsed="false">
      <c r="A164" s="32"/>
      <c r="B164" s="27"/>
      <c r="C164" s="29"/>
      <c r="D164" s="32"/>
      <c r="E164" s="32"/>
      <c r="F164" s="32"/>
      <c r="G164" s="31"/>
      <c r="H164" s="31"/>
      <c r="I164" s="33" t="str">
        <f aca="false">IF(G164="","",G164-H164)</f>
        <v/>
      </c>
      <c r="J164" s="33" t="str">
        <f aca="false">IF(A164="","",SUMIFS(Freelancers!$E$5:$E$504,Freelancers!$B$5:$B$504,A164))</f>
        <v/>
      </c>
      <c r="K164" s="33" t="str">
        <f aca="false">IF(A164="","",SUMIFS(Gastos!$D$5:$D$504,Gastos!$E$5:$E$504,A164))</f>
        <v/>
      </c>
      <c r="L164" s="33" t="str">
        <f aca="false">IF(G164="","",G164-N(J164)-N(K164))</f>
        <v/>
      </c>
      <c r="M164" s="34" t="str">
        <f aca="false">IF(G164="","",IF(H164&gt;=G164,"Pago",IF(H164&gt;0,"Parcial","Pendente")))</f>
        <v/>
      </c>
      <c r="N164" s="32"/>
      <c r="O164" s="35" t="str">
        <f aca="true">IF(OR(B164="",B164&lt;TODAY()),"",COUNTIFS($B$5:$B$504,"&gt;="&amp;TODAY(),$B$5:$B$504,"&lt;"&amp;B164)+COUNTIFS($B$5:B164,B164))</f>
        <v/>
      </c>
    </row>
    <row r="165" customFormat="false" ht="15" hidden="false" customHeight="false" outlineLevel="0" collapsed="false">
      <c r="A165" s="32"/>
      <c r="B165" s="27"/>
      <c r="C165" s="29"/>
      <c r="D165" s="32"/>
      <c r="E165" s="32"/>
      <c r="F165" s="32"/>
      <c r="G165" s="31"/>
      <c r="H165" s="31"/>
      <c r="I165" s="33" t="str">
        <f aca="false">IF(G165="","",G165-H165)</f>
        <v/>
      </c>
      <c r="J165" s="33" t="str">
        <f aca="false">IF(A165="","",SUMIFS(Freelancers!$E$5:$E$504,Freelancers!$B$5:$B$504,A165))</f>
        <v/>
      </c>
      <c r="K165" s="33" t="str">
        <f aca="false">IF(A165="","",SUMIFS(Gastos!$D$5:$D$504,Gastos!$E$5:$E$504,A165))</f>
        <v/>
      </c>
      <c r="L165" s="33" t="str">
        <f aca="false">IF(G165="","",G165-N(J165)-N(K165))</f>
        <v/>
      </c>
      <c r="M165" s="34" t="str">
        <f aca="false">IF(G165="","",IF(H165&gt;=G165,"Pago",IF(H165&gt;0,"Parcial","Pendente")))</f>
        <v/>
      </c>
      <c r="N165" s="32"/>
      <c r="O165" s="35" t="str">
        <f aca="true">IF(OR(B165="",B165&lt;TODAY()),"",COUNTIFS($B$5:$B$504,"&gt;="&amp;TODAY(),$B$5:$B$504,"&lt;"&amp;B165)+COUNTIFS($B$5:B165,B165))</f>
        <v/>
      </c>
    </row>
    <row r="166" customFormat="false" ht="15" hidden="false" customHeight="false" outlineLevel="0" collapsed="false">
      <c r="A166" s="32"/>
      <c r="B166" s="27"/>
      <c r="C166" s="29"/>
      <c r="D166" s="32"/>
      <c r="E166" s="32"/>
      <c r="F166" s="32"/>
      <c r="G166" s="31"/>
      <c r="H166" s="31"/>
      <c r="I166" s="33" t="str">
        <f aca="false">IF(G166="","",G166-H166)</f>
        <v/>
      </c>
      <c r="J166" s="33" t="str">
        <f aca="false">IF(A166="","",SUMIFS(Freelancers!$E$5:$E$504,Freelancers!$B$5:$B$504,A166))</f>
        <v/>
      </c>
      <c r="K166" s="33" t="str">
        <f aca="false">IF(A166="","",SUMIFS(Gastos!$D$5:$D$504,Gastos!$E$5:$E$504,A166))</f>
        <v/>
      </c>
      <c r="L166" s="33" t="str">
        <f aca="false">IF(G166="","",G166-N(J166)-N(K166))</f>
        <v/>
      </c>
      <c r="M166" s="34" t="str">
        <f aca="false">IF(G166="","",IF(H166&gt;=G166,"Pago",IF(H166&gt;0,"Parcial","Pendente")))</f>
        <v/>
      </c>
      <c r="N166" s="32"/>
      <c r="O166" s="35" t="str">
        <f aca="true">IF(OR(B166="",B166&lt;TODAY()),"",COUNTIFS($B$5:$B$504,"&gt;="&amp;TODAY(),$B$5:$B$504,"&lt;"&amp;B166)+COUNTIFS($B$5:B166,B166))</f>
        <v/>
      </c>
    </row>
    <row r="167" customFormat="false" ht="15" hidden="false" customHeight="false" outlineLevel="0" collapsed="false">
      <c r="A167" s="32"/>
      <c r="B167" s="27"/>
      <c r="C167" s="29"/>
      <c r="D167" s="32"/>
      <c r="E167" s="32"/>
      <c r="F167" s="32"/>
      <c r="G167" s="31"/>
      <c r="H167" s="31"/>
      <c r="I167" s="33" t="str">
        <f aca="false">IF(G167="","",G167-H167)</f>
        <v/>
      </c>
      <c r="J167" s="33" t="str">
        <f aca="false">IF(A167="","",SUMIFS(Freelancers!$E$5:$E$504,Freelancers!$B$5:$B$504,A167))</f>
        <v/>
      </c>
      <c r="K167" s="33" t="str">
        <f aca="false">IF(A167="","",SUMIFS(Gastos!$D$5:$D$504,Gastos!$E$5:$E$504,A167))</f>
        <v/>
      </c>
      <c r="L167" s="33" t="str">
        <f aca="false">IF(G167="","",G167-N(J167)-N(K167))</f>
        <v/>
      </c>
      <c r="M167" s="34" t="str">
        <f aca="false">IF(G167="","",IF(H167&gt;=G167,"Pago",IF(H167&gt;0,"Parcial","Pendente")))</f>
        <v/>
      </c>
      <c r="N167" s="32"/>
      <c r="O167" s="35" t="str">
        <f aca="true">IF(OR(B167="",B167&lt;TODAY()),"",COUNTIFS($B$5:$B$504,"&gt;="&amp;TODAY(),$B$5:$B$504,"&lt;"&amp;B167)+COUNTIFS($B$5:B167,B167))</f>
        <v/>
      </c>
    </row>
    <row r="168" customFormat="false" ht="15" hidden="false" customHeight="false" outlineLevel="0" collapsed="false">
      <c r="A168" s="32"/>
      <c r="B168" s="27"/>
      <c r="C168" s="29"/>
      <c r="D168" s="32"/>
      <c r="E168" s="32"/>
      <c r="F168" s="32"/>
      <c r="G168" s="31"/>
      <c r="H168" s="31"/>
      <c r="I168" s="33" t="str">
        <f aca="false">IF(G168="","",G168-H168)</f>
        <v/>
      </c>
      <c r="J168" s="33" t="str">
        <f aca="false">IF(A168="","",SUMIFS(Freelancers!$E$5:$E$504,Freelancers!$B$5:$B$504,A168))</f>
        <v/>
      </c>
      <c r="K168" s="33" t="str">
        <f aca="false">IF(A168="","",SUMIFS(Gastos!$D$5:$D$504,Gastos!$E$5:$E$504,A168))</f>
        <v/>
      </c>
      <c r="L168" s="33" t="str">
        <f aca="false">IF(G168="","",G168-N(J168)-N(K168))</f>
        <v/>
      </c>
      <c r="M168" s="34" t="str">
        <f aca="false">IF(G168="","",IF(H168&gt;=G168,"Pago",IF(H168&gt;0,"Parcial","Pendente")))</f>
        <v/>
      </c>
      <c r="N168" s="32"/>
      <c r="O168" s="35" t="str">
        <f aca="true">IF(OR(B168="",B168&lt;TODAY()),"",COUNTIFS($B$5:$B$504,"&gt;="&amp;TODAY(),$B$5:$B$504,"&lt;"&amp;B168)+COUNTIFS($B$5:B168,B168))</f>
        <v/>
      </c>
    </row>
    <row r="169" customFormat="false" ht="15" hidden="false" customHeight="false" outlineLevel="0" collapsed="false">
      <c r="A169" s="32"/>
      <c r="B169" s="27"/>
      <c r="C169" s="29"/>
      <c r="D169" s="32"/>
      <c r="E169" s="32"/>
      <c r="F169" s="32"/>
      <c r="G169" s="31"/>
      <c r="H169" s="31"/>
      <c r="I169" s="33" t="str">
        <f aca="false">IF(G169="","",G169-H169)</f>
        <v/>
      </c>
      <c r="J169" s="33" t="str">
        <f aca="false">IF(A169="","",SUMIFS(Freelancers!$E$5:$E$504,Freelancers!$B$5:$B$504,A169))</f>
        <v/>
      </c>
      <c r="K169" s="33" t="str">
        <f aca="false">IF(A169="","",SUMIFS(Gastos!$D$5:$D$504,Gastos!$E$5:$E$504,A169))</f>
        <v/>
      </c>
      <c r="L169" s="33" t="str">
        <f aca="false">IF(G169="","",G169-N(J169)-N(K169))</f>
        <v/>
      </c>
      <c r="M169" s="34" t="str">
        <f aca="false">IF(G169="","",IF(H169&gt;=G169,"Pago",IF(H169&gt;0,"Parcial","Pendente")))</f>
        <v/>
      </c>
      <c r="N169" s="32"/>
      <c r="O169" s="35" t="str">
        <f aca="true">IF(OR(B169="",B169&lt;TODAY()),"",COUNTIFS($B$5:$B$504,"&gt;="&amp;TODAY(),$B$5:$B$504,"&lt;"&amp;B169)+COUNTIFS($B$5:B169,B169))</f>
        <v/>
      </c>
    </row>
    <row r="170" customFormat="false" ht="15" hidden="false" customHeight="false" outlineLevel="0" collapsed="false">
      <c r="A170" s="32"/>
      <c r="B170" s="27"/>
      <c r="C170" s="29"/>
      <c r="D170" s="32"/>
      <c r="E170" s="32"/>
      <c r="F170" s="32"/>
      <c r="G170" s="31"/>
      <c r="H170" s="31"/>
      <c r="I170" s="33" t="str">
        <f aca="false">IF(G170="","",G170-H170)</f>
        <v/>
      </c>
      <c r="J170" s="33" t="str">
        <f aca="false">IF(A170="","",SUMIFS(Freelancers!$E$5:$E$504,Freelancers!$B$5:$B$504,A170))</f>
        <v/>
      </c>
      <c r="K170" s="33" t="str">
        <f aca="false">IF(A170="","",SUMIFS(Gastos!$D$5:$D$504,Gastos!$E$5:$E$504,A170))</f>
        <v/>
      </c>
      <c r="L170" s="33" t="str">
        <f aca="false">IF(G170="","",G170-N(J170)-N(K170))</f>
        <v/>
      </c>
      <c r="M170" s="34" t="str">
        <f aca="false">IF(G170="","",IF(H170&gt;=G170,"Pago",IF(H170&gt;0,"Parcial","Pendente")))</f>
        <v/>
      </c>
      <c r="N170" s="32"/>
      <c r="O170" s="35" t="str">
        <f aca="true">IF(OR(B170="",B170&lt;TODAY()),"",COUNTIFS($B$5:$B$504,"&gt;="&amp;TODAY(),$B$5:$B$504,"&lt;"&amp;B170)+COUNTIFS($B$5:B170,B170))</f>
        <v/>
      </c>
    </row>
    <row r="171" customFormat="false" ht="15" hidden="false" customHeight="false" outlineLevel="0" collapsed="false">
      <c r="A171" s="32"/>
      <c r="B171" s="27"/>
      <c r="C171" s="29"/>
      <c r="D171" s="32"/>
      <c r="E171" s="32"/>
      <c r="F171" s="32"/>
      <c r="G171" s="31"/>
      <c r="H171" s="31"/>
      <c r="I171" s="33" t="str">
        <f aca="false">IF(G171="","",G171-H171)</f>
        <v/>
      </c>
      <c r="J171" s="33" t="str">
        <f aca="false">IF(A171="","",SUMIFS(Freelancers!$E$5:$E$504,Freelancers!$B$5:$B$504,A171))</f>
        <v/>
      </c>
      <c r="K171" s="33" t="str">
        <f aca="false">IF(A171="","",SUMIFS(Gastos!$D$5:$D$504,Gastos!$E$5:$E$504,A171))</f>
        <v/>
      </c>
      <c r="L171" s="33" t="str">
        <f aca="false">IF(G171="","",G171-N(J171)-N(K171))</f>
        <v/>
      </c>
      <c r="M171" s="34" t="str">
        <f aca="false">IF(G171="","",IF(H171&gt;=G171,"Pago",IF(H171&gt;0,"Parcial","Pendente")))</f>
        <v/>
      </c>
      <c r="N171" s="32"/>
      <c r="O171" s="35" t="str">
        <f aca="true">IF(OR(B171="",B171&lt;TODAY()),"",COUNTIFS($B$5:$B$504,"&gt;="&amp;TODAY(),$B$5:$B$504,"&lt;"&amp;B171)+COUNTIFS($B$5:B171,B171))</f>
        <v/>
      </c>
    </row>
    <row r="172" customFormat="false" ht="15" hidden="false" customHeight="false" outlineLevel="0" collapsed="false">
      <c r="A172" s="32"/>
      <c r="B172" s="27"/>
      <c r="C172" s="29"/>
      <c r="D172" s="32"/>
      <c r="E172" s="32"/>
      <c r="F172" s="32"/>
      <c r="G172" s="31"/>
      <c r="H172" s="31"/>
      <c r="I172" s="33" t="str">
        <f aca="false">IF(G172="","",G172-H172)</f>
        <v/>
      </c>
      <c r="J172" s="33" t="str">
        <f aca="false">IF(A172="","",SUMIFS(Freelancers!$E$5:$E$504,Freelancers!$B$5:$B$504,A172))</f>
        <v/>
      </c>
      <c r="K172" s="33" t="str">
        <f aca="false">IF(A172="","",SUMIFS(Gastos!$D$5:$D$504,Gastos!$E$5:$E$504,A172))</f>
        <v/>
      </c>
      <c r="L172" s="33" t="str">
        <f aca="false">IF(G172="","",G172-N(J172)-N(K172))</f>
        <v/>
      </c>
      <c r="M172" s="34" t="str">
        <f aca="false">IF(G172="","",IF(H172&gt;=G172,"Pago",IF(H172&gt;0,"Parcial","Pendente")))</f>
        <v/>
      </c>
      <c r="N172" s="32"/>
      <c r="O172" s="35" t="str">
        <f aca="true">IF(OR(B172="",B172&lt;TODAY()),"",COUNTIFS($B$5:$B$504,"&gt;="&amp;TODAY(),$B$5:$B$504,"&lt;"&amp;B172)+COUNTIFS($B$5:B172,B172))</f>
        <v/>
      </c>
    </row>
    <row r="173" customFormat="false" ht="15" hidden="false" customHeight="false" outlineLevel="0" collapsed="false">
      <c r="A173" s="32"/>
      <c r="B173" s="27"/>
      <c r="C173" s="29"/>
      <c r="D173" s="32"/>
      <c r="E173" s="32"/>
      <c r="F173" s="32"/>
      <c r="G173" s="31"/>
      <c r="H173" s="31"/>
      <c r="I173" s="33" t="str">
        <f aca="false">IF(G173="","",G173-H173)</f>
        <v/>
      </c>
      <c r="J173" s="33" t="str">
        <f aca="false">IF(A173="","",SUMIFS(Freelancers!$E$5:$E$504,Freelancers!$B$5:$B$504,A173))</f>
        <v/>
      </c>
      <c r="K173" s="33" t="str">
        <f aca="false">IF(A173="","",SUMIFS(Gastos!$D$5:$D$504,Gastos!$E$5:$E$504,A173))</f>
        <v/>
      </c>
      <c r="L173" s="33" t="str">
        <f aca="false">IF(G173="","",G173-N(J173)-N(K173))</f>
        <v/>
      </c>
      <c r="M173" s="34" t="str">
        <f aca="false">IF(G173="","",IF(H173&gt;=G173,"Pago",IF(H173&gt;0,"Parcial","Pendente")))</f>
        <v/>
      </c>
      <c r="N173" s="32"/>
      <c r="O173" s="35" t="str">
        <f aca="true">IF(OR(B173="",B173&lt;TODAY()),"",COUNTIFS($B$5:$B$504,"&gt;="&amp;TODAY(),$B$5:$B$504,"&lt;"&amp;B173)+COUNTIFS($B$5:B173,B173))</f>
        <v/>
      </c>
    </row>
    <row r="174" customFormat="false" ht="15" hidden="false" customHeight="false" outlineLevel="0" collapsed="false">
      <c r="A174" s="32"/>
      <c r="B174" s="27"/>
      <c r="C174" s="29"/>
      <c r="D174" s="32"/>
      <c r="E174" s="32"/>
      <c r="F174" s="32"/>
      <c r="G174" s="31"/>
      <c r="H174" s="31"/>
      <c r="I174" s="33" t="str">
        <f aca="false">IF(G174="","",G174-H174)</f>
        <v/>
      </c>
      <c r="J174" s="33" t="str">
        <f aca="false">IF(A174="","",SUMIFS(Freelancers!$E$5:$E$504,Freelancers!$B$5:$B$504,A174))</f>
        <v/>
      </c>
      <c r="K174" s="33" t="str">
        <f aca="false">IF(A174="","",SUMIFS(Gastos!$D$5:$D$504,Gastos!$E$5:$E$504,A174))</f>
        <v/>
      </c>
      <c r="L174" s="33" t="str">
        <f aca="false">IF(G174="","",G174-N(J174)-N(K174))</f>
        <v/>
      </c>
      <c r="M174" s="34" t="str">
        <f aca="false">IF(G174="","",IF(H174&gt;=G174,"Pago",IF(H174&gt;0,"Parcial","Pendente")))</f>
        <v/>
      </c>
      <c r="N174" s="32"/>
      <c r="O174" s="35" t="str">
        <f aca="true">IF(OR(B174="",B174&lt;TODAY()),"",COUNTIFS($B$5:$B$504,"&gt;="&amp;TODAY(),$B$5:$B$504,"&lt;"&amp;B174)+COUNTIFS($B$5:B174,B174))</f>
        <v/>
      </c>
    </row>
    <row r="175" customFormat="false" ht="15" hidden="false" customHeight="false" outlineLevel="0" collapsed="false">
      <c r="A175" s="32"/>
      <c r="B175" s="27"/>
      <c r="C175" s="29"/>
      <c r="D175" s="32"/>
      <c r="E175" s="32"/>
      <c r="F175" s="32"/>
      <c r="G175" s="31"/>
      <c r="H175" s="31"/>
      <c r="I175" s="33" t="str">
        <f aca="false">IF(G175="","",G175-H175)</f>
        <v/>
      </c>
      <c r="J175" s="33" t="str">
        <f aca="false">IF(A175="","",SUMIFS(Freelancers!$E$5:$E$504,Freelancers!$B$5:$B$504,A175))</f>
        <v/>
      </c>
      <c r="K175" s="33" t="str">
        <f aca="false">IF(A175="","",SUMIFS(Gastos!$D$5:$D$504,Gastos!$E$5:$E$504,A175))</f>
        <v/>
      </c>
      <c r="L175" s="33" t="str">
        <f aca="false">IF(G175="","",G175-N(J175)-N(K175))</f>
        <v/>
      </c>
      <c r="M175" s="34" t="str">
        <f aca="false">IF(G175="","",IF(H175&gt;=G175,"Pago",IF(H175&gt;0,"Parcial","Pendente")))</f>
        <v/>
      </c>
      <c r="N175" s="32"/>
      <c r="O175" s="35" t="str">
        <f aca="true">IF(OR(B175="",B175&lt;TODAY()),"",COUNTIFS($B$5:$B$504,"&gt;="&amp;TODAY(),$B$5:$B$504,"&lt;"&amp;B175)+COUNTIFS($B$5:B175,B175))</f>
        <v/>
      </c>
    </row>
    <row r="176" customFormat="false" ht="15" hidden="false" customHeight="false" outlineLevel="0" collapsed="false">
      <c r="A176" s="32"/>
      <c r="B176" s="27"/>
      <c r="C176" s="29"/>
      <c r="D176" s="32"/>
      <c r="E176" s="32"/>
      <c r="F176" s="32"/>
      <c r="G176" s="31"/>
      <c r="H176" s="31"/>
      <c r="I176" s="33" t="str">
        <f aca="false">IF(G176="","",G176-H176)</f>
        <v/>
      </c>
      <c r="J176" s="33" t="str">
        <f aca="false">IF(A176="","",SUMIFS(Freelancers!$E$5:$E$504,Freelancers!$B$5:$B$504,A176))</f>
        <v/>
      </c>
      <c r="K176" s="33" t="str">
        <f aca="false">IF(A176="","",SUMIFS(Gastos!$D$5:$D$504,Gastos!$E$5:$E$504,A176))</f>
        <v/>
      </c>
      <c r="L176" s="33" t="str">
        <f aca="false">IF(G176="","",G176-N(J176)-N(K176))</f>
        <v/>
      </c>
      <c r="M176" s="34" t="str">
        <f aca="false">IF(G176="","",IF(H176&gt;=G176,"Pago",IF(H176&gt;0,"Parcial","Pendente")))</f>
        <v/>
      </c>
      <c r="N176" s="32"/>
      <c r="O176" s="35" t="str">
        <f aca="true">IF(OR(B176="",B176&lt;TODAY()),"",COUNTIFS($B$5:$B$504,"&gt;="&amp;TODAY(),$B$5:$B$504,"&lt;"&amp;B176)+COUNTIFS($B$5:B176,B176))</f>
        <v/>
      </c>
    </row>
    <row r="177" customFormat="false" ht="15" hidden="false" customHeight="false" outlineLevel="0" collapsed="false">
      <c r="A177" s="32"/>
      <c r="B177" s="27"/>
      <c r="C177" s="29"/>
      <c r="D177" s="32"/>
      <c r="E177" s="32"/>
      <c r="F177" s="32"/>
      <c r="G177" s="31"/>
      <c r="H177" s="31"/>
      <c r="I177" s="33" t="str">
        <f aca="false">IF(G177="","",G177-H177)</f>
        <v/>
      </c>
      <c r="J177" s="33" t="str">
        <f aca="false">IF(A177="","",SUMIFS(Freelancers!$E$5:$E$504,Freelancers!$B$5:$B$504,A177))</f>
        <v/>
      </c>
      <c r="K177" s="33" t="str">
        <f aca="false">IF(A177="","",SUMIFS(Gastos!$D$5:$D$504,Gastos!$E$5:$E$504,A177))</f>
        <v/>
      </c>
      <c r="L177" s="33" t="str">
        <f aca="false">IF(G177="","",G177-N(J177)-N(K177))</f>
        <v/>
      </c>
      <c r="M177" s="34" t="str">
        <f aca="false">IF(G177="","",IF(H177&gt;=G177,"Pago",IF(H177&gt;0,"Parcial","Pendente")))</f>
        <v/>
      </c>
      <c r="N177" s="32"/>
      <c r="O177" s="35" t="str">
        <f aca="true">IF(OR(B177="",B177&lt;TODAY()),"",COUNTIFS($B$5:$B$504,"&gt;="&amp;TODAY(),$B$5:$B$504,"&lt;"&amp;B177)+COUNTIFS($B$5:B177,B177))</f>
        <v/>
      </c>
    </row>
    <row r="178" customFormat="false" ht="15" hidden="false" customHeight="false" outlineLevel="0" collapsed="false">
      <c r="A178" s="32"/>
      <c r="B178" s="27"/>
      <c r="C178" s="29"/>
      <c r="D178" s="32"/>
      <c r="E178" s="32"/>
      <c r="F178" s="32"/>
      <c r="G178" s="31"/>
      <c r="H178" s="31"/>
      <c r="I178" s="33" t="str">
        <f aca="false">IF(G178="","",G178-H178)</f>
        <v/>
      </c>
      <c r="J178" s="33" t="str">
        <f aca="false">IF(A178="","",SUMIFS(Freelancers!$E$5:$E$504,Freelancers!$B$5:$B$504,A178))</f>
        <v/>
      </c>
      <c r="K178" s="33" t="str">
        <f aca="false">IF(A178="","",SUMIFS(Gastos!$D$5:$D$504,Gastos!$E$5:$E$504,A178))</f>
        <v/>
      </c>
      <c r="L178" s="33" t="str">
        <f aca="false">IF(G178="","",G178-N(J178)-N(K178))</f>
        <v/>
      </c>
      <c r="M178" s="34" t="str">
        <f aca="false">IF(G178="","",IF(H178&gt;=G178,"Pago",IF(H178&gt;0,"Parcial","Pendente")))</f>
        <v/>
      </c>
      <c r="N178" s="32"/>
      <c r="O178" s="35" t="str">
        <f aca="true">IF(OR(B178="",B178&lt;TODAY()),"",COUNTIFS($B$5:$B$504,"&gt;="&amp;TODAY(),$B$5:$B$504,"&lt;"&amp;B178)+COUNTIFS($B$5:B178,B178))</f>
        <v/>
      </c>
    </row>
    <row r="179" customFormat="false" ht="15" hidden="false" customHeight="false" outlineLevel="0" collapsed="false">
      <c r="A179" s="32"/>
      <c r="B179" s="27"/>
      <c r="C179" s="29"/>
      <c r="D179" s="32"/>
      <c r="E179" s="32"/>
      <c r="F179" s="32"/>
      <c r="G179" s="31"/>
      <c r="H179" s="31"/>
      <c r="I179" s="33" t="str">
        <f aca="false">IF(G179="","",G179-H179)</f>
        <v/>
      </c>
      <c r="J179" s="33" t="str">
        <f aca="false">IF(A179="","",SUMIFS(Freelancers!$E$5:$E$504,Freelancers!$B$5:$B$504,A179))</f>
        <v/>
      </c>
      <c r="K179" s="33" t="str">
        <f aca="false">IF(A179="","",SUMIFS(Gastos!$D$5:$D$504,Gastos!$E$5:$E$504,A179))</f>
        <v/>
      </c>
      <c r="L179" s="33" t="str">
        <f aca="false">IF(G179="","",G179-N(J179)-N(K179))</f>
        <v/>
      </c>
      <c r="M179" s="34" t="str">
        <f aca="false">IF(G179="","",IF(H179&gt;=G179,"Pago",IF(H179&gt;0,"Parcial","Pendente")))</f>
        <v/>
      </c>
      <c r="N179" s="32"/>
      <c r="O179" s="35" t="str">
        <f aca="true">IF(OR(B179="",B179&lt;TODAY()),"",COUNTIFS($B$5:$B$504,"&gt;="&amp;TODAY(),$B$5:$B$504,"&lt;"&amp;B179)+COUNTIFS($B$5:B179,B179))</f>
        <v/>
      </c>
    </row>
    <row r="180" customFormat="false" ht="15" hidden="false" customHeight="false" outlineLevel="0" collapsed="false">
      <c r="A180" s="32"/>
      <c r="B180" s="27"/>
      <c r="C180" s="29"/>
      <c r="D180" s="32"/>
      <c r="E180" s="32"/>
      <c r="F180" s="32"/>
      <c r="G180" s="31"/>
      <c r="H180" s="31"/>
      <c r="I180" s="33" t="str">
        <f aca="false">IF(G180="","",G180-H180)</f>
        <v/>
      </c>
      <c r="J180" s="33" t="str">
        <f aca="false">IF(A180="","",SUMIFS(Freelancers!$E$5:$E$504,Freelancers!$B$5:$B$504,A180))</f>
        <v/>
      </c>
      <c r="K180" s="33" t="str">
        <f aca="false">IF(A180="","",SUMIFS(Gastos!$D$5:$D$504,Gastos!$E$5:$E$504,A180))</f>
        <v/>
      </c>
      <c r="L180" s="33" t="str">
        <f aca="false">IF(G180="","",G180-N(J180)-N(K180))</f>
        <v/>
      </c>
      <c r="M180" s="34" t="str">
        <f aca="false">IF(G180="","",IF(H180&gt;=G180,"Pago",IF(H180&gt;0,"Parcial","Pendente")))</f>
        <v/>
      </c>
      <c r="N180" s="32"/>
      <c r="O180" s="35" t="str">
        <f aca="true">IF(OR(B180="",B180&lt;TODAY()),"",COUNTIFS($B$5:$B$504,"&gt;="&amp;TODAY(),$B$5:$B$504,"&lt;"&amp;B180)+COUNTIFS($B$5:B180,B180))</f>
        <v/>
      </c>
    </row>
    <row r="181" customFormat="false" ht="15" hidden="false" customHeight="false" outlineLevel="0" collapsed="false">
      <c r="A181" s="32"/>
      <c r="B181" s="27"/>
      <c r="C181" s="29"/>
      <c r="D181" s="32"/>
      <c r="E181" s="32"/>
      <c r="F181" s="32"/>
      <c r="G181" s="31"/>
      <c r="H181" s="31"/>
      <c r="I181" s="33" t="str">
        <f aca="false">IF(G181="","",G181-H181)</f>
        <v/>
      </c>
      <c r="J181" s="33" t="str">
        <f aca="false">IF(A181="","",SUMIFS(Freelancers!$E$5:$E$504,Freelancers!$B$5:$B$504,A181))</f>
        <v/>
      </c>
      <c r="K181" s="33" t="str">
        <f aca="false">IF(A181="","",SUMIFS(Gastos!$D$5:$D$504,Gastos!$E$5:$E$504,A181))</f>
        <v/>
      </c>
      <c r="L181" s="33" t="str">
        <f aca="false">IF(G181="","",G181-N(J181)-N(K181))</f>
        <v/>
      </c>
      <c r="M181" s="34" t="str">
        <f aca="false">IF(G181="","",IF(H181&gt;=G181,"Pago",IF(H181&gt;0,"Parcial","Pendente")))</f>
        <v/>
      </c>
      <c r="N181" s="32"/>
      <c r="O181" s="35" t="str">
        <f aca="true">IF(OR(B181="",B181&lt;TODAY()),"",COUNTIFS($B$5:$B$504,"&gt;="&amp;TODAY(),$B$5:$B$504,"&lt;"&amp;B181)+COUNTIFS($B$5:B181,B181))</f>
        <v/>
      </c>
    </row>
    <row r="182" customFormat="false" ht="15" hidden="false" customHeight="false" outlineLevel="0" collapsed="false">
      <c r="A182" s="32"/>
      <c r="B182" s="27"/>
      <c r="C182" s="29"/>
      <c r="D182" s="32"/>
      <c r="E182" s="32"/>
      <c r="F182" s="32"/>
      <c r="G182" s="31"/>
      <c r="H182" s="31"/>
      <c r="I182" s="33" t="str">
        <f aca="false">IF(G182="","",G182-H182)</f>
        <v/>
      </c>
      <c r="J182" s="33" t="str">
        <f aca="false">IF(A182="","",SUMIFS(Freelancers!$E$5:$E$504,Freelancers!$B$5:$B$504,A182))</f>
        <v/>
      </c>
      <c r="K182" s="33" t="str">
        <f aca="false">IF(A182="","",SUMIFS(Gastos!$D$5:$D$504,Gastos!$E$5:$E$504,A182))</f>
        <v/>
      </c>
      <c r="L182" s="33" t="str">
        <f aca="false">IF(G182="","",G182-N(J182)-N(K182))</f>
        <v/>
      </c>
      <c r="M182" s="34" t="str">
        <f aca="false">IF(G182="","",IF(H182&gt;=G182,"Pago",IF(H182&gt;0,"Parcial","Pendente")))</f>
        <v/>
      </c>
      <c r="N182" s="32"/>
      <c r="O182" s="35" t="str">
        <f aca="true">IF(OR(B182="",B182&lt;TODAY()),"",COUNTIFS($B$5:$B$504,"&gt;="&amp;TODAY(),$B$5:$B$504,"&lt;"&amp;B182)+COUNTIFS($B$5:B182,B182))</f>
        <v/>
      </c>
    </row>
    <row r="183" customFormat="false" ht="15" hidden="false" customHeight="false" outlineLevel="0" collapsed="false">
      <c r="A183" s="32"/>
      <c r="B183" s="27"/>
      <c r="C183" s="29"/>
      <c r="D183" s="32"/>
      <c r="E183" s="32"/>
      <c r="F183" s="32"/>
      <c r="G183" s="31"/>
      <c r="H183" s="31"/>
      <c r="I183" s="33" t="str">
        <f aca="false">IF(G183="","",G183-H183)</f>
        <v/>
      </c>
      <c r="J183" s="33" t="str">
        <f aca="false">IF(A183="","",SUMIFS(Freelancers!$E$5:$E$504,Freelancers!$B$5:$B$504,A183))</f>
        <v/>
      </c>
      <c r="K183" s="33" t="str">
        <f aca="false">IF(A183="","",SUMIFS(Gastos!$D$5:$D$504,Gastos!$E$5:$E$504,A183))</f>
        <v/>
      </c>
      <c r="L183" s="33" t="str">
        <f aca="false">IF(G183="","",G183-N(J183)-N(K183))</f>
        <v/>
      </c>
      <c r="M183" s="34" t="str">
        <f aca="false">IF(G183="","",IF(H183&gt;=G183,"Pago",IF(H183&gt;0,"Parcial","Pendente")))</f>
        <v/>
      </c>
      <c r="N183" s="32"/>
      <c r="O183" s="35" t="str">
        <f aca="true">IF(OR(B183="",B183&lt;TODAY()),"",COUNTIFS($B$5:$B$504,"&gt;="&amp;TODAY(),$B$5:$B$504,"&lt;"&amp;B183)+COUNTIFS($B$5:B183,B183))</f>
        <v/>
      </c>
    </row>
    <row r="184" customFormat="false" ht="15" hidden="false" customHeight="false" outlineLevel="0" collapsed="false">
      <c r="A184" s="32"/>
      <c r="B184" s="27"/>
      <c r="C184" s="29"/>
      <c r="D184" s="32"/>
      <c r="E184" s="32"/>
      <c r="F184" s="32"/>
      <c r="G184" s="31"/>
      <c r="H184" s="31"/>
      <c r="I184" s="33" t="str">
        <f aca="false">IF(G184="","",G184-H184)</f>
        <v/>
      </c>
      <c r="J184" s="33" t="str">
        <f aca="false">IF(A184="","",SUMIFS(Freelancers!$E$5:$E$504,Freelancers!$B$5:$B$504,A184))</f>
        <v/>
      </c>
      <c r="K184" s="33" t="str">
        <f aca="false">IF(A184="","",SUMIFS(Gastos!$D$5:$D$504,Gastos!$E$5:$E$504,A184))</f>
        <v/>
      </c>
      <c r="L184" s="33" t="str">
        <f aca="false">IF(G184="","",G184-N(J184)-N(K184))</f>
        <v/>
      </c>
      <c r="M184" s="34" t="str">
        <f aca="false">IF(G184="","",IF(H184&gt;=G184,"Pago",IF(H184&gt;0,"Parcial","Pendente")))</f>
        <v/>
      </c>
      <c r="N184" s="32"/>
      <c r="O184" s="35" t="str">
        <f aca="true">IF(OR(B184="",B184&lt;TODAY()),"",COUNTIFS($B$5:$B$504,"&gt;="&amp;TODAY(),$B$5:$B$504,"&lt;"&amp;B184)+COUNTIFS($B$5:B184,B184))</f>
        <v/>
      </c>
    </row>
    <row r="185" customFormat="false" ht="15" hidden="false" customHeight="false" outlineLevel="0" collapsed="false">
      <c r="A185" s="32"/>
      <c r="B185" s="27"/>
      <c r="C185" s="29"/>
      <c r="D185" s="32"/>
      <c r="E185" s="32"/>
      <c r="F185" s="32"/>
      <c r="G185" s="31"/>
      <c r="H185" s="31"/>
      <c r="I185" s="33" t="str">
        <f aca="false">IF(G185="","",G185-H185)</f>
        <v/>
      </c>
      <c r="J185" s="33" t="str">
        <f aca="false">IF(A185="","",SUMIFS(Freelancers!$E$5:$E$504,Freelancers!$B$5:$B$504,A185))</f>
        <v/>
      </c>
      <c r="K185" s="33" t="str">
        <f aca="false">IF(A185="","",SUMIFS(Gastos!$D$5:$D$504,Gastos!$E$5:$E$504,A185))</f>
        <v/>
      </c>
      <c r="L185" s="33" t="str">
        <f aca="false">IF(G185="","",G185-N(J185)-N(K185))</f>
        <v/>
      </c>
      <c r="M185" s="34" t="str">
        <f aca="false">IF(G185="","",IF(H185&gt;=G185,"Pago",IF(H185&gt;0,"Parcial","Pendente")))</f>
        <v/>
      </c>
      <c r="N185" s="32"/>
      <c r="O185" s="35" t="str">
        <f aca="true">IF(OR(B185="",B185&lt;TODAY()),"",COUNTIFS($B$5:$B$504,"&gt;="&amp;TODAY(),$B$5:$B$504,"&lt;"&amp;B185)+COUNTIFS($B$5:B185,B185))</f>
        <v/>
      </c>
    </row>
    <row r="186" customFormat="false" ht="15" hidden="false" customHeight="false" outlineLevel="0" collapsed="false">
      <c r="A186" s="32"/>
      <c r="B186" s="27"/>
      <c r="C186" s="29"/>
      <c r="D186" s="32"/>
      <c r="E186" s="32"/>
      <c r="F186" s="32"/>
      <c r="G186" s="31"/>
      <c r="H186" s="31"/>
      <c r="I186" s="33" t="str">
        <f aca="false">IF(G186="","",G186-H186)</f>
        <v/>
      </c>
      <c r="J186" s="33" t="str">
        <f aca="false">IF(A186="","",SUMIFS(Freelancers!$E$5:$E$504,Freelancers!$B$5:$B$504,A186))</f>
        <v/>
      </c>
      <c r="K186" s="33" t="str">
        <f aca="false">IF(A186="","",SUMIFS(Gastos!$D$5:$D$504,Gastos!$E$5:$E$504,A186))</f>
        <v/>
      </c>
      <c r="L186" s="33" t="str">
        <f aca="false">IF(G186="","",G186-N(J186)-N(K186))</f>
        <v/>
      </c>
      <c r="M186" s="34" t="str">
        <f aca="false">IF(G186="","",IF(H186&gt;=G186,"Pago",IF(H186&gt;0,"Parcial","Pendente")))</f>
        <v/>
      </c>
      <c r="N186" s="32"/>
      <c r="O186" s="35" t="str">
        <f aca="true">IF(OR(B186="",B186&lt;TODAY()),"",COUNTIFS($B$5:$B$504,"&gt;="&amp;TODAY(),$B$5:$B$504,"&lt;"&amp;B186)+COUNTIFS($B$5:B186,B186))</f>
        <v/>
      </c>
    </row>
    <row r="187" customFormat="false" ht="15" hidden="false" customHeight="false" outlineLevel="0" collapsed="false">
      <c r="A187" s="32"/>
      <c r="B187" s="27"/>
      <c r="C187" s="29"/>
      <c r="D187" s="32"/>
      <c r="E187" s="32"/>
      <c r="F187" s="32"/>
      <c r="G187" s="31"/>
      <c r="H187" s="31"/>
      <c r="I187" s="33" t="str">
        <f aca="false">IF(G187="","",G187-H187)</f>
        <v/>
      </c>
      <c r="J187" s="33" t="str">
        <f aca="false">IF(A187="","",SUMIFS(Freelancers!$E$5:$E$504,Freelancers!$B$5:$B$504,A187))</f>
        <v/>
      </c>
      <c r="K187" s="33" t="str">
        <f aca="false">IF(A187="","",SUMIFS(Gastos!$D$5:$D$504,Gastos!$E$5:$E$504,A187))</f>
        <v/>
      </c>
      <c r="L187" s="33" t="str">
        <f aca="false">IF(G187="","",G187-N(J187)-N(K187))</f>
        <v/>
      </c>
      <c r="M187" s="34" t="str">
        <f aca="false">IF(G187="","",IF(H187&gt;=G187,"Pago",IF(H187&gt;0,"Parcial","Pendente")))</f>
        <v/>
      </c>
      <c r="N187" s="32"/>
      <c r="O187" s="35" t="str">
        <f aca="true">IF(OR(B187="",B187&lt;TODAY()),"",COUNTIFS($B$5:$B$504,"&gt;="&amp;TODAY(),$B$5:$B$504,"&lt;"&amp;B187)+COUNTIFS($B$5:B187,B187))</f>
        <v/>
      </c>
    </row>
    <row r="188" customFormat="false" ht="15" hidden="false" customHeight="false" outlineLevel="0" collapsed="false">
      <c r="A188" s="32"/>
      <c r="B188" s="27"/>
      <c r="C188" s="29"/>
      <c r="D188" s="32"/>
      <c r="E188" s="32"/>
      <c r="F188" s="32"/>
      <c r="G188" s="31"/>
      <c r="H188" s="31"/>
      <c r="I188" s="33" t="str">
        <f aca="false">IF(G188="","",G188-H188)</f>
        <v/>
      </c>
      <c r="J188" s="33" t="str">
        <f aca="false">IF(A188="","",SUMIFS(Freelancers!$E$5:$E$504,Freelancers!$B$5:$B$504,A188))</f>
        <v/>
      </c>
      <c r="K188" s="33" t="str">
        <f aca="false">IF(A188="","",SUMIFS(Gastos!$D$5:$D$504,Gastos!$E$5:$E$504,A188))</f>
        <v/>
      </c>
      <c r="L188" s="33" t="str">
        <f aca="false">IF(G188="","",G188-N(J188)-N(K188))</f>
        <v/>
      </c>
      <c r="M188" s="34" t="str">
        <f aca="false">IF(G188="","",IF(H188&gt;=G188,"Pago",IF(H188&gt;0,"Parcial","Pendente")))</f>
        <v/>
      </c>
      <c r="N188" s="32"/>
      <c r="O188" s="35" t="str">
        <f aca="true">IF(OR(B188="",B188&lt;TODAY()),"",COUNTIFS($B$5:$B$504,"&gt;="&amp;TODAY(),$B$5:$B$504,"&lt;"&amp;B188)+COUNTIFS($B$5:B188,B188))</f>
        <v/>
      </c>
    </row>
    <row r="189" customFormat="false" ht="15" hidden="false" customHeight="false" outlineLevel="0" collapsed="false">
      <c r="A189" s="32"/>
      <c r="B189" s="27"/>
      <c r="C189" s="29"/>
      <c r="D189" s="32"/>
      <c r="E189" s="32"/>
      <c r="F189" s="32"/>
      <c r="G189" s="31"/>
      <c r="H189" s="31"/>
      <c r="I189" s="33" t="str">
        <f aca="false">IF(G189="","",G189-H189)</f>
        <v/>
      </c>
      <c r="J189" s="33" t="str">
        <f aca="false">IF(A189="","",SUMIFS(Freelancers!$E$5:$E$504,Freelancers!$B$5:$B$504,A189))</f>
        <v/>
      </c>
      <c r="K189" s="33" t="str">
        <f aca="false">IF(A189="","",SUMIFS(Gastos!$D$5:$D$504,Gastos!$E$5:$E$504,A189))</f>
        <v/>
      </c>
      <c r="L189" s="33" t="str">
        <f aca="false">IF(G189="","",G189-N(J189)-N(K189))</f>
        <v/>
      </c>
      <c r="M189" s="34" t="str">
        <f aca="false">IF(G189="","",IF(H189&gt;=G189,"Pago",IF(H189&gt;0,"Parcial","Pendente")))</f>
        <v/>
      </c>
      <c r="N189" s="32"/>
      <c r="O189" s="35" t="str">
        <f aca="true">IF(OR(B189="",B189&lt;TODAY()),"",COUNTIFS($B$5:$B$504,"&gt;="&amp;TODAY(),$B$5:$B$504,"&lt;"&amp;B189)+COUNTIFS($B$5:B189,B189))</f>
        <v/>
      </c>
    </row>
    <row r="190" customFormat="false" ht="15" hidden="false" customHeight="false" outlineLevel="0" collapsed="false">
      <c r="A190" s="32"/>
      <c r="B190" s="27"/>
      <c r="C190" s="29"/>
      <c r="D190" s="32"/>
      <c r="E190" s="32"/>
      <c r="F190" s="32"/>
      <c r="G190" s="31"/>
      <c r="H190" s="31"/>
      <c r="I190" s="33" t="str">
        <f aca="false">IF(G190="","",G190-H190)</f>
        <v/>
      </c>
      <c r="J190" s="33" t="str">
        <f aca="false">IF(A190="","",SUMIFS(Freelancers!$E$5:$E$504,Freelancers!$B$5:$B$504,A190))</f>
        <v/>
      </c>
      <c r="K190" s="33" t="str">
        <f aca="false">IF(A190="","",SUMIFS(Gastos!$D$5:$D$504,Gastos!$E$5:$E$504,A190))</f>
        <v/>
      </c>
      <c r="L190" s="33" t="str">
        <f aca="false">IF(G190="","",G190-N(J190)-N(K190))</f>
        <v/>
      </c>
      <c r="M190" s="34" t="str">
        <f aca="false">IF(G190="","",IF(H190&gt;=G190,"Pago",IF(H190&gt;0,"Parcial","Pendente")))</f>
        <v/>
      </c>
      <c r="N190" s="32"/>
      <c r="O190" s="35" t="str">
        <f aca="true">IF(OR(B190="",B190&lt;TODAY()),"",COUNTIFS($B$5:$B$504,"&gt;="&amp;TODAY(),$B$5:$B$504,"&lt;"&amp;B190)+COUNTIFS($B$5:B190,B190))</f>
        <v/>
      </c>
    </row>
    <row r="191" customFormat="false" ht="15" hidden="false" customHeight="false" outlineLevel="0" collapsed="false">
      <c r="A191" s="32"/>
      <c r="B191" s="27"/>
      <c r="C191" s="29"/>
      <c r="D191" s="32"/>
      <c r="E191" s="32"/>
      <c r="F191" s="32"/>
      <c r="G191" s="31"/>
      <c r="H191" s="31"/>
      <c r="I191" s="33" t="str">
        <f aca="false">IF(G191="","",G191-H191)</f>
        <v/>
      </c>
      <c r="J191" s="33" t="str">
        <f aca="false">IF(A191="","",SUMIFS(Freelancers!$E$5:$E$504,Freelancers!$B$5:$B$504,A191))</f>
        <v/>
      </c>
      <c r="K191" s="33" t="str">
        <f aca="false">IF(A191="","",SUMIFS(Gastos!$D$5:$D$504,Gastos!$E$5:$E$504,A191))</f>
        <v/>
      </c>
      <c r="L191" s="33" t="str">
        <f aca="false">IF(G191="","",G191-N(J191)-N(K191))</f>
        <v/>
      </c>
      <c r="M191" s="34" t="str">
        <f aca="false">IF(G191="","",IF(H191&gt;=G191,"Pago",IF(H191&gt;0,"Parcial","Pendente")))</f>
        <v/>
      </c>
      <c r="N191" s="32"/>
      <c r="O191" s="35" t="str">
        <f aca="true">IF(OR(B191="",B191&lt;TODAY()),"",COUNTIFS($B$5:$B$504,"&gt;="&amp;TODAY(),$B$5:$B$504,"&lt;"&amp;B191)+COUNTIFS($B$5:B191,B191))</f>
        <v/>
      </c>
    </row>
    <row r="192" customFormat="false" ht="15" hidden="false" customHeight="false" outlineLevel="0" collapsed="false">
      <c r="A192" s="32"/>
      <c r="B192" s="27"/>
      <c r="C192" s="29"/>
      <c r="D192" s="32"/>
      <c r="E192" s="32"/>
      <c r="F192" s="32"/>
      <c r="G192" s="31"/>
      <c r="H192" s="31"/>
      <c r="I192" s="33" t="str">
        <f aca="false">IF(G192="","",G192-H192)</f>
        <v/>
      </c>
      <c r="J192" s="33" t="str">
        <f aca="false">IF(A192="","",SUMIFS(Freelancers!$E$5:$E$504,Freelancers!$B$5:$B$504,A192))</f>
        <v/>
      </c>
      <c r="K192" s="33" t="str">
        <f aca="false">IF(A192="","",SUMIFS(Gastos!$D$5:$D$504,Gastos!$E$5:$E$504,A192))</f>
        <v/>
      </c>
      <c r="L192" s="33" t="str">
        <f aca="false">IF(G192="","",G192-N(J192)-N(K192))</f>
        <v/>
      </c>
      <c r="M192" s="34" t="str">
        <f aca="false">IF(G192="","",IF(H192&gt;=G192,"Pago",IF(H192&gt;0,"Parcial","Pendente")))</f>
        <v/>
      </c>
      <c r="N192" s="32"/>
      <c r="O192" s="35" t="str">
        <f aca="true">IF(OR(B192="",B192&lt;TODAY()),"",COUNTIFS($B$5:$B$504,"&gt;="&amp;TODAY(),$B$5:$B$504,"&lt;"&amp;B192)+COUNTIFS($B$5:B192,B192))</f>
        <v/>
      </c>
    </row>
    <row r="193" customFormat="false" ht="15" hidden="false" customHeight="false" outlineLevel="0" collapsed="false">
      <c r="A193" s="32"/>
      <c r="B193" s="27"/>
      <c r="C193" s="29"/>
      <c r="D193" s="32"/>
      <c r="E193" s="32"/>
      <c r="F193" s="32"/>
      <c r="G193" s="31"/>
      <c r="H193" s="31"/>
      <c r="I193" s="33" t="str">
        <f aca="false">IF(G193="","",G193-H193)</f>
        <v/>
      </c>
      <c r="J193" s="33" t="str">
        <f aca="false">IF(A193="","",SUMIFS(Freelancers!$E$5:$E$504,Freelancers!$B$5:$B$504,A193))</f>
        <v/>
      </c>
      <c r="K193" s="33" t="str">
        <f aca="false">IF(A193="","",SUMIFS(Gastos!$D$5:$D$504,Gastos!$E$5:$E$504,A193))</f>
        <v/>
      </c>
      <c r="L193" s="33" t="str">
        <f aca="false">IF(G193="","",G193-N(J193)-N(K193))</f>
        <v/>
      </c>
      <c r="M193" s="34" t="str">
        <f aca="false">IF(G193="","",IF(H193&gt;=G193,"Pago",IF(H193&gt;0,"Parcial","Pendente")))</f>
        <v/>
      </c>
      <c r="N193" s="32"/>
      <c r="O193" s="35" t="str">
        <f aca="true">IF(OR(B193="",B193&lt;TODAY()),"",COUNTIFS($B$5:$B$504,"&gt;="&amp;TODAY(),$B$5:$B$504,"&lt;"&amp;B193)+COUNTIFS($B$5:B193,B193))</f>
        <v/>
      </c>
    </row>
    <row r="194" customFormat="false" ht="15" hidden="false" customHeight="false" outlineLevel="0" collapsed="false">
      <c r="A194" s="32"/>
      <c r="B194" s="27"/>
      <c r="C194" s="29"/>
      <c r="D194" s="32"/>
      <c r="E194" s="32"/>
      <c r="F194" s="32"/>
      <c r="G194" s="31"/>
      <c r="H194" s="31"/>
      <c r="I194" s="33" t="str">
        <f aca="false">IF(G194="","",G194-H194)</f>
        <v/>
      </c>
      <c r="J194" s="33" t="str">
        <f aca="false">IF(A194="","",SUMIFS(Freelancers!$E$5:$E$504,Freelancers!$B$5:$B$504,A194))</f>
        <v/>
      </c>
      <c r="K194" s="33" t="str">
        <f aca="false">IF(A194="","",SUMIFS(Gastos!$D$5:$D$504,Gastos!$E$5:$E$504,A194))</f>
        <v/>
      </c>
      <c r="L194" s="33" t="str">
        <f aca="false">IF(G194="","",G194-N(J194)-N(K194))</f>
        <v/>
      </c>
      <c r="M194" s="34" t="str">
        <f aca="false">IF(G194="","",IF(H194&gt;=G194,"Pago",IF(H194&gt;0,"Parcial","Pendente")))</f>
        <v/>
      </c>
      <c r="N194" s="32"/>
      <c r="O194" s="35" t="str">
        <f aca="true">IF(OR(B194="",B194&lt;TODAY()),"",COUNTIFS($B$5:$B$504,"&gt;="&amp;TODAY(),$B$5:$B$504,"&lt;"&amp;B194)+COUNTIFS($B$5:B194,B194))</f>
        <v/>
      </c>
    </row>
    <row r="195" customFormat="false" ht="15" hidden="false" customHeight="false" outlineLevel="0" collapsed="false">
      <c r="A195" s="32"/>
      <c r="B195" s="27"/>
      <c r="C195" s="29"/>
      <c r="D195" s="32"/>
      <c r="E195" s="32"/>
      <c r="F195" s="32"/>
      <c r="G195" s="31"/>
      <c r="H195" s="31"/>
      <c r="I195" s="33" t="str">
        <f aca="false">IF(G195="","",G195-H195)</f>
        <v/>
      </c>
      <c r="J195" s="33" t="str">
        <f aca="false">IF(A195="","",SUMIFS(Freelancers!$E$5:$E$504,Freelancers!$B$5:$B$504,A195))</f>
        <v/>
      </c>
      <c r="K195" s="33" t="str">
        <f aca="false">IF(A195="","",SUMIFS(Gastos!$D$5:$D$504,Gastos!$E$5:$E$504,A195))</f>
        <v/>
      </c>
      <c r="L195" s="33" t="str">
        <f aca="false">IF(G195="","",G195-N(J195)-N(K195))</f>
        <v/>
      </c>
      <c r="M195" s="34" t="str">
        <f aca="false">IF(G195="","",IF(H195&gt;=G195,"Pago",IF(H195&gt;0,"Parcial","Pendente")))</f>
        <v/>
      </c>
      <c r="N195" s="32"/>
      <c r="O195" s="35" t="str">
        <f aca="true">IF(OR(B195="",B195&lt;TODAY()),"",COUNTIFS($B$5:$B$504,"&gt;="&amp;TODAY(),$B$5:$B$504,"&lt;"&amp;B195)+COUNTIFS($B$5:B195,B195))</f>
        <v/>
      </c>
    </row>
    <row r="196" customFormat="false" ht="15" hidden="false" customHeight="false" outlineLevel="0" collapsed="false">
      <c r="A196" s="32"/>
      <c r="B196" s="27"/>
      <c r="C196" s="29"/>
      <c r="D196" s="32"/>
      <c r="E196" s="32"/>
      <c r="F196" s="32"/>
      <c r="G196" s="31"/>
      <c r="H196" s="31"/>
      <c r="I196" s="33" t="str">
        <f aca="false">IF(G196="","",G196-H196)</f>
        <v/>
      </c>
      <c r="J196" s="33" t="str">
        <f aca="false">IF(A196="","",SUMIFS(Freelancers!$E$5:$E$504,Freelancers!$B$5:$B$504,A196))</f>
        <v/>
      </c>
      <c r="K196" s="33" t="str">
        <f aca="false">IF(A196="","",SUMIFS(Gastos!$D$5:$D$504,Gastos!$E$5:$E$504,A196))</f>
        <v/>
      </c>
      <c r="L196" s="33" t="str">
        <f aca="false">IF(G196="","",G196-N(J196)-N(K196))</f>
        <v/>
      </c>
      <c r="M196" s="34" t="str">
        <f aca="false">IF(G196="","",IF(H196&gt;=G196,"Pago",IF(H196&gt;0,"Parcial","Pendente")))</f>
        <v/>
      </c>
      <c r="N196" s="32"/>
      <c r="O196" s="35" t="str">
        <f aca="true">IF(OR(B196="",B196&lt;TODAY()),"",COUNTIFS($B$5:$B$504,"&gt;="&amp;TODAY(),$B$5:$B$504,"&lt;"&amp;B196)+COUNTIFS($B$5:B196,B196))</f>
        <v/>
      </c>
    </row>
    <row r="197" customFormat="false" ht="15" hidden="false" customHeight="false" outlineLevel="0" collapsed="false">
      <c r="A197" s="32"/>
      <c r="B197" s="27"/>
      <c r="C197" s="29"/>
      <c r="D197" s="32"/>
      <c r="E197" s="32"/>
      <c r="F197" s="32"/>
      <c r="G197" s="31"/>
      <c r="H197" s="31"/>
      <c r="I197" s="33" t="str">
        <f aca="false">IF(G197="","",G197-H197)</f>
        <v/>
      </c>
      <c r="J197" s="33" t="str">
        <f aca="false">IF(A197="","",SUMIFS(Freelancers!$E$5:$E$504,Freelancers!$B$5:$B$504,A197))</f>
        <v/>
      </c>
      <c r="K197" s="33" t="str">
        <f aca="false">IF(A197="","",SUMIFS(Gastos!$D$5:$D$504,Gastos!$E$5:$E$504,A197))</f>
        <v/>
      </c>
      <c r="L197" s="33" t="str">
        <f aca="false">IF(G197="","",G197-N(J197)-N(K197))</f>
        <v/>
      </c>
      <c r="M197" s="34" t="str">
        <f aca="false">IF(G197="","",IF(H197&gt;=G197,"Pago",IF(H197&gt;0,"Parcial","Pendente")))</f>
        <v/>
      </c>
      <c r="N197" s="32"/>
      <c r="O197" s="35" t="str">
        <f aca="true">IF(OR(B197="",B197&lt;TODAY()),"",COUNTIFS($B$5:$B$504,"&gt;="&amp;TODAY(),$B$5:$B$504,"&lt;"&amp;B197)+COUNTIFS($B$5:B197,B197))</f>
        <v/>
      </c>
    </row>
    <row r="198" customFormat="false" ht="15" hidden="false" customHeight="false" outlineLevel="0" collapsed="false">
      <c r="A198" s="32"/>
      <c r="B198" s="27"/>
      <c r="C198" s="29"/>
      <c r="D198" s="32"/>
      <c r="E198" s="32"/>
      <c r="F198" s="32"/>
      <c r="G198" s="31"/>
      <c r="H198" s="31"/>
      <c r="I198" s="33" t="str">
        <f aca="false">IF(G198="","",G198-H198)</f>
        <v/>
      </c>
      <c r="J198" s="33" t="str">
        <f aca="false">IF(A198="","",SUMIFS(Freelancers!$E$5:$E$504,Freelancers!$B$5:$B$504,A198))</f>
        <v/>
      </c>
      <c r="K198" s="33" t="str">
        <f aca="false">IF(A198="","",SUMIFS(Gastos!$D$5:$D$504,Gastos!$E$5:$E$504,A198))</f>
        <v/>
      </c>
      <c r="L198" s="33" t="str">
        <f aca="false">IF(G198="","",G198-N(J198)-N(K198))</f>
        <v/>
      </c>
      <c r="M198" s="34" t="str">
        <f aca="false">IF(G198="","",IF(H198&gt;=G198,"Pago",IF(H198&gt;0,"Parcial","Pendente")))</f>
        <v/>
      </c>
      <c r="N198" s="32"/>
      <c r="O198" s="35" t="str">
        <f aca="true">IF(OR(B198="",B198&lt;TODAY()),"",COUNTIFS($B$5:$B$504,"&gt;="&amp;TODAY(),$B$5:$B$504,"&lt;"&amp;B198)+COUNTIFS($B$5:B198,B198))</f>
        <v/>
      </c>
    </row>
    <row r="199" customFormat="false" ht="15" hidden="false" customHeight="false" outlineLevel="0" collapsed="false">
      <c r="A199" s="32"/>
      <c r="B199" s="27"/>
      <c r="C199" s="29"/>
      <c r="D199" s="32"/>
      <c r="E199" s="32"/>
      <c r="F199" s="32"/>
      <c r="G199" s="31"/>
      <c r="H199" s="31"/>
      <c r="I199" s="33" t="str">
        <f aca="false">IF(G199="","",G199-H199)</f>
        <v/>
      </c>
      <c r="J199" s="33" t="str">
        <f aca="false">IF(A199="","",SUMIFS(Freelancers!$E$5:$E$504,Freelancers!$B$5:$B$504,A199))</f>
        <v/>
      </c>
      <c r="K199" s="33" t="str">
        <f aca="false">IF(A199="","",SUMIFS(Gastos!$D$5:$D$504,Gastos!$E$5:$E$504,A199))</f>
        <v/>
      </c>
      <c r="L199" s="33" t="str">
        <f aca="false">IF(G199="","",G199-N(J199)-N(K199))</f>
        <v/>
      </c>
      <c r="M199" s="34" t="str">
        <f aca="false">IF(G199="","",IF(H199&gt;=G199,"Pago",IF(H199&gt;0,"Parcial","Pendente")))</f>
        <v/>
      </c>
      <c r="N199" s="32"/>
      <c r="O199" s="35" t="str">
        <f aca="true">IF(OR(B199="",B199&lt;TODAY()),"",COUNTIFS($B$5:$B$504,"&gt;="&amp;TODAY(),$B$5:$B$504,"&lt;"&amp;B199)+COUNTIFS($B$5:B199,B199))</f>
        <v/>
      </c>
    </row>
    <row r="200" customFormat="false" ht="15" hidden="false" customHeight="false" outlineLevel="0" collapsed="false">
      <c r="A200" s="32"/>
      <c r="B200" s="27"/>
      <c r="C200" s="29"/>
      <c r="D200" s="32"/>
      <c r="E200" s="32"/>
      <c r="F200" s="32"/>
      <c r="G200" s="31"/>
      <c r="H200" s="31"/>
      <c r="I200" s="33" t="str">
        <f aca="false">IF(G200="","",G200-H200)</f>
        <v/>
      </c>
      <c r="J200" s="33" t="str">
        <f aca="false">IF(A200="","",SUMIFS(Freelancers!$E$5:$E$504,Freelancers!$B$5:$B$504,A200))</f>
        <v/>
      </c>
      <c r="K200" s="33" t="str">
        <f aca="false">IF(A200="","",SUMIFS(Gastos!$D$5:$D$504,Gastos!$E$5:$E$504,A200))</f>
        <v/>
      </c>
      <c r="L200" s="33" t="str">
        <f aca="false">IF(G200="","",G200-N(J200)-N(K200))</f>
        <v/>
      </c>
      <c r="M200" s="34" t="str">
        <f aca="false">IF(G200="","",IF(H200&gt;=G200,"Pago",IF(H200&gt;0,"Parcial","Pendente")))</f>
        <v/>
      </c>
      <c r="N200" s="32"/>
      <c r="O200" s="35" t="str">
        <f aca="true">IF(OR(B200="",B200&lt;TODAY()),"",COUNTIFS($B$5:$B$504,"&gt;="&amp;TODAY(),$B$5:$B$504,"&lt;"&amp;B200)+COUNTIFS($B$5:B200,B200))</f>
        <v/>
      </c>
    </row>
    <row r="201" customFormat="false" ht="15" hidden="false" customHeight="false" outlineLevel="0" collapsed="false">
      <c r="A201" s="32"/>
      <c r="B201" s="27"/>
      <c r="C201" s="29"/>
      <c r="D201" s="32"/>
      <c r="E201" s="32"/>
      <c r="F201" s="32"/>
      <c r="G201" s="31"/>
      <c r="H201" s="31"/>
      <c r="I201" s="33" t="str">
        <f aca="false">IF(G201="","",G201-H201)</f>
        <v/>
      </c>
      <c r="J201" s="33" t="str">
        <f aca="false">IF(A201="","",SUMIFS(Freelancers!$E$5:$E$504,Freelancers!$B$5:$B$504,A201))</f>
        <v/>
      </c>
      <c r="K201" s="33" t="str">
        <f aca="false">IF(A201="","",SUMIFS(Gastos!$D$5:$D$504,Gastos!$E$5:$E$504,A201))</f>
        <v/>
      </c>
      <c r="L201" s="33" t="str">
        <f aca="false">IF(G201="","",G201-N(J201)-N(K201))</f>
        <v/>
      </c>
      <c r="M201" s="34" t="str">
        <f aca="false">IF(G201="","",IF(H201&gt;=G201,"Pago",IF(H201&gt;0,"Parcial","Pendente")))</f>
        <v/>
      </c>
      <c r="N201" s="32"/>
      <c r="O201" s="35" t="str">
        <f aca="true">IF(OR(B201="",B201&lt;TODAY()),"",COUNTIFS($B$5:$B$504,"&gt;="&amp;TODAY(),$B$5:$B$504,"&lt;"&amp;B201)+COUNTIFS($B$5:B201,B201))</f>
        <v/>
      </c>
    </row>
    <row r="202" customFormat="false" ht="15" hidden="false" customHeight="false" outlineLevel="0" collapsed="false">
      <c r="A202" s="32"/>
      <c r="B202" s="27"/>
      <c r="C202" s="29"/>
      <c r="D202" s="32"/>
      <c r="E202" s="32"/>
      <c r="F202" s="32"/>
      <c r="G202" s="31"/>
      <c r="H202" s="31"/>
      <c r="I202" s="33" t="str">
        <f aca="false">IF(G202="","",G202-H202)</f>
        <v/>
      </c>
      <c r="J202" s="33" t="str">
        <f aca="false">IF(A202="","",SUMIFS(Freelancers!$E$5:$E$504,Freelancers!$B$5:$B$504,A202))</f>
        <v/>
      </c>
      <c r="K202" s="33" t="str">
        <f aca="false">IF(A202="","",SUMIFS(Gastos!$D$5:$D$504,Gastos!$E$5:$E$504,A202))</f>
        <v/>
      </c>
      <c r="L202" s="33" t="str">
        <f aca="false">IF(G202="","",G202-N(J202)-N(K202))</f>
        <v/>
      </c>
      <c r="M202" s="34" t="str">
        <f aca="false">IF(G202="","",IF(H202&gt;=G202,"Pago",IF(H202&gt;0,"Parcial","Pendente")))</f>
        <v/>
      </c>
      <c r="N202" s="32"/>
      <c r="O202" s="35" t="str">
        <f aca="true">IF(OR(B202="",B202&lt;TODAY()),"",COUNTIFS($B$5:$B$504,"&gt;="&amp;TODAY(),$B$5:$B$504,"&lt;"&amp;B202)+COUNTIFS($B$5:B202,B202))</f>
        <v/>
      </c>
    </row>
    <row r="203" customFormat="false" ht="15" hidden="false" customHeight="false" outlineLevel="0" collapsed="false">
      <c r="A203" s="32"/>
      <c r="B203" s="27"/>
      <c r="C203" s="29"/>
      <c r="D203" s="32"/>
      <c r="E203" s="32"/>
      <c r="F203" s="32"/>
      <c r="G203" s="31"/>
      <c r="H203" s="31"/>
      <c r="I203" s="33" t="str">
        <f aca="false">IF(G203="","",G203-H203)</f>
        <v/>
      </c>
      <c r="J203" s="33" t="str">
        <f aca="false">IF(A203="","",SUMIFS(Freelancers!$E$5:$E$504,Freelancers!$B$5:$B$504,A203))</f>
        <v/>
      </c>
      <c r="K203" s="33" t="str">
        <f aca="false">IF(A203="","",SUMIFS(Gastos!$D$5:$D$504,Gastos!$E$5:$E$504,A203))</f>
        <v/>
      </c>
      <c r="L203" s="33" t="str">
        <f aca="false">IF(G203="","",G203-N(J203)-N(K203))</f>
        <v/>
      </c>
      <c r="M203" s="34" t="str">
        <f aca="false">IF(G203="","",IF(H203&gt;=G203,"Pago",IF(H203&gt;0,"Parcial","Pendente")))</f>
        <v/>
      </c>
      <c r="N203" s="32"/>
      <c r="O203" s="35" t="str">
        <f aca="true">IF(OR(B203="",B203&lt;TODAY()),"",COUNTIFS($B$5:$B$504,"&gt;="&amp;TODAY(),$B$5:$B$504,"&lt;"&amp;B203)+COUNTIFS($B$5:B203,B203))</f>
        <v/>
      </c>
    </row>
    <row r="204" customFormat="false" ht="15" hidden="false" customHeight="false" outlineLevel="0" collapsed="false">
      <c r="A204" s="32"/>
      <c r="B204" s="27"/>
      <c r="C204" s="29"/>
      <c r="D204" s="32"/>
      <c r="E204" s="32"/>
      <c r="F204" s="32"/>
      <c r="G204" s="31"/>
      <c r="H204" s="31"/>
      <c r="I204" s="33" t="str">
        <f aca="false">IF(G204="","",G204-H204)</f>
        <v/>
      </c>
      <c r="J204" s="33" t="str">
        <f aca="false">IF(A204="","",SUMIFS(Freelancers!$E$5:$E$504,Freelancers!$B$5:$B$504,A204))</f>
        <v/>
      </c>
      <c r="K204" s="33" t="str">
        <f aca="false">IF(A204="","",SUMIFS(Gastos!$D$5:$D$504,Gastos!$E$5:$E$504,A204))</f>
        <v/>
      </c>
      <c r="L204" s="33" t="str">
        <f aca="false">IF(G204="","",G204-N(J204)-N(K204))</f>
        <v/>
      </c>
      <c r="M204" s="34" t="str">
        <f aca="false">IF(G204="","",IF(H204&gt;=G204,"Pago",IF(H204&gt;0,"Parcial","Pendente")))</f>
        <v/>
      </c>
      <c r="N204" s="32"/>
      <c r="O204" s="35" t="str">
        <f aca="true">IF(OR(B204="",B204&lt;TODAY()),"",COUNTIFS($B$5:$B$504,"&gt;="&amp;TODAY(),$B$5:$B$504,"&lt;"&amp;B204)+COUNTIFS($B$5:B204,B204))</f>
        <v/>
      </c>
    </row>
    <row r="205" customFormat="false" ht="15" hidden="false" customHeight="false" outlineLevel="0" collapsed="false">
      <c r="A205" s="32"/>
      <c r="B205" s="27"/>
      <c r="C205" s="29"/>
      <c r="D205" s="32"/>
      <c r="E205" s="32"/>
      <c r="F205" s="32"/>
      <c r="G205" s="31"/>
      <c r="H205" s="31"/>
      <c r="I205" s="33" t="str">
        <f aca="false">IF(G205="","",G205-H205)</f>
        <v/>
      </c>
      <c r="J205" s="33" t="str">
        <f aca="false">IF(A205="","",SUMIFS(Freelancers!$E$5:$E$504,Freelancers!$B$5:$B$504,A205))</f>
        <v/>
      </c>
      <c r="K205" s="33" t="str">
        <f aca="false">IF(A205="","",SUMIFS(Gastos!$D$5:$D$504,Gastos!$E$5:$E$504,A205))</f>
        <v/>
      </c>
      <c r="L205" s="33" t="str">
        <f aca="false">IF(G205="","",G205-N(J205)-N(K205))</f>
        <v/>
      </c>
      <c r="M205" s="34" t="str">
        <f aca="false">IF(G205="","",IF(H205&gt;=G205,"Pago",IF(H205&gt;0,"Parcial","Pendente")))</f>
        <v/>
      </c>
      <c r="N205" s="32"/>
      <c r="O205" s="35" t="str">
        <f aca="true">IF(OR(B205="",B205&lt;TODAY()),"",COUNTIFS($B$5:$B$504,"&gt;="&amp;TODAY(),$B$5:$B$504,"&lt;"&amp;B205)+COUNTIFS($B$5:B205,B205))</f>
        <v/>
      </c>
    </row>
    <row r="206" customFormat="false" ht="15" hidden="false" customHeight="false" outlineLevel="0" collapsed="false">
      <c r="A206" s="32"/>
      <c r="B206" s="27"/>
      <c r="C206" s="29"/>
      <c r="D206" s="32"/>
      <c r="E206" s="32"/>
      <c r="F206" s="32"/>
      <c r="G206" s="31"/>
      <c r="H206" s="31"/>
      <c r="I206" s="33" t="str">
        <f aca="false">IF(G206="","",G206-H206)</f>
        <v/>
      </c>
      <c r="J206" s="33" t="str">
        <f aca="false">IF(A206="","",SUMIFS(Freelancers!$E$5:$E$504,Freelancers!$B$5:$B$504,A206))</f>
        <v/>
      </c>
      <c r="K206" s="33" t="str">
        <f aca="false">IF(A206="","",SUMIFS(Gastos!$D$5:$D$504,Gastos!$E$5:$E$504,A206))</f>
        <v/>
      </c>
      <c r="L206" s="33" t="str">
        <f aca="false">IF(G206="","",G206-N(J206)-N(K206))</f>
        <v/>
      </c>
      <c r="M206" s="34" t="str">
        <f aca="false">IF(G206="","",IF(H206&gt;=G206,"Pago",IF(H206&gt;0,"Parcial","Pendente")))</f>
        <v/>
      </c>
      <c r="N206" s="32"/>
      <c r="O206" s="35" t="str">
        <f aca="true">IF(OR(B206="",B206&lt;TODAY()),"",COUNTIFS($B$5:$B$504,"&gt;="&amp;TODAY(),$B$5:$B$504,"&lt;"&amp;B206)+COUNTIFS($B$5:B206,B206))</f>
        <v/>
      </c>
    </row>
    <row r="207" customFormat="false" ht="15" hidden="false" customHeight="false" outlineLevel="0" collapsed="false">
      <c r="A207" s="32"/>
      <c r="B207" s="27"/>
      <c r="C207" s="29"/>
      <c r="D207" s="32"/>
      <c r="E207" s="32"/>
      <c r="F207" s="32"/>
      <c r="G207" s="31"/>
      <c r="H207" s="31"/>
      <c r="I207" s="33" t="str">
        <f aca="false">IF(G207="","",G207-H207)</f>
        <v/>
      </c>
      <c r="J207" s="33" t="str">
        <f aca="false">IF(A207="","",SUMIFS(Freelancers!$E$5:$E$504,Freelancers!$B$5:$B$504,A207))</f>
        <v/>
      </c>
      <c r="K207" s="33" t="str">
        <f aca="false">IF(A207="","",SUMIFS(Gastos!$D$5:$D$504,Gastos!$E$5:$E$504,A207))</f>
        <v/>
      </c>
      <c r="L207" s="33" t="str">
        <f aca="false">IF(G207="","",G207-N(J207)-N(K207))</f>
        <v/>
      </c>
      <c r="M207" s="34" t="str">
        <f aca="false">IF(G207="","",IF(H207&gt;=G207,"Pago",IF(H207&gt;0,"Parcial","Pendente")))</f>
        <v/>
      </c>
      <c r="N207" s="32"/>
      <c r="O207" s="35" t="str">
        <f aca="true">IF(OR(B207="",B207&lt;TODAY()),"",COUNTIFS($B$5:$B$504,"&gt;="&amp;TODAY(),$B$5:$B$504,"&lt;"&amp;B207)+COUNTIFS($B$5:B207,B207))</f>
        <v/>
      </c>
    </row>
    <row r="208" customFormat="false" ht="15" hidden="false" customHeight="false" outlineLevel="0" collapsed="false">
      <c r="A208" s="32"/>
      <c r="B208" s="27"/>
      <c r="C208" s="29"/>
      <c r="D208" s="32"/>
      <c r="E208" s="32"/>
      <c r="F208" s="32"/>
      <c r="G208" s="31"/>
      <c r="H208" s="31"/>
      <c r="I208" s="33" t="str">
        <f aca="false">IF(G208="","",G208-H208)</f>
        <v/>
      </c>
      <c r="J208" s="33" t="str">
        <f aca="false">IF(A208="","",SUMIFS(Freelancers!$E$5:$E$504,Freelancers!$B$5:$B$504,A208))</f>
        <v/>
      </c>
      <c r="K208" s="33" t="str">
        <f aca="false">IF(A208="","",SUMIFS(Gastos!$D$5:$D$504,Gastos!$E$5:$E$504,A208))</f>
        <v/>
      </c>
      <c r="L208" s="33" t="str">
        <f aca="false">IF(G208="","",G208-N(J208)-N(K208))</f>
        <v/>
      </c>
      <c r="M208" s="34" t="str">
        <f aca="false">IF(G208="","",IF(H208&gt;=G208,"Pago",IF(H208&gt;0,"Parcial","Pendente")))</f>
        <v/>
      </c>
      <c r="N208" s="32"/>
      <c r="O208" s="35" t="str">
        <f aca="true">IF(OR(B208="",B208&lt;TODAY()),"",COUNTIFS($B$5:$B$504,"&gt;="&amp;TODAY(),$B$5:$B$504,"&lt;"&amp;B208)+COUNTIFS($B$5:B208,B208))</f>
        <v/>
      </c>
    </row>
    <row r="209" customFormat="false" ht="15" hidden="false" customHeight="false" outlineLevel="0" collapsed="false">
      <c r="A209" s="32"/>
      <c r="B209" s="27"/>
      <c r="C209" s="29"/>
      <c r="D209" s="32"/>
      <c r="E209" s="32"/>
      <c r="F209" s="32"/>
      <c r="G209" s="31"/>
      <c r="H209" s="31"/>
      <c r="I209" s="33" t="str">
        <f aca="false">IF(G209="","",G209-H209)</f>
        <v/>
      </c>
      <c r="J209" s="33" t="str">
        <f aca="false">IF(A209="","",SUMIFS(Freelancers!$E$5:$E$504,Freelancers!$B$5:$B$504,A209))</f>
        <v/>
      </c>
      <c r="K209" s="33" t="str">
        <f aca="false">IF(A209="","",SUMIFS(Gastos!$D$5:$D$504,Gastos!$E$5:$E$504,A209))</f>
        <v/>
      </c>
      <c r="L209" s="33" t="str">
        <f aca="false">IF(G209="","",G209-N(J209)-N(K209))</f>
        <v/>
      </c>
      <c r="M209" s="34" t="str">
        <f aca="false">IF(G209="","",IF(H209&gt;=G209,"Pago",IF(H209&gt;0,"Parcial","Pendente")))</f>
        <v/>
      </c>
      <c r="N209" s="32"/>
      <c r="O209" s="35" t="str">
        <f aca="true">IF(OR(B209="",B209&lt;TODAY()),"",COUNTIFS($B$5:$B$504,"&gt;="&amp;TODAY(),$B$5:$B$504,"&lt;"&amp;B209)+COUNTIFS($B$5:B209,B209))</f>
        <v/>
      </c>
    </row>
    <row r="210" customFormat="false" ht="15" hidden="false" customHeight="false" outlineLevel="0" collapsed="false">
      <c r="A210" s="32"/>
      <c r="B210" s="27"/>
      <c r="C210" s="29"/>
      <c r="D210" s="32"/>
      <c r="E210" s="32"/>
      <c r="F210" s="32"/>
      <c r="G210" s="31"/>
      <c r="H210" s="31"/>
      <c r="I210" s="33" t="str">
        <f aca="false">IF(G210="","",G210-H210)</f>
        <v/>
      </c>
      <c r="J210" s="33" t="str">
        <f aca="false">IF(A210="","",SUMIFS(Freelancers!$E$5:$E$504,Freelancers!$B$5:$B$504,A210))</f>
        <v/>
      </c>
      <c r="K210" s="33" t="str">
        <f aca="false">IF(A210="","",SUMIFS(Gastos!$D$5:$D$504,Gastos!$E$5:$E$504,A210))</f>
        <v/>
      </c>
      <c r="L210" s="33" t="str">
        <f aca="false">IF(G210="","",G210-N(J210)-N(K210))</f>
        <v/>
      </c>
      <c r="M210" s="34" t="str">
        <f aca="false">IF(G210="","",IF(H210&gt;=G210,"Pago",IF(H210&gt;0,"Parcial","Pendente")))</f>
        <v/>
      </c>
      <c r="N210" s="32"/>
      <c r="O210" s="35" t="str">
        <f aca="true">IF(OR(B210="",B210&lt;TODAY()),"",COUNTIFS($B$5:$B$504,"&gt;="&amp;TODAY(),$B$5:$B$504,"&lt;"&amp;B210)+COUNTIFS($B$5:B210,B210))</f>
        <v/>
      </c>
    </row>
    <row r="211" customFormat="false" ht="15" hidden="false" customHeight="false" outlineLevel="0" collapsed="false">
      <c r="A211" s="32"/>
      <c r="B211" s="27"/>
      <c r="C211" s="29"/>
      <c r="D211" s="32"/>
      <c r="E211" s="32"/>
      <c r="F211" s="32"/>
      <c r="G211" s="31"/>
      <c r="H211" s="31"/>
      <c r="I211" s="33" t="str">
        <f aca="false">IF(G211="","",G211-H211)</f>
        <v/>
      </c>
      <c r="J211" s="33" t="str">
        <f aca="false">IF(A211="","",SUMIFS(Freelancers!$E$5:$E$504,Freelancers!$B$5:$B$504,A211))</f>
        <v/>
      </c>
      <c r="K211" s="33" t="str">
        <f aca="false">IF(A211="","",SUMIFS(Gastos!$D$5:$D$504,Gastos!$E$5:$E$504,A211))</f>
        <v/>
      </c>
      <c r="L211" s="33" t="str">
        <f aca="false">IF(G211="","",G211-N(J211)-N(K211))</f>
        <v/>
      </c>
      <c r="M211" s="34" t="str">
        <f aca="false">IF(G211="","",IF(H211&gt;=G211,"Pago",IF(H211&gt;0,"Parcial","Pendente")))</f>
        <v/>
      </c>
      <c r="N211" s="32"/>
      <c r="O211" s="35" t="str">
        <f aca="true">IF(OR(B211="",B211&lt;TODAY()),"",COUNTIFS($B$5:$B$504,"&gt;="&amp;TODAY(),$B$5:$B$504,"&lt;"&amp;B211)+COUNTIFS($B$5:B211,B211))</f>
        <v/>
      </c>
    </row>
    <row r="212" customFormat="false" ht="15" hidden="false" customHeight="false" outlineLevel="0" collapsed="false">
      <c r="A212" s="32"/>
      <c r="B212" s="27"/>
      <c r="C212" s="29"/>
      <c r="D212" s="32"/>
      <c r="E212" s="32"/>
      <c r="F212" s="32"/>
      <c r="G212" s="31"/>
      <c r="H212" s="31"/>
      <c r="I212" s="33" t="str">
        <f aca="false">IF(G212="","",G212-H212)</f>
        <v/>
      </c>
      <c r="J212" s="33" t="str">
        <f aca="false">IF(A212="","",SUMIFS(Freelancers!$E$5:$E$504,Freelancers!$B$5:$B$504,A212))</f>
        <v/>
      </c>
      <c r="K212" s="33" t="str">
        <f aca="false">IF(A212="","",SUMIFS(Gastos!$D$5:$D$504,Gastos!$E$5:$E$504,A212))</f>
        <v/>
      </c>
      <c r="L212" s="33" t="str">
        <f aca="false">IF(G212="","",G212-N(J212)-N(K212))</f>
        <v/>
      </c>
      <c r="M212" s="34" t="str">
        <f aca="false">IF(G212="","",IF(H212&gt;=G212,"Pago",IF(H212&gt;0,"Parcial","Pendente")))</f>
        <v/>
      </c>
      <c r="N212" s="32"/>
      <c r="O212" s="35" t="str">
        <f aca="true">IF(OR(B212="",B212&lt;TODAY()),"",COUNTIFS($B$5:$B$504,"&gt;="&amp;TODAY(),$B$5:$B$504,"&lt;"&amp;B212)+COUNTIFS($B$5:B212,B212))</f>
        <v/>
      </c>
    </row>
    <row r="213" customFormat="false" ht="15" hidden="false" customHeight="false" outlineLevel="0" collapsed="false">
      <c r="A213" s="32"/>
      <c r="B213" s="27"/>
      <c r="C213" s="29"/>
      <c r="D213" s="32"/>
      <c r="E213" s="32"/>
      <c r="F213" s="32"/>
      <c r="G213" s="31"/>
      <c r="H213" s="31"/>
      <c r="I213" s="33" t="str">
        <f aca="false">IF(G213="","",G213-H213)</f>
        <v/>
      </c>
      <c r="J213" s="33" t="str">
        <f aca="false">IF(A213="","",SUMIFS(Freelancers!$E$5:$E$504,Freelancers!$B$5:$B$504,A213))</f>
        <v/>
      </c>
      <c r="K213" s="33" t="str">
        <f aca="false">IF(A213="","",SUMIFS(Gastos!$D$5:$D$504,Gastos!$E$5:$E$504,A213))</f>
        <v/>
      </c>
      <c r="L213" s="33" t="str">
        <f aca="false">IF(G213="","",G213-N(J213)-N(K213))</f>
        <v/>
      </c>
      <c r="M213" s="34" t="str">
        <f aca="false">IF(G213="","",IF(H213&gt;=G213,"Pago",IF(H213&gt;0,"Parcial","Pendente")))</f>
        <v/>
      </c>
      <c r="N213" s="32"/>
      <c r="O213" s="35" t="str">
        <f aca="true">IF(OR(B213="",B213&lt;TODAY()),"",COUNTIFS($B$5:$B$504,"&gt;="&amp;TODAY(),$B$5:$B$504,"&lt;"&amp;B213)+COUNTIFS($B$5:B213,B213))</f>
        <v/>
      </c>
    </row>
    <row r="214" customFormat="false" ht="15" hidden="false" customHeight="false" outlineLevel="0" collapsed="false">
      <c r="A214" s="32"/>
      <c r="B214" s="27"/>
      <c r="C214" s="29"/>
      <c r="D214" s="32"/>
      <c r="E214" s="32"/>
      <c r="F214" s="32"/>
      <c r="G214" s="31"/>
      <c r="H214" s="31"/>
      <c r="I214" s="33" t="str">
        <f aca="false">IF(G214="","",G214-H214)</f>
        <v/>
      </c>
      <c r="J214" s="33" t="str">
        <f aca="false">IF(A214="","",SUMIFS(Freelancers!$E$5:$E$504,Freelancers!$B$5:$B$504,A214))</f>
        <v/>
      </c>
      <c r="K214" s="33" t="str">
        <f aca="false">IF(A214="","",SUMIFS(Gastos!$D$5:$D$504,Gastos!$E$5:$E$504,A214))</f>
        <v/>
      </c>
      <c r="L214" s="33" t="str">
        <f aca="false">IF(G214="","",G214-N(J214)-N(K214))</f>
        <v/>
      </c>
      <c r="M214" s="34" t="str">
        <f aca="false">IF(G214="","",IF(H214&gt;=G214,"Pago",IF(H214&gt;0,"Parcial","Pendente")))</f>
        <v/>
      </c>
      <c r="N214" s="32"/>
      <c r="O214" s="35" t="str">
        <f aca="true">IF(OR(B214="",B214&lt;TODAY()),"",COUNTIFS($B$5:$B$504,"&gt;="&amp;TODAY(),$B$5:$B$504,"&lt;"&amp;B214)+COUNTIFS($B$5:B214,B214))</f>
        <v/>
      </c>
    </row>
    <row r="215" customFormat="false" ht="15" hidden="false" customHeight="false" outlineLevel="0" collapsed="false">
      <c r="A215" s="32"/>
      <c r="B215" s="27"/>
      <c r="C215" s="29"/>
      <c r="D215" s="32"/>
      <c r="E215" s="32"/>
      <c r="F215" s="32"/>
      <c r="G215" s="31"/>
      <c r="H215" s="31"/>
      <c r="I215" s="33" t="str">
        <f aca="false">IF(G215="","",G215-H215)</f>
        <v/>
      </c>
      <c r="J215" s="33" t="str">
        <f aca="false">IF(A215="","",SUMIFS(Freelancers!$E$5:$E$504,Freelancers!$B$5:$B$504,A215))</f>
        <v/>
      </c>
      <c r="K215" s="33" t="str">
        <f aca="false">IF(A215="","",SUMIFS(Gastos!$D$5:$D$504,Gastos!$E$5:$E$504,A215))</f>
        <v/>
      </c>
      <c r="L215" s="33" t="str">
        <f aca="false">IF(G215="","",G215-N(J215)-N(K215))</f>
        <v/>
      </c>
      <c r="M215" s="34" t="str">
        <f aca="false">IF(G215="","",IF(H215&gt;=G215,"Pago",IF(H215&gt;0,"Parcial","Pendente")))</f>
        <v/>
      </c>
      <c r="N215" s="32"/>
      <c r="O215" s="35" t="str">
        <f aca="true">IF(OR(B215="",B215&lt;TODAY()),"",COUNTIFS($B$5:$B$504,"&gt;="&amp;TODAY(),$B$5:$B$504,"&lt;"&amp;B215)+COUNTIFS($B$5:B215,B215))</f>
        <v/>
      </c>
    </row>
    <row r="216" customFormat="false" ht="15" hidden="false" customHeight="false" outlineLevel="0" collapsed="false">
      <c r="A216" s="32"/>
      <c r="B216" s="27"/>
      <c r="C216" s="29"/>
      <c r="D216" s="32"/>
      <c r="E216" s="32"/>
      <c r="F216" s="32"/>
      <c r="G216" s="31"/>
      <c r="H216" s="31"/>
      <c r="I216" s="33" t="str">
        <f aca="false">IF(G216="","",G216-H216)</f>
        <v/>
      </c>
      <c r="J216" s="33" t="str">
        <f aca="false">IF(A216="","",SUMIFS(Freelancers!$E$5:$E$504,Freelancers!$B$5:$B$504,A216))</f>
        <v/>
      </c>
      <c r="K216" s="33" t="str">
        <f aca="false">IF(A216="","",SUMIFS(Gastos!$D$5:$D$504,Gastos!$E$5:$E$504,A216))</f>
        <v/>
      </c>
      <c r="L216" s="33" t="str">
        <f aca="false">IF(G216="","",G216-N(J216)-N(K216))</f>
        <v/>
      </c>
      <c r="M216" s="34" t="str">
        <f aca="false">IF(G216="","",IF(H216&gt;=G216,"Pago",IF(H216&gt;0,"Parcial","Pendente")))</f>
        <v/>
      </c>
      <c r="N216" s="32"/>
      <c r="O216" s="35" t="str">
        <f aca="true">IF(OR(B216="",B216&lt;TODAY()),"",COUNTIFS($B$5:$B$504,"&gt;="&amp;TODAY(),$B$5:$B$504,"&lt;"&amp;B216)+COUNTIFS($B$5:B216,B216))</f>
        <v/>
      </c>
    </row>
    <row r="217" customFormat="false" ht="15" hidden="false" customHeight="false" outlineLevel="0" collapsed="false">
      <c r="A217" s="32"/>
      <c r="B217" s="27"/>
      <c r="C217" s="29"/>
      <c r="D217" s="32"/>
      <c r="E217" s="32"/>
      <c r="F217" s="32"/>
      <c r="G217" s="31"/>
      <c r="H217" s="31"/>
      <c r="I217" s="33" t="str">
        <f aca="false">IF(G217="","",G217-H217)</f>
        <v/>
      </c>
      <c r="J217" s="33" t="str">
        <f aca="false">IF(A217="","",SUMIFS(Freelancers!$E$5:$E$504,Freelancers!$B$5:$B$504,A217))</f>
        <v/>
      </c>
      <c r="K217" s="33" t="str">
        <f aca="false">IF(A217="","",SUMIFS(Gastos!$D$5:$D$504,Gastos!$E$5:$E$504,A217))</f>
        <v/>
      </c>
      <c r="L217" s="33" t="str">
        <f aca="false">IF(G217="","",G217-N(J217)-N(K217))</f>
        <v/>
      </c>
      <c r="M217" s="34" t="str">
        <f aca="false">IF(G217="","",IF(H217&gt;=G217,"Pago",IF(H217&gt;0,"Parcial","Pendente")))</f>
        <v/>
      </c>
      <c r="N217" s="32"/>
      <c r="O217" s="35" t="str">
        <f aca="true">IF(OR(B217="",B217&lt;TODAY()),"",COUNTIFS($B$5:$B$504,"&gt;="&amp;TODAY(),$B$5:$B$504,"&lt;"&amp;B217)+COUNTIFS($B$5:B217,B217))</f>
        <v/>
      </c>
    </row>
    <row r="218" customFormat="false" ht="15" hidden="false" customHeight="false" outlineLevel="0" collapsed="false">
      <c r="A218" s="32"/>
      <c r="B218" s="27"/>
      <c r="C218" s="29"/>
      <c r="D218" s="32"/>
      <c r="E218" s="32"/>
      <c r="F218" s="32"/>
      <c r="G218" s="31"/>
      <c r="H218" s="31"/>
      <c r="I218" s="33" t="str">
        <f aca="false">IF(G218="","",G218-H218)</f>
        <v/>
      </c>
      <c r="J218" s="33" t="str">
        <f aca="false">IF(A218="","",SUMIFS(Freelancers!$E$5:$E$504,Freelancers!$B$5:$B$504,A218))</f>
        <v/>
      </c>
      <c r="K218" s="33" t="str">
        <f aca="false">IF(A218="","",SUMIFS(Gastos!$D$5:$D$504,Gastos!$E$5:$E$504,A218))</f>
        <v/>
      </c>
      <c r="L218" s="33" t="str">
        <f aca="false">IF(G218="","",G218-N(J218)-N(K218))</f>
        <v/>
      </c>
      <c r="M218" s="34" t="str">
        <f aca="false">IF(G218="","",IF(H218&gt;=G218,"Pago",IF(H218&gt;0,"Parcial","Pendente")))</f>
        <v/>
      </c>
      <c r="N218" s="32"/>
      <c r="O218" s="35" t="str">
        <f aca="true">IF(OR(B218="",B218&lt;TODAY()),"",COUNTIFS($B$5:$B$504,"&gt;="&amp;TODAY(),$B$5:$B$504,"&lt;"&amp;B218)+COUNTIFS($B$5:B218,B218))</f>
        <v/>
      </c>
    </row>
    <row r="219" customFormat="false" ht="15" hidden="false" customHeight="false" outlineLevel="0" collapsed="false">
      <c r="A219" s="32"/>
      <c r="B219" s="27"/>
      <c r="C219" s="29"/>
      <c r="D219" s="32"/>
      <c r="E219" s="32"/>
      <c r="F219" s="32"/>
      <c r="G219" s="31"/>
      <c r="H219" s="31"/>
      <c r="I219" s="33" t="str">
        <f aca="false">IF(G219="","",G219-H219)</f>
        <v/>
      </c>
      <c r="J219" s="33" t="str">
        <f aca="false">IF(A219="","",SUMIFS(Freelancers!$E$5:$E$504,Freelancers!$B$5:$B$504,A219))</f>
        <v/>
      </c>
      <c r="K219" s="33" t="str">
        <f aca="false">IF(A219="","",SUMIFS(Gastos!$D$5:$D$504,Gastos!$E$5:$E$504,A219))</f>
        <v/>
      </c>
      <c r="L219" s="33" t="str">
        <f aca="false">IF(G219="","",G219-N(J219)-N(K219))</f>
        <v/>
      </c>
      <c r="M219" s="34" t="str">
        <f aca="false">IF(G219="","",IF(H219&gt;=G219,"Pago",IF(H219&gt;0,"Parcial","Pendente")))</f>
        <v/>
      </c>
      <c r="N219" s="32"/>
      <c r="O219" s="35" t="str">
        <f aca="true">IF(OR(B219="",B219&lt;TODAY()),"",COUNTIFS($B$5:$B$504,"&gt;="&amp;TODAY(),$B$5:$B$504,"&lt;"&amp;B219)+COUNTIFS($B$5:B219,B219))</f>
        <v/>
      </c>
    </row>
    <row r="220" customFormat="false" ht="15" hidden="false" customHeight="false" outlineLevel="0" collapsed="false">
      <c r="A220" s="32"/>
      <c r="B220" s="27"/>
      <c r="C220" s="29"/>
      <c r="D220" s="32"/>
      <c r="E220" s="32"/>
      <c r="F220" s="32"/>
      <c r="G220" s="31"/>
      <c r="H220" s="31"/>
      <c r="I220" s="33" t="str">
        <f aca="false">IF(G220="","",G220-H220)</f>
        <v/>
      </c>
      <c r="J220" s="33" t="str">
        <f aca="false">IF(A220="","",SUMIFS(Freelancers!$E$5:$E$504,Freelancers!$B$5:$B$504,A220))</f>
        <v/>
      </c>
      <c r="K220" s="33" t="str">
        <f aca="false">IF(A220="","",SUMIFS(Gastos!$D$5:$D$504,Gastos!$E$5:$E$504,A220))</f>
        <v/>
      </c>
      <c r="L220" s="33" t="str">
        <f aca="false">IF(G220="","",G220-N(J220)-N(K220))</f>
        <v/>
      </c>
      <c r="M220" s="34" t="str">
        <f aca="false">IF(G220="","",IF(H220&gt;=G220,"Pago",IF(H220&gt;0,"Parcial","Pendente")))</f>
        <v/>
      </c>
      <c r="N220" s="32"/>
      <c r="O220" s="35" t="str">
        <f aca="true">IF(OR(B220="",B220&lt;TODAY()),"",COUNTIFS($B$5:$B$504,"&gt;="&amp;TODAY(),$B$5:$B$504,"&lt;"&amp;B220)+COUNTIFS($B$5:B220,B220))</f>
        <v/>
      </c>
    </row>
    <row r="221" customFormat="false" ht="15" hidden="false" customHeight="false" outlineLevel="0" collapsed="false">
      <c r="A221" s="32"/>
      <c r="B221" s="27"/>
      <c r="C221" s="29"/>
      <c r="D221" s="32"/>
      <c r="E221" s="32"/>
      <c r="F221" s="32"/>
      <c r="G221" s="31"/>
      <c r="H221" s="31"/>
      <c r="I221" s="33" t="str">
        <f aca="false">IF(G221="","",G221-H221)</f>
        <v/>
      </c>
      <c r="J221" s="33" t="str">
        <f aca="false">IF(A221="","",SUMIFS(Freelancers!$E$5:$E$504,Freelancers!$B$5:$B$504,A221))</f>
        <v/>
      </c>
      <c r="K221" s="33" t="str">
        <f aca="false">IF(A221="","",SUMIFS(Gastos!$D$5:$D$504,Gastos!$E$5:$E$504,A221))</f>
        <v/>
      </c>
      <c r="L221" s="33" t="str">
        <f aca="false">IF(G221="","",G221-N(J221)-N(K221))</f>
        <v/>
      </c>
      <c r="M221" s="34" t="str">
        <f aca="false">IF(G221="","",IF(H221&gt;=G221,"Pago",IF(H221&gt;0,"Parcial","Pendente")))</f>
        <v/>
      </c>
      <c r="N221" s="32"/>
      <c r="O221" s="35" t="str">
        <f aca="true">IF(OR(B221="",B221&lt;TODAY()),"",COUNTIFS($B$5:$B$504,"&gt;="&amp;TODAY(),$B$5:$B$504,"&lt;"&amp;B221)+COUNTIFS($B$5:B221,B221))</f>
        <v/>
      </c>
    </row>
    <row r="222" customFormat="false" ht="15" hidden="false" customHeight="false" outlineLevel="0" collapsed="false">
      <c r="A222" s="32"/>
      <c r="B222" s="27"/>
      <c r="C222" s="29"/>
      <c r="D222" s="32"/>
      <c r="E222" s="32"/>
      <c r="F222" s="32"/>
      <c r="G222" s="31"/>
      <c r="H222" s="31"/>
      <c r="I222" s="33" t="str">
        <f aca="false">IF(G222="","",G222-H222)</f>
        <v/>
      </c>
      <c r="J222" s="33" t="str">
        <f aca="false">IF(A222="","",SUMIFS(Freelancers!$E$5:$E$504,Freelancers!$B$5:$B$504,A222))</f>
        <v/>
      </c>
      <c r="K222" s="33" t="str">
        <f aca="false">IF(A222="","",SUMIFS(Gastos!$D$5:$D$504,Gastos!$E$5:$E$504,A222))</f>
        <v/>
      </c>
      <c r="L222" s="33" t="str">
        <f aca="false">IF(G222="","",G222-N(J222)-N(K222))</f>
        <v/>
      </c>
      <c r="M222" s="34" t="str">
        <f aca="false">IF(G222="","",IF(H222&gt;=G222,"Pago",IF(H222&gt;0,"Parcial","Pendente")))</f>
        <v/>
      </c>
      <c r="N222" s="32"/>
      <c r="O222" s="35" t="str">
        <f aca="true">IF(OR(B222="",B222&lt;TODAY()),"",COUNTIFS($B$5:$B$504,"&gt;="&amp;TODAY(),$B$5:$B$504,"&lt;"&amp;B222)+COUNTIFS($B$5:B222,B222))</f>
        <v/>
      </c>
    </row>
    <row r="223" customFormat="false" ht="15" hidden="false" customHeight="false" outlineLevel="0" collapsed="false">
      <c r="A223" s="32"/>
      <c r="B223" s="27"/>
      <c r="C223" s="29"/>
      <c r="D223" s="32"/>
      <c r="E223" s="32"/>
      <c r="F223" s="32"/>
      <c r="G223" s="31"/>
      <c r="H223" s="31"/>
      <c r="I223" s="33" t="str">
        <f aca="false">IF(G223="","",G223-H223)</f>
        <v/>
      </c>
      <c r="J223" s="33" t="str">
        <f aca="false">IF(A223="","",SUMIFS(Freelancers!$E$5:$E$504,Freelancers!$B$5:$B$504,A223))</f>
        <v/>
      </c>
      <c r="K223" s="33" t="str">
        <f aca="false">IF(A223="","",SUMIFS(Gastos!$D$5:$D$504,Gastos!$E$5:$E$504,A223))</f>
        <v/>
      </c>
      <c r="L223" s="33" t="str">
        <f aca="false">IF(G223="","",G223-N(J223)-N(K223))</f>
        <v/>
      </c>
      <c r="M223" s="34" t="str">
        <f aca="false">IF(G223="","",IF(H223&gt;=G223,"Pago",IF(H223&gt;0,"Parcial","Pendente")))</f>
        <v/>
      </c>
      <c r="N223" s="32"/>
      <c r="O223" s="35" t="str">
        <f aca="true">IF(OR(B223="",B223&lt;TODAY()),"",COUNTIFS($B$5:$B$504,"&gt;="&amp;TODAY(),$B$5:$B$504,"&lt;"&amp;B223)+COUNTIFS($B$5:B223,B223))</f>
        <v/>
      </c>
    </row>
    <row r="224" customFormat="false" ht="15" hidden="false" customHeight="false" outlineLevel="0" collapsed="false">
      <c r="A224" s="32"/>
      <c r="B224" s="27"/>
      <c r="C224" s="29"/>
      <c r="D224" s="32"/>
      <c r="E224" s="32"/>
      <c r="F224" s="32"/>
      <c r="G224" s="31"/>
      <c r="H224" s="31"/>
      <c r="I224" s="33" t="str">
        <f aca="false">IF(G224="","",G224-H224)</f>
        <v/>
      </c>
      <c r="J224" s="33" t="str">
        <f aca="false">IF(A224="","",SUMIFS(Freelancers!$E$5:$E$504,Freelancers!$B$5:$B$504,A224))</f>
        <v/>
      </c>
      <c r="K224" s="33" t="str">
        <f aca="false">IF(A224="","",SUMIFS(Gastos!$D$5:$D$504,Gastos!$E$5:$E$504,A224))</f>
        <v/>
      </c>
      <c r="L224" s="33" t="str">
        <f aca="false">IF(G224="","",G224-N(J224)-N(K224))</f>
        <v/>
      </c>
      <c r="M224" s="34" t="str">
        <f aca="false">IF(G224="","",IF(H224&gt;=G224,"Pago",IF(H224&gt;0,"Parcial","Pendente")))</f>
        <v/>
      </c>
      <c r="N224" s="32"/>
      <c r="O224" s="35" t="str">
        <f aca="true">IF(OR(B224="",B224&lt;TODAY()),"",COUNTIFS($B$5:$B$504,"&gt;="&amp;TODAY(),$B$5:$B$504,"&lt;"&amp;B224)+COUNTIFS($B$5:B224,B224))</f>
        <v/>
      </c>
    </row>
    <row r="225" customFormat="false" ht="15" hidden="false" customHeight="false" outlineLevel="0" collapsed="false">
      <c r="A225" s="32"/>
      <c r="B225" s="27"/>
      <c r="C225" s="29"/>
      <c r="D225" s="32"/>
      <c r="E225" s="32"/>
      <c r="F225" s="32"/>
      <c r="G225" s="31"/>
      <c r="H225" s="31"/>
      <c r="I225" s="33" t="str">
        <f aca="false">IF(G225="","",G225-H225)</f>
        <v/>
      </c>
      <c r="J225" s="33" t="str">
        <f aca="false">IF(A225="","",SUMIFS(Freelancers!$E$5:$E$504,Freelancers!$B$5:$B$504,A225))</f>
        <v/>
      </c>
      <c r="K225" s="33" t="str">
        <f aca="false">IF(A225="","",SUMIFS(Gastos!$D$5:$D$504,Gastos!$E$5:$E$504,A225))</f>
        <v/>
      </c>
      <c r="L225" s="33" t="str">
        <f aca="false">IF(G225="","",G225-N(J225)-N(K225))</f>
        <v/>
      </c>
      <c r="M225" s="34" t="str">
        <f aca="false">IF(G225="","",IF(H225&gt;=G225,"Pago",IF(H225&gt;0,"Parcial","Pendente")))</f>
        <v/>
      </c>
      <c r="N225" s="32"/>
      <c r="O225" s="35" t="str">
        <f aca="true">IF(OR(B225="",B225&lt;TODAY()),"",COUNTIFS($B$5:$B$504,"&gt;="&amp;TODAY(),$B$5:$B$504,"&lt;"&amp;B225)+COUNTIFS($B$5:B225,B225))</f>
        <v/>
      </c>
    </row>
    <row r="226" customFormat="false" ht="15" hidden="false" customHeight="false" outlineLevel="0" collapsed="false">
      <c r="A226" s="32"/>
      <c r="B226" s="27"/>
      <c r="C226" s="29"/>
      <c r="D226" s="32"/>
      <c r="E226" s="32"/>
      <c r="F226" s="32"/>
      <c r="G226" s="31"/>
      <c r="H226" s="31"/>
      <c r="I226" s="33" t="str">
        <f aca="false">IF(G226="","",G226-H226)</f>
        <v/>
      </c>
      <c r="J226" s="33" t="str">
        <f aca="false">IF(A226="","",SUMIFS(Freelancers!$E$5:$E$504,Freelancers!$B$5:$B$504,A226))</f>
        <v/>
      </c>
      <c r="K226" s="33" t="str">
        <f aca="false">IF(A226="","",SUMIFS(Gastos!$D$5:$D$504,Gastos!$E$5:$E$504,A226))</f>
        <v/>
      </c>
      <c r="L226" s="33" t="str">
        <f aca="false">IF(G226="","",G226-N(J226)-N(K226))</f>
        <v/>
      </c>
      <c r="M226" s="34" t="str">
        <f aca="false">IF(G226="","",IF(H226&gt;=G226,"Pago",IF(H226&gt;0,"Parcial","Pendente")))</f>
        <v/>
      </c>
      <c r="N226" s="32"/>
      <c r="O226" s="35" t="str">
        <f aca="true">IF(OR(B226="",B226&lt;TODAY()),"",COUNTIFS($B$5:$B$504,"&gt;="&amp;TODAY(),$B$5:$B$504,"&lt;"&amp;B226)+COUNTIFS($B$5:B226,B226))</f>
        <v/>
      </c>
    </row>
    <row r="227" customFormat="false" ht="15" hidden="false" customHeight="false" outlineLevel="0" collapsed="false">
      <c r="A227" s="32"/>
      <c r="B227" s="27"/>
      <c r="C227" s="29"/>
      <c r="D227" s="32"/>
      <c r="E227" s="32"/>
      <c r="F227" s="32"/>
      <c r="G227" s="31"/>
      <c r="H227" s="31"/>
      <c r="I227" s="33" t="str">
        <f aca="false">IF(G227="","",G227-H227)</f>
        <v/>
      </c>
      <c r="J227" s="33" t="str">
        <f aca="false">IF(A227="","",SUMIFS(Freelancers!$E$5:$E$504,Freelancers!$B$5:$B$504,A227))</f>
        <v/>
      </c>
      <c r="K227" s="33" t="str">
        <f aca="false">IF(A227="","",SUMIFS(Gastos!$D$5:$D$504,Gastos!$E$5:$E$504,A227))</f>
        <v/>
      </c>
      <c r="L227" s="33" t="str">
        <f aca="false">IF(G227="","",G227-N(J227)-N(K227))</f>
        <v/>
      </c>
      <c r="M227" s="34" t="str">
        <f aca="false">IF(G227="","",IF(H227&gt;=G227,"Pago",IF(H227&gt;0,"Parcial","Pendente")))</f>
        <v/>
      </c>
      <c r="N227" s="32"/>
      <c r="O227" s="35" t="str">
        <f aca="true">IF(OR(B227="",B227&lt;TODAY()),"",COUNTIFS($B$5:$B$504,"&gt;="&amp;TODAY(),$B$5:$B$504,"&lt;"&amp;B227)+COUNTIFS($B$5:B227,B227))</f>
        <v/>
      </c>
    </row>
    <row r="228" customFormat="false" ht="15" hidden="false" customHeight="false" outlineLevel="0" collapsed="false">
      <c r="A228" s="32"/>
      <c r="B228" s="27"/>
      <c r="C228" s="29"/>
      <c r="D228" s="32"/>
      <c r="E228" s="32"/>
      <c r="F228" s="32"/>
      <c r="G228" s="31"/>
      <c r="H228" s="31"/>
      <c r="I228" s="33" t="str">
        <f aca="false">IF(G228="","",G228-H228)</f>
        <v/>
      </c>
      <c r="J228" s="33" t="str">
        <f aca="false">IF(A228="","",SUMIFS(Freelancers!$E$5:$E$504,Freelancers!$B$5:$B$504,A228))</f>
        <v/>
      </c>
      <c r="K228" s="33" t="str">
        <f aca="false">IF(A228="","",SUMIFS(Gastos!$D$5:$D$504,Gastos!$E$5:$E$504,A228))</f>
        <v/>
      </c>
      <c r="L228" s="33" t="str">
        <f aca="false">IF(G228="","",G228-N(J228)-N(K228))</f>
        <v/>
      </c>
      <c r="M228" s="34" t="str">
        <f aca="false">IF(G228="","",IF(H228&gt;=G228,"Pago",IF(H228&gt;0,"Parcial","Pendente")))</f>
        <v/>
      </c>
      <c r="N228" s="32"/>
      <c r="O228" s="35" t="str">
        <f aca="true">IF(OR(B228="",B228&lt;TODAY()),"",COUNTIFS($B$5:$B$504,"&gt;="&amp;TODAY(),$B$5:$B$504,"&lt;"&amp;B228)+COUNTIFS($B$5:B228,B228))</f>
        <v/>
      </c>
    </row>
    <row r="229" customFormat="false" ht="15" hidden="false" customHeight="false" outlineLevel="0" collapsed="false">
      <c r="A229" s="32"/>
      <c r="B229" s="27"/>
      <c r="C229" s="29"/>
      <c r="D229" s="32"/>
      <c r="E229" s="32"/>
      <c r="F229" s="32"/>
      <c r="G229" s="31"/>
      <c r="H229" s="31"/>
      <c r="I229" s="33" t="str">
        <f aca="false">IF(G229="","",G229-H229)</f>
        <v/>
      </c>
      <c r="J229" s="33" t="str">
        <f aca="false">IF(A229="","",SUMIFS(Freelancers!$E$5:$E$504,Freelancers!$B$5:$B$504,A229))</f>
        <v/>
      </c>
      <c r="K229" s="33" t="str">
        <f aca="false">IF(A229="","",SUMIFS(Gastos!$D$5:$D$504,Gastos!$E$5:$E$504,A229))</f>
        <v/>
      </c>
      <c r="L229" s="33" t="str">
        <f aca="false">IF(G229="","",G229-N(J229)-N(K229))</f>
        <v/>
      </c>
      <c r="M229" s="34" t="str">
        <f aca="false">IF(G229="","",IF(H229&gt;=G229,"Pago",IF(H229&gt;0,"Parcial","Pendente")))</f>
        <v/>
      </c>
      <c r="N229" s="32"/>
      <c r="O229" s="35" t="str">
        <f aca="true">IF(OR(B229="",B229&lt;TODAY()),"",COUNTIFS($B$5:$B$504,"&gt;="&amp;TODAY(),$B$5:$B$504,"&lt;"&amp;B229)+COUNTIFS($B$5:B229,B229))</f>
        <v/>
      </c>
    </row>
    <row r="230" customFormat="false" ht="15" hidden="false" customHeight="false" outlineLevel="0" collapsed="false">
      <c r="A230" s="32"/>
      <c r="B230" s="27"/>
      <c r="C230" s="29"/>
      <c r="D230" s="32"/>
      <c r="E230" s="32"/>
      <c r="F230" s="32"/>
      <c r="G230" s="31"/>
      <c r="H230" s="31"/>
      <c r="I230" s="33" t="str">
        <f aca="false">IF(G230="","",G230-H230)</f>
        <v/>
      </c>
      <c r="J230" s="33" t="str">
        <f aca="false">IF(A230="","",SUMIFS(Freelancers!$E$5:$E$504,Freelancers!$B$5:$B$504,A230))</f>
        <v/>
      </c>
      <c r="K230" s="33" t="str">
        <f aca="false">IF(A230="","",SUMIFS(Gastos!$D$5:$D$504,Gastos!$E$5:$E$504,A230))</f>
        <v/>
      </c>
      <c r="L230" s="33" t="str">
        <f aca="false">IF(G230="","",G230-N(J230)-N(K230))</f>
        <v/>
      </c>
      <c r="M230" s="34" t="str">
        <f aca="false">IF(G230="","",IF(H230&gt;=G230,"Pago",IF(H230&gt;0,"Parcial","Pendente")))</f>
        <v/>
      </c>
      <c r="N230" s="32"/>
      <c r="O230" s="35" t="str">
        <f aca="true">IF(OR(B230="",B230&lt;TODAY()),"",COUNTIFS($B$5:$B$504,"&gt;="&amp;TODAY(),$B$5:$B$504,"&lt;"&amp;B230)+COUNTIFS($B$5:B230,B230))</f>
        <v/>
      </c>
    </row>
    <row r="231" customFormat="false" ht="15" hidden="false" customHeight="false" outlineLevel="0" collapsed="false">
      <c r="A231" s="32"/>
      <c r="B231" s="27"/>
      <c r="C231" s="29"/>
      <c r="D231" s="32"/>
      <c r="E231" s="32"/>
      <c r="F231" s="32"/>
      <c r="G231" s="31"/>
      <c r="H231" s="31"/>
      <c r="I231" s="33" t="str">
        <f aca="false">IF(G231="","",G231-H231)</f>
        <v/>
      </c>
      <c r="J231" s="33" t="str">
        <f aca="false">IF(A231="","",SUMIFS(Freelancers!$E$5:$E$504,Freelancers!$B$5:$B$504,A231))</f>
        <v/>
      </c>
      <c r="K231" s="33" t="str">
        <f aca="false">IF(A231="","",SUMIFS(Gastos!$D$5:$D$504,Gastos!$E$5:$E$504,A231))</f>
        <v/>
      </c>
      <c r="L231" s="33" t="str">
        <f aca="false">IF(G231="","",G231-N(J231)-N(K231))</f>
        <v/>
      </c>
      <c r="M231" s="34" t="str">
        <f aca="false">IF(G231="","",IF(H231&gt;=G231,"Pago",IF(H231&gt;0,"Parcial","Pendente")))</f>
        <v/>
      </c>
      <c r="N231" s="32"/>
      <c r="O231" s="35" t="str">
        <f aca="true">IF(OR(B231="",B231&lt;TODAY()),"",COUNTIFS($B$5:$B$504,"&gt;="&amp;TODAY(),$B$5:$B$504,"&lt;"&amp;B231)+COUNTIFS($B$5:B231,B231))</f>
        <v/>
      </c>
    </row>
    <row r="232" customFormat="false" ht="15" hidden="false" customHeight="false" outlineLevel="0" collapsed="false">
      <c r="A232" s="32"/>
      <c r="B232" s="27"/>
      <c r="C232" s="29"/>
      <c r="D232" s="32"/>
      <c r="E232" s="32"/>
      <c r="F232" s="32"/>
      <c r="G232" s="31"/>
      <c r="H232" s="31"/>
      <c r="I232" s="33" t="str">
        <f aca="false">IF(G232="","",G232-H232)</f>
        <v/>
      </c>
      <c r="J232" s="33" t="str">
        <f aca="false">IF(A232="","",SUMIFS(Freelancers!$E$5:$E$504,Freelancers!$B$5:$B$504,A232))</f>
        <v/>
      </c>
      <c r="K232" s="33" t="str">
        <f aca="false">IF(A232="","",SUMIFS(Gastos!$D$5:$D$504,Gastos!$E$5:$E$504,A232))</f>
        <v/>
      </c>
      <c r="L232" s="33" t="str">
        <f aca="false">IF(G232="","",G232-N(J232)-N(K232))</f>
        <v/>
      </c>
      <c r="M232" s="34" t="str">
        <f aca="false">IF(G232="","",IF(H232&gt;=G232,"Pago",IF(H232&gt;0,"Parcial","Pendente")))</f>
        <v/>
      </c>
      <c r="N232" s="32"/>
      <c r="O232" s="35" t="str">
        <f aca="true">IF(OR(B232="",B232&lt;TODAY()),"",COUNTIFS($B$5:$B$504,"&gt;="&amp;TODAY(),$B$5:$B$504,"&lt;"&amp;B232)+COUNTIFS($B$5:B232,B232))</f>
        <v/>
      </c>
    </row>
    <row r="233" customFormat="false" ht="15" hidden="false" customHeight="false" outlineLevel="0" collapsed="false">
      <c r="A233" s="32"/>
      <c r="B233" s="27"/>
      <c r="C233" s="29"/>
      <c r="D233" s="32"/>
      <c r="E233" s="32"/>
      <c r="F233" s="32"/>
      <c r="G233" s="31"/>
      <c r="H233" s="31"/>
      <c r="I233" s="33" t="str">
        <f aca="false">IF(G233="","",G233-H233)</f>
        <v/>
      </c>
      <c r="J233" s="33" t="str">
        <f aca="false">IF(A233="","",SUMIFS(Freelancers!$E$5:$E$504,Freelancers!$B$5:$B$504,A233))</f>
        <v/>
      </c>
      <c r="K233" s="33" t="str">
        <f aca="false">IF(A233="","",SUMIFS(Gastos!$D$5:$D$504,Gastos!$E$5:$E$504,A233))</f>
        <v/>
      </c>
      <c r="L233" s="33" t="str">
        <f aca="false">IF(G233="","",G233-N(J233)-N(K233))</f>
        <v/>
      </c>
      <c r="M233" s="34" t="str">
        <f aca="false">IF(G233="","",IF(H233&gt;=G233,"Pago",IF(H233&gt;0,"Parcial","Pendente")))</f>
        <v/>
      </c>
      <c r="N233" s="32"/>
      <c r="O233" s="35" t="str">
        <f aca="true">IF(OR(B233="",B233&lt;TODAY()),"",COUNTIFS($B$5:$B$504,"&gt;="&amp;TODAY(),$B$5:$B$504,"&lt;"&amp;B233)+COUNTIFS($B$5:B233,B233))</f>
        <v/>
      </c>
    </row>
    <row r="234" customFormat="false" ht="15" hidden="false" customHeight="false" outlineLevel="0" collapsed="false">
      <c r="A234" s="32"/>
      <c r="B234" s="27"/>
      <c r="C234" s="29"/>
      <c r="D234" s="32"/>
      <c r="E234" s="32"/>
      <c r="F234" s="32"/>
      <c r="G234" s="31"/>
      <c r="H234" s="31"/>
      <c r="I234" s="33" t="str">
        <f aca="false">IF(G234="","",G234-H234)</f>
        <v/>
      </c>
      <c r="J234" s="33" t="str">
        <f aca="false">IF(A234="","",SUMIFS(Freelancers!$E$5:$E$504,Freelancers!$B$5:$B$504,A234))</f>
        <v/>
      </c>
      <c r="K234" s="33" t="str">
        <f aca="false">IF(A234="","",SUMIFS(Gastos!$D$5:$D$504,Gastos!$E$5:$E$504,A234))</f>
        <v/>
      </c>
      <c r="L234" s="33" t="str">
        <f aca="false">IF(G234="","",G234-N(J234)-N(K234))</f>
        <v/>
      </c>
      <c r="M234" s="34" t="str">
        <f aca="false">IF(G234="","",IF(H234&gt;=G234,"Pago",IF(H234&gt;0,"Parcial","Pendente")))</f>
        <v/>
      </c>
      <c r="N234" s="32"/>
      <c r="O234" s="35" t="str">
        <f aca="true">IF(OR(B234="",B234&lt;TODAY()),"",COUNTIFS($B$5:$B$504,"&gt;="&amp;TODAY(),$B$5:$B$504,"&lt;"&amp;B234)+COUNTIFS($B$5:B234,B234))</f>
        <v/>
      </c>
    </row>
    <row r="235" customFormat="false" ht="15" hidden="false" customHeight="false" outlineLevel="0" collapsed="false">
      <c r="A235" s="32"/>
      <c r="B235" s="27"/>
      <c r="C235" s="29"/>
      <c r="D235" s="32"/>
      <c r="E235" s="32"/>
      <c r="F235" s="32"/>
      <c r="G235" s="31"/>
      <c r="H235" s="31"/>
      <c r="I235" s="33" t="str">
        <f aca="false">IF(G235="","",G235-H235)</f>
        <v/>
      </c>
      <c r="J235" s="33" t="str">
        <f aca="false">IF(A235="","",SUMIFS(Freelancers!$E$5:$E$504,Freelancers!$B$5:$B$504,A235))</f>
        <v/>
      </c>
      <c r="K235" s="33" t="str">
        <f aca="false">IF(A235="","",SUMIFS(Gastos!$D$5:$D$504,Gastos!$E$5:$E$504,A235))</f>
        <v/>
      </c>
      <c r="L235" s="33" t="str">
        <f aca="false">IF(G235="","",G235-N(J235)-N(K235))</f>
        <v/>
      </c>
      <c r="M235" s="34" t="str">
        <f aca="false">IF(G235="","",IF(H235&gt;=G235,"Pago",IF(H235&gt;0,"Parcial","Pendente")))</f>
        <v/>
      </c>
      <c r="N235" s="32"/>
      <c r="O235" s="35" t="str">
        <f aca="true">IF(OR(B235="",B235&lt;TODAY()),"",COUNTIFS($B$5:$B$504,"&gt;="&amp;TODAY(),$B$5:$B$504,"&lt;"&amp;B235)+COUNTIFS($B$5:B235,B235))</f>
        <v/>
      </c>
    </row>
    <row r="236" customFormat="false" ht="15" hidden="false" customHeight="false" outlineLevel="0" collapsed="false">
      <c r="A236" s="32"/>
      <c r="B236" s="27"/>
      <c r="C236" s="29"/>
      <c r="D236" s="32"/>
      <c r="E236" s="32"/>
      <c r="F236" s="32"/>
      <c r="G236" s="31"/>
      <c r="H236" s="31"/>
      <c r="I236" s="33" t="str">
        <f aca="false">IF(G236="","",G236-H236)</f>
        <v/>
      </c>
      <c r="J236" s="33" t="str">
        <f aca="false">IF(A236="","",SUMIFS(Freelancers!$E$5:$E$504,Freelancers!$B$5:$B$504,A236))</f>
        <v/>
      </c>
      <c r="K236" s="33" t="str">
        <f aca="false">IF(A236="","",SUMIFS(Gastos!$D$5:$D$504,Gastos!$E$5:$E$504,A236))</f>
        <v/>
      </c>
      <c r="L236" s="33" t="str">
        <f aca="false">IF(G236="","",G236-N(J236)-N(K236))</f>
        <v/>
      </c>
      <c r="M236" s="34" t="str">
        <f aca="false">IF(G236="","",IF(H236&gt;=G236,"Pago",IF(H236&gt;0,"Parcial","Pendente")))</f>
        <v/>
      </c>
      <c r="N236" s="32"/>
      <c r="O236" s="35" t="str">
        <f aca="true">IF(OR(B236="",B236&lt;TODAY()),"",COUNTIFS($B$5:$B$504,"&gt;="&amp;TODAY(),$B$5:$B$504,"&lt;"&amp;B236)+COUNTIFS($B$5:B236,B236))</f>
        <v/>
      </c>
    </row>
    <row r="237" customFormat="false" ht="15" hidden="false" customHeight="false" outlineLevel="0" collapsed="false">
      <c r="A237" s="32"/>
      <c r="B237" s="27"/>
      <c r="C237" s="29"/>
      <c r="D237" s="32"/>
      <c r="E237" s="32"/>
      <c r="F237" s="32"/>
      <c r="G237" s="31"/>
      <c r="H237" s="31"/>
      <c r="I237" s="33" t="str">
        <f aca="false">IF(G237="","",G237-H237)</f>
        <v/>
      </c>
      <c r="J237" s="33" t="str">
        <f aca="false">IF(A237="","",SUMIFS(Freelancers!$E$5:$E$504,Freelancers!$B$5:$B$504,A237))</f>
        <v/>
      </c>
      <c r="K237" s="33" t="str">
        <f aca="false">IF(A237="","",SUMIFS(Gastos!$D$5:$D$504,Gastos!$E$5:$E$504,A237))</f>
        <v/>
      </c>
      <c r="L237" s="33" t="str">
        <f aca="false">IF(G237="","",G237-N(J237)-N(K237))</f>
        <v/>
      </c>
      <c r="M237" s="34" t="str">
        <f aca="false">IF(G237="","",IF(H237&gt;=G237,"Pago",IF(H237&gt;0,"Parcial","Pendente")))</f>
        <v/>
      </c>
      <c r="N237" s="32"/>
      <c r="O237" s="35" t="str">
        <f aca="true">IF(OR(B237="",B237&lt;TODAY()),"",COUNTIFS($B$5:$B$504,"&gt;="&amp;TODAY(),$B$5:$B$504,"&lt;"&amp;B237)+COUNTIFS($B$5:B237,B237))</f>
        <v/>
      </c>
    </row>
    <row r="238" customFormat="false" ht="15" hidden="false" customHeight="false" outlineLevel="0" collapsed="false">
      <c r="A238" s="32"/>
      <c r="B238" s="27"/>
      <c r="C238" s="29"/>
      <c r="D238" s="32"/>
      <c r="E238" s="32"/>
      <c r="F238" s="32"/>
      <c r="G238" s="31"/>
      <c r="H238" s="31"/>
      <c r="I238" s="33" t="str">
        <f aca="false">IF(G238="","",G238-H238)</f>
        <v/>
      </c>
      <c r="J238" s="33" t="str">
        <f aca="false">IF(A238="","",SUMIFS(Freelancers!$E$5:$E$504,Freelancers!$B$5:$B$504,A238))</f>
        <v/>
      </c>
      <c r="K238" s="33" t="str">
        <f aca="false">IF(A238="","",SUMIFS(Gastos!$D$5:$D$504,Gastos!$E$5:$E$504,A238))</f>
        <v/>
      </c>
      <c r="L238" s="33" t="str">
        <f aca="false">IF(G238="","",G238-N(J238)-N(K238))</f>
        <v/>
      </c>
      <c r="M238" s="34" t="str">
        <f aca="false">IF(G238="","",IF(H238&gt;=G238,"Pago",IF(H238&gt;0,"Parcial","Pendente")))</f>
        <v/>
      </c>
      <c r="N238" s="32"/>
      <c r="O238" s="35" t="str">
        <f aca="true">IF(OR(B238="",B238&lt;TODAY()),"",COUNTIFS($B$5:$B$504,"&gt;="&amp;TODAY(),$B$5:$B$504,"&lt;"&amp;B238)+COUNTIFS($B$5:B238,B238))</f>
        <v/>
      </c>
    </row>
    <row r="239" customFormat="false" ht="15" hidden="false" customHeight="false" outlineLevel="0" collapsed="false">
      <c r="A239" s="32"/>
      <c r="B239" s="27"/>
      <c r="C239" s="29"/>
      <c r="D239" s="32"/>
      <c r="E239" s="32"/>
      <c r="F239" s="32"/>
      <c r="G239" s="31"/>
      <c r="H239" s="31"/>
      <c r="I239" s="33" t="str">
        <f aca="false">IF(G239="","",G239-H239)</f>
        <v/>
      </c>
      <c r="J239" s="33" t="str">
        <f aca="false">IF(A239="","",SUMIFS(Freelancers!$E$5:$E$504,Freelancers!$B$5:$B$504,A239))</f>
        <v/>
      </c>
      <c r="K239" s="33" t="str">
        <f aca="false">IF(A239="","",SUMIFS(Gastos!$D$5:$D$504,Gastos!$E$5:$E$504,A239))</f>
        <v/>
      </c>
      <c r="L239" s="33" t="str">
        <f aca="false">IF(G239="","",G239-N(J239)-N(K239))</f>
        <v/>
      </c>
      <c r="M239" s="34" t="str">
        <f aca="false">IF(G239="","",IF(H239&gt;=G239,"Pago",IF(H239&gt;0,"Parcial","Pendente")))</f>
        <v/>
      </c>
      <c r="N239" s="32"/>
      <c r="O239" s="35" t="str">
        <f aca="true">IF(OR(B239="",B239&lt;TODAY()),"",COUNTIFS($B$5:$B$504,"&gt;="&amp;TODAY(),$B$5:$B$504,"&lt;"&amp;B239)+COUNTIFS($B$5:B239,B239))</f>
        <v/>
      </c>
    </row>
    <row r="240" customFormat="false" ht="15" hidden="false" customHeight="false" outlineLevel="0" collapsed="false">
      <c r="A240" s="32"/>
      <c r="B240" s="27"/>
      <c r="C240" s="29"/>
      <c r="D240" s="32"/>
      <c r="E240" s="32"/>
      <c r="F240" s="32"/>
      <c r="G240" s="31"/>
      <c r="H240" s="31"/>
      <c r="I240" s="33" t="str">
        <f aca="false">IF(G240="","",G240-H240)</f>
        <v/>
      </c>
      <c r="J240" s="33" t="str">
        <f aca="false">IF(A240="","",SUMIFS(Freelancers!$E$5:$E$504,Freelancers!$B$5:$B$504,A240))</f>
        <v/>
      </c>
      <c r="K240" s="33" t="str">
        <f aca="false">IF(A240="","",SUMIFS(Gastos!$D$5:$D$504,Gastos!$E$5:$E$504,A240))</f>
        <v/>
      </c>
      <c r="L240" s="33" t="str">
        <f aca="false">IF(G240="","",G240-N(J240)-N(K240))</f>
        <v/>
      </c>
      <c r="M240" s="34" t="str">
        <f aca="false">IF(G240="","",IF(H240&gt;=G240,"Pago",IF(H240&gt;0,"Parcial","Pendente")))</f>
        <v/>
      </c>
      <c r="N240" s="32"/>
      <c r="O240" s="35" t="str">
        <f aca="true">IF(OR(B240="",B240&lt;TODAY()),"",COUNTIFS($B$5:$B$504,"&gt;="&amp;TODAY(),$B$5:$B$504,"&lt;"&amp;B240)+COUNTIFS($B$5:B240,B240))</f>
        <v/>
      </c>
    </row>
    <row r="241" customFormat="false" ht="15" hidden="false" customHeight="false" outlineLevel="0" collapsed="false">
      <c r="A241" s="32"/>
      <c r="B241" s="27"/>
      <c r="C241" s="29"/>
      <c r="D241" s="32"/>
      <c r="E241" s="32"/>
      <c r="F241" s="32"/>
      <c r="G241" s="31"/>
      <c r="H241" s="31"/>
      <c r="I241" s="33" t="str">
        <f aca="false">IF(G241="","",G241-H241)</f>
        <v/>
      </c>
      <c r="J241" s="33" t="str">
        <f aca="false">IF(A241="","",SUMIFS(Freelancers!$E$5:$E$504,Freelancers!$B$5:$B$504,A241))</f>
        <v/>
      </c>
      <c r="K241" s="33" t="str">
        <f aca="false">IF(A241="","",SUMIFS(Gastos!$D$5:$D$504,Gastos!$E$5:$E$504,A241))</f>
        <v/>
      </c>
      <c r="L241" s="33" t="str">
        <f aca="false">IF(G241="","",G241-N(J241)-N(K241))</f>
        <v/>
      </c>
      <c r="M241" s="34" t="str">
        <f aca="false">IF(G241="","",IF(H241&gt;=G241,"Pago",IF(H241&gt;0,"Parcial","Pendente")))</f>
        <v/>
      </c>
      <c r="N241" s="32"/>
      <c r="O241" s="35" t="str">
        <f aca="true">IF(OR(B241="",B241&lt;TODAY()),"",COUNTIFS($B$5:$B$504,"&gt;="&amp;TODAY(),$B$5:$B$504,"&lt;"&amp;B241)+COUNTIFS($B$5:B241,B241))</f>
        <v/>
      </c>
    </row>
    <row r="242" customFormat="false" ht="15" hidden="false" customHeight="false" outlineLevel="0" collapsed="false">
      <c r="A242" s="32"/>
      <c r="B242" s="27"/>
      <c r="C242" s="29"/>
      <c r="D242" s="32"/>
      <c r="E242" s="32"/>
      <c r="F242" s="32"/>
      <c r="G242" s="31"/>
      <c r="H242" s="31"/>
      <c r="I242" s="33" t="str">
        <f aca="false">IF(G242="","",G242-H242)</f>
        <v/>
      </c>
      <c r="J242" s="33" t="str">
        <f aca="false">IF(A242="","",SUMIFS(Freelancers!$E$5:$E$504,Freelancers!$B$5:$B$504,A242))</f>
        <v/>
      </c>
      <c r="K242" s="33" t="str">
        <f aca="false">IF(A242="","",SUMIFS(Gastos!$D$5:$D$504,Gastos!$E$5:$E$504,A242))</f>
        <v/>
      </c>
      <c r="L242" s="33" t="str">
        <f aca="false">IF(G242="","",G242-N(J242)-N(K242))</f>
        <v/>
      </c>
      <c r="M242" s="34" t="str">
        <f aca="false">IF(G242="","",IF(H242&gt;=G242,"Pago",IF(H242&gt;0,"Parcial","Pendente")))</f>
        <v/>
      </c>
      <c r="N242" s="32"/>
      <c r="O242" s="35" t="str">
        <f aca="true">IF(OR(B242="",B242&lt;TODAY()),"",COUNTIFS($B$5:$B$504,"&gt;="&amp;TODAY(),$B$5:$B$504,"&lt;"&amp;B242)+COUNTIFS($B$5:B242,B242))</f>
        <v/>
      </c>
    </row>
    <row r="243" customFormat="false" ht="15" hidden="false" customHeight="false" outlineLevel="0" collapsed="false">
      <c r="A243" s="32"/>
      <c r="B243" s="27"/>
      <c r="C243" s="29"/>
      <c r="D243" s="32"/>
      <c r="E243" s="32"/>
      <c r="F243" s="32"/>
      <c r="G243" s="31"/>
      <c r="H243" s="31"/>
      <c r="I243" s="33" t="str">
        <f aca="false">IF(G243="","",G243-H243)</f>
        <v/>
      </c>
      <c r="J243" s="33" t="str">
        <f aca="false">IF(A243="","",SUMIFS(Freelancers!$E$5:$E$504,Freelancers!$B$5:$B$504,A243))</f>
        <v/>
      </c>
      <c r="K243" s="33" t="str">
        <f aca="false">IF(A243="","",SUMIFS(Gastos!$D$5:$D$504,Gastos!$E$5:$E$504,A243))</f>
        <v/>
      </c>
      <c r="L243" s="33" t="str">
        <f aca="false">IF(G243="","",G243-N(J243)-N(K243))</f>
        <v/>
      </c>
      <c r="M243" s="34" t="str">
        <f aca="false">IF(G243="","",IF(H243&gt;=G243,"Pago",IF(H243&gt;0,"Parcial","Pendente")))</f>
        <v/>
      </c>
      <c r="N243" s="32"/>
      <c r="O243" s="35" t="str">
        <f aca="true">IF(OR(B243="",B243&lt;TODAY()),"",COUNTIFS($B$5:$B$504,"&gt;="&amp;TODAY(),$B$5:$B$504,"&lt;"&amp;B243)+COUNTIFS($B$5:B243,B243))</f>
        <v/>
      </c>
    </row>
    <row r="244" customFormat="false" ht="15" hidden="false" customHeight="false" outlineLevel="0" collapsed="false">
      <c r="A244" s="32"/>
      <c r="B244" s="27"/>
      <c r="C244" s="29"/>
      <c r="D244" s="32"/>
      <c r="E244" s="32"/>
      <c r="F244" s="32"/>
      <c r="G244" s="31"/>
      <c r="H244" s="31"/>
      <c r="I244" s="33" t="str">
        <f aca="false">IF(G244="","",G244-H244)</f>
        <v/>
      </c>
      <c r="J244" s="33" t="str">
        <f aca="false">IF(A244="","",SUMIFS(Freelancers!$E$5:$E$504,Freelancers!$B$5:$B$504,A244))</f>
        <v/>
      </c>
      <c r="K244" s="33" t="str">
        <f aca="false">IF(A244="","",SUMIFS(Gastos!$D$5:$D$504,Gastos!$E$5:$E$504,A244))</f>
        <v/>
      </c>
      <c r="L244" s="33" t="str">
        <f aca="false">IF(G244="","",G244-N(J244)-N(K244))</f>
        <v/>
      </c>
      <c r="M244" s="34" t="str">
        <f aca="false">IF(G244="","",IF(H244&gt;=G244,"Pago",IF(H244&gt;0,"Parcial","Pendente")))</f>
        <v/>
      </c>
      <c r="N244" s="32"/>
      <c r="O244" s="35" t="str">
        <f aca="true">IF(OR(B244="",B244&lt;TODAY()),"",COUNTIFS($B$5:$B$504,"&gt;="&amp;TODAY(),$B$5:$B$504,"&lt;"&amp;B244)+COUNTIFS($B$5:B244,B244))</f>
        <v/>
      </c>
    </row>
    <row r="245" customFormat="false" ht="15" hidden="false" customHeight="false" outlineLevel="0" collapsed="false">
      <c r="A245" s="32"/>
      <c r="B245" s="27"/>
      <c r="C245" s="29"/>
      <c r="D245" s="32"/>
      <c r="E245" s="32"/>
      <c r="F245" s="32"/>
      <c r="G245" s="31"/>
      <c r="H245" s="31"/>
      <c r="I245" s="33" t="str">
        <f aca="false">IF(G245="","",G245-H245)</f>
        <v/>
      </c>
      <c r="J245" s="33" t="str">
        <f aca="false">IF(A245="","",SUMIFS(Freelancers!$E$5:$E$504,Freelancers!$B$5:$B$504,A245))</f>
        <v/>
      </c>
      <c r="K245" s="33" t="str">
        <f aca="false">IF(A245="","",SUMIFS(Gastos!$D$5:$D$504,Gastos!$E$5:$E$504,A245))</f>
        <v/>
      </c>
      <c r="L245" s="33" t="str">
        <f aca="false">IF(G245="","",G245-N(J245)-N(K245))</f>
        <v/>
      </c>
      <c r="M245" s="34" t="str">
        <f aca="false">IF(G245="","",IF(H245&gt;=G245,"Pago",IF(H245&gt;0,"Parcial","Pendente")))</f>
        <v/>
      </c>
      <c r="N245" s="32"/>
      <c r="O245" s="35" t="str">
        <f aca="true">IF(OR(B245="",B245&lt;TODAY()),"",COUNTIFS($B$5:$B$504,"&gt;="&amp;TODAY(),$B$5:$B$504,"&lt;"&amp;B245)+COUNTIFS($B$5:B245,B245))</f>
        <v/>
      </c>
    </row>
    <row r="246" customFormat="false" ht="15" hidden="false" customHeight="false" outlineLevel="0" collapsed="false">
      <c r="A246" s="32"/>
      <c r="B246" s="27"/>
      <c r="C246" s="29"/>
      <c r="D246" s="32"/>
      <c r="E246" s="32"/>
      <c r="F246" s="32"/>
      <c r="G246" s="31"/>
      <c r="H246" s="31"/>
      <c r="I246" s="33" t="str">
        <f aca="false">IF(G246="","",G246-H246)</f>
        <v/>
      </c>
      <c r="J246" s="33" t="str">
        <f aca="false">IF(A246="","",SUMIFS(Freelancers!$E$5:$E$504,Freelancers!$B$5:$B$504,A246))</f>
        <v/>
      </c>
      <c r="K246" s="33" t="str">
        <f aca="false">IF(A246="","",SUMIFS(Gastos!$D$5:$D$504,Gastos!$E$5:$E$504,A246))</f>
        <v/>
      </c>
      <c r="L246" s="33" t="str">
        <f aca="false">IF(G246="","",G246-N(J246)-N(K246))</f>
        <v/>
      </c>
      <c r="M246" s="34" t="str">
        <f aca="false">IF(G246="","",IF(H246&gt;=G246,"Pago",IF(H246&gt;0,"Parcial","Pendente")))</f>
        <v/>
      </c>
      <c r="N246" s="32"/>
      <c r="O246" s="35" t="str">
        <f aca="true">IF(OR(B246="",B246&lt;TODAY()),"",COUNTIFS($B$5:$B$504,"&gt;="&amp;TODAY(),$B$5:$B$504,"&lt;"&amp;B246)+COUNTIFS($B$5:B246,B246))</f>
        <v/>
      </c>
    </row>
    <row r="247" customFormat="false" ht="15" hidden="false" customHeight="false" outlineLevel="0" collapsed="false">
      <c r="A247" s="32"/>
      <c r="B247" s="27"/>
      <c r="C247" s="29"/>
      <c r="D247" s="32"/>
      <c r="E247" s="32"/>
      <c r="F247" s="32"/>
      <c r="G247" s="31"/>
      <c r="H247" s="31"/>
      <c r="I247" s="33" t="str">
        <f aca="false">IF(G247="","",G247-H247)</f>
        <v/>
      </c>
      <c r="J247" s="33" t="str">
        <f aca="false">IF(A247="","",SUMIFS(Freelancers!$E$5:$E$504,Freelancers!$B$5:$B$504,A247))</f>
        <v/>
      </c>
      <c r="K247" s="33" t="str">
        <f aca="false">IF(A247="","",SUMIFS(Gastos!$D$5:$D$504,Gastos!$E$5:$E$504,A247))</f>
        <v/>
      </c>
      <c r="L247" s="33" t="str">
        <f aca="false">IF(G247="","",G247-N(J247)-N(K247))</f>
        <v/>
      </c>
      <c r="M247" s="34" t="str">
        <f aca="false">IF(G247="","",IF(H247&gt;=G247,"Pago",IF(H247&gt;0,"Parcial","Pendente")))</f>
        <v/>
      </c>
      <c r="N247" s="32"/>
      <c r="O247" s="35" t="str">
        <f aca="true">IF(OR(B247="",B247&lt;TODAY()),"",COUNTIFS($B$5:$B$504,"&gt;="&amp;TODAY(),$B$5:$B$504,"&lt;"&amp;B247)+COUNTIFS($B$5:B247,B247))</f>
        <v/>
      </c>
    </row>
    <row r="248" customFormat="false" ht="15" hidden="false" customHeight="false" outlineLevel="0" collapsed="false">
      <c r="A248" s="32"/>
      <c r="B248" s="27"/>
      <c r="C248" s="29"/>
      <c r="D248" s="32"/>
      <c r="E248" s="32"/>
      <c r="F248" s="32"/>
      <c r="G248" s="31"/>
      <c r="H248" s="31"/>
      <c r="I248" s="33" t="str">
        <f aca="false">IF(G248="","",G248-H248)</f>
        <v/>
      </c>
      <c r="J248" s="33" t="str">
        <f aca="false">IF(A248="","",SUMIFS(Freelancers!$E$5:$E$504,Freelancers!$B$5:$B$504,A248))</f>
        <v/>
      </c>
      <c r="K248" s="33" t="str">
        <f aca="false">IF(A248="","",SUMIFS(Gastos!$D$5:$D$504,Gastos!$E$5:$E$504,A248))</f>
        <v/>
      </c>
      <c r="L248" s="33" t="str">
        <f aca="false">IF(G248="","",G248-N(J248)-N(K248))</f>
        <v/>
      </c>
      <c r="M248" s="34" t="str">
        <f aca="false">IF(G248="","",IF(H248&gt;=G248,"Pago",IF(H248&gt;0,"Parcial","Pendente")))</f>
        <v/>
      </c>
      <c r="N248" s="32"/>
      <c r="O248" s="35" t="str">
        <f aca="true">IF(OR(B248="",B248&lt;TODAY()),"",COUNTIFS($B$5:$B$504,"&gt;="&amp;TODAY(),$B$5:$B$504,"&lt;"&amp;B248)+COUNTIFS($B$5:B248,B248))</f>
        <v/>
      </c>
    </row>
    <row r="249" customFormat="false" ht="15" hidden="false" customHeight="false" outlineLevel="0" collapsed="false">
      <c r="A249" s="32"/>
      <c r="B249" s="27"/>
      <c r="C249" s="29"/>
      <c r="D249" s="32"/>
      <c r="E249" s="32"/>
      <c r="F249" s="32"/>
      <c r="G249" s="31"/>
      <c r="H249" s="31"/>
      <c r="I249" s="33" t="str">
        <f aca="false">IF(G249="","",G249-H249)</f>
        <v/>
      </c>
      <c r="J249" s="33" t="str">
        <f aca="false">IF(A249="","",SUMIFS(Freelancers!$E$5:$E$504,Freelancers!$B$5:$B$504,A249))</f>
        <v/>
      </c>
      <c r="K249" s="33" t="str">
        <f aca="false">IF(A249="","",SUMIFS(Gastos!$D$5:$D$504,Gastos!$E$5:$E$504,A249))</f>
        <v/>
      </c>
      <c r="L249" s="33" t="str">
        <f aca="false">IF(G249="","",G249-N(J249)-N(K249))</f>
        <v/>
      </c>
      <c r="M249" s="34" t="str">
        <f aca="false">IF(G249="","",IF(H249&gt;=G249,"Pago",IF(H249&gt;0,"Parcial","Pendente")))</f>
        <v/>
      </c>
      <c r="N249" s="32"/>
      <c r="O249" s="35" t="str">
        <f aca="true">IF(OR(B249="",B249&lt;TODAY()),"",COUNTIFS($B$5:$B$504,"&gt;="&amp;TODAY(),$B$5:$B$504,"&lt;"&amp;B249)+COUNTIFS($B$5:B249,B249))</f>
        <v/>
      </c>
    </row>
    <row r="250" customFormat="false" ht="15" hidden="false" customHeight="false" outlineLevel="0" collapsed="false">
      <c r="A250" s="32"/>
      <c r="B250" s="27"/>
      <c r="C250" s="29"/>
      <c r="D250" s="32"/>
      <c r="E250" s="32"/>
      <c r="F250" s="32"/>
      <c r="G250" s="31"/>
      <c r="H250" s="31"/>
      <c r="I250" s="33" t="str">
        <f aca="false">IF(G250="","",G250-H250)</f>
        <v/>
      </c>
      <c r="J250" s="33" t="str">
        <f aca="false">IF(A250="","",SUMIFS(Freelancers!$E$5:$E$504,Freelancers!$B$5:$B$504,A250))</f>
        <v/>
      </c>
      <c r="K250" s="33" t="str">
        <f aca="false">IF(A250="","",SUMIFS(Gastos!$D$5:$D$504,Gastos!$E$5:$E$504,A250))</f>
        <v/>
      </c>
      <c r="L250" s="33" t="str">
        <f aca="false">IF(G250="","",G250-N(J250)-N(K250))</f>
        <v/>
      </c>
      <c r="M250" s="34" t="str">
        <f aca="false">IF(G250="","",IF(H250&gt;=G250,"Pago",IF(H250&gt;0,"Parcial","Pendente")))</f>
        <v/>
      </c>
      <c r="N250" s="32"/>
      <c r="O250" s="35" t="str">
        <f aca="true">IF(OR(B250="",B250&lt;TODAY()),"",COUNTIFS($B$5:$B$504,"&gt;="&amp;TODAY(),$B$5:$B$504,"&lt;"&amp;B250)+COUNTIFS($B$5:B250,B250))</f>
        <v/>
      </c>
    </row>
    <row r="251" customFormat="false" ht="15" hidden="false" customHeight="false" outlineLevel="0" collapsed="false">
      <c r="A251" s="32"/>
      <c r="B251" s="27"/>
      <c r="C251" s="29"/>
      <c r="D251" s="32"/>
      <c r="E251" s="32"/>
      <c r="F251" s="32"/>
      <c r="G251" s="31"/>
      <c r="H251" s="31"/>
      <c r="I251" s="33" t="str">
        <f aca="false">IF(G251="","",G251-H251)</f>
        <v/>
      </c>
      <c r="J251" s="33" t="str">
        <f aca="false">IF(A251="","",SUMIFS(Freelancers!$E$5:$E$504,Freelancers!$B$5:$B$504,A251))</f>
        <v/>
      </c>
      <c r="K251" s="33" t="str">
        <f aca="false">IF(A251="","",SUMIFS(Gastos!$D$5:$D$504,Gastos!$E$5:$E$504,A251))</f>
        <v/>
      </c>
      <c r="L251" s="33" t="str">
        <f aca="false">IF(G251="","",G251-N(J251)-N(K251))</f>
        <v/>
      </c>
      <c r="M251" s="34" t="str">
        <f aca="false">IF(G251="","",IF(H251&gt;=G251,"Pago",IF(H251&gt;0,"Parcial","Pendente")))</f>
        <v/>
      </c>
      <c r="N251" s="32"/>
      <c r="O251" s="35" t="str">
        <f aca="true">IF(OR(B251="",B251&lt;TODAY()),"",COUNTIFS($B$5:$B$504,"&gt;="&amp;TODAY(),$B$5:$B$504,"&lt;"&amp;B251)+COUNTIFS($B$5:B251,B251))</f>
        <v/>
      </c>
    </row>
    <row r="252" customFormat="false" ht="15" hidden="false" customHeight="false" outlineLevel="0" collapsed="false">
      <c r="A252" s="32"/>
      <c r="B252" s="27"/>
      <c r="C252" s="29"/>
      <c r="D252" s="32"/>
      <c r="E252" s="32"/>
      <c r="F252" s="32"/>
      <c r="G252" s="31"/>
      <c r="H252" s="31"/>
      <c r="I252" s="33" t="str">
        <f aca="false">IF(G252="","",G252-H252)</f>
        <v/>
      </c>
      <c r="J252" s="33" t="str">
        <f aca="false">IF(A252="","",SUMIFS(Freelancers!$E$5:$E$504,Freelancers!$B$5:$B$504,A252))</f>
        <v/>
      </c>
      <c r="K252" s="33" t="str">
        <f aca="false">IF(A252="","",SUMIFS(Gastos!$D$5:$D$504,Gastos!$E$5:$E$504,A252))</f>
        <v/>
      </c>
      <c r="L252" s="33" t="str">
        <f aca="false">IF(G252="","",G252-N(J252)-N(K252))</f>
        <v/>
      </c>
      <c r="M252" s="34" t="str">
        <f aca="false">IF(G252="","",IF(H252&gt;=G252,"Pago",IF(H252&gt;0,"Parcial","Pendente")))</f>
        <v/>
      </c>
      <c r="N252" s="32"/>
      <c r="O252" s="35" t="str">
        <f aca="true">IF(OR(B252="",B252&lt;TODAY()),"",COUNTIFS($B$5:$B$504,"&gt;="&amp;TODAY(),$B$5:$B$504,"&lt;"&amp;B252)+COUNTIFS($B$5:B252,B252))</f>
        <v/>
      </c>
    </row>
    <row r="253" customFormat="false" ht="15" hidden="false" customHeight="false" outlineLevel="0" collapsed="false">
      <c r="A253" s="32"/>
      <c r="B253" s="27"/>
      <c r="C253" s="29"/>
      <c r="D253" s="32"/>
      <c r="E253" s="32"/>
      <c r="F253" s="32"/>
      <c r="G253" s="31"/>
      <c r="H253" s="31"/>
      <c r="I253" s="33" t="str">
        <f aca="false">IF(G253="","",G253-H253)</f>
        <v/>
      </c>
      <c r="J253" s="33" t="str">
        <f aca="false">IF(A253="","",SUMIFS(Freelancers!$E$5:$E$504,Freelancers!$B$5:$B$504,A253))</f>
        <v/>
      </c>
      <c r="K253" s="33" t="str">
        <f aca="false">IF(A253="","",SUMIFS(Gastos!$D$5:$D$504,Gastos!$E$5:$E$504,A253))</f>
        <v/>
      </c>
      <c r="L253" s="33" t="str">
        <f aca="false">IF(G253="","",G253-N(J253)-N(K253))</f>
        <v/>
      </c>
      <c r="M253" s="34" t="str">
        <f aca="false">IF(G253="","",IF(H253&gt;=G253,"Pago",IF(H253&gt;0,"Parcial","Pendente")))</f>
        <v/>
      </c>
      <c r="N253" s="32"/>
      <c r="O253" s="35" t="str">
        <f aca="true">IF(OR(B253="",B253&lt;TODAY()),"",COUNTIFS($B$5:$B$504,"&gt;="&amp;TODAY(),$B$5:$B$504,"&lt;"&amp;B253)+COUNTIFS($B$5:B253,B253))</f>
        <v/>
      </c>
    </row>
    <row r="254" customFormat="false" ht="15" hidden="false" customHeight="false" outlineLevel="0" collapsed="false">
      <c r="A254" s="32"/>
      <c r="B254" s="27"/>
      <c r="C254" s="29"/>
      <c r="D254" s="32"/>
      <c r="E254" s="32"/>
      <c r="F254" s="32"/>
      <c r="G254" s="31"/>
      <c r="H254" s="31"/>
      <c r="I254" s="33" t="str">
        <f aca="false">IF(G254="","",G254-H254)</f>
        <v/>
      </c>
      <c r="J254" s="33" t="str">
        <f aca="false">IF(A254="","",SUMIFS(Freelancers!$E$5:$E$504,Freelancers!$B$5:$B$504,A254))</f>
        <v/>
      </c>
      <c r="K254" s="33" t="str">
        <f aca="false">IF(A254="","",SUMIFS(Gastos!$D$5:$D$504,Gastos!$E$5:$E$504,A254))</f>
        <v/>
      </c>
      <c r="L254" s="33" t="str">
        <f aca="false">IF(G254="","",G254-N(J254)-N(K254))</f>
        <v/>
      </c>
      <c r="M254" s="34" t="str">
        <f aca="false">IF(G254="","",IF(H254&gt;=G254,"Pago",IF(H254&gt;0,"Parcial","Pendente")))</f>
        <v/>
      </c>
      <c r="N254" s="32"/>
      <c r="O254" s="35" t="str">
        <f aca="true">IF(OR(B254="",B254&lt;TODAY()),"",COUNTIFS($B$5:$B$504,"&gt;="&amp;TODAY(),$B$5:$B$504,"&lt;"&amp;B254)+COUNTIFS($B$5:B254,B254))</f>
        <v/>
      </c>
    </row>
    <row r="255" customFormat="false" ht="15" hidden="false" customHeight="false" outlineLevel="0" collapsed="false">
      <c r="A255" s="32"/>
      <c r="B255" s="27"/>
      <c r="C255" s="29"/>
      <c r="D255" s="32"/>
      <c r="E255" s="32"/>
      <c r="F255" s="32"/>
      <c r="G255" s="31"/>
      <c r="H255" s="31"/>
      <c r="I255" s="33" t="str">
        <f aca="false">IF(G255="","",G255-H255)</f>
        <v/>
      </c>
      <c r="J255" s="33" t="str">
        <f aca="false">IF(A255="","",SUMIFS(Freelancers!$E$5:$E$504,Freelancers!$B$5:$B$504,A255))</f>
        <v/>
      </c>
      <c r="K255" s="33" t="str">
        <f aca="false">IF(A255="","",SUMIFS(Gastos!$D$5:$D$504,Gastos!$E$5:$E$504,A255))</f>
        <v/>
      </c>
      <c r="L255" s="33" t="str">
        <f aca="false">IF(G255="","",G255-N(J255)-N(K255))</f>
        <v/>
      </c>
      <c r="M255" s="34" t="str">
        <f aca="false">IF(G255="","",IF(H255&gt;=G255,"Pago",IF(H255&gt;0,"Parcial","Pendente")))</f>
        <v/>
      </c>
      <c r="N255" s="32"/>
      <c r="O255" s="35" t="str">
        <f aca="true">IF(OR(B255="",B255&lt;TODAY()),"",COUNTIFS($B$5:$B$504,"&gt;="&amp;TODAY(),$B$5:$B$504,"&lt;"&amp;B255)+COUNTIFS($B$5:B255,B255))</f>
        <v/>
      </c>
    </row>
    <row r="256" customFormat="false" ht="15" hidden="false" customHeight="false" outlineLevel="0" collapsed="false">
      <c r="A256" s="32"/>
      <c r="B256" s="27"/>
      <c r="C256" s="29"/>
      <c r="D256" s="32"/>
      <c r="E256" s="32"/>
      <c r="F256" s="32"/>
      <c r="G256" s="31"/>
      <c r="H256" s="31"/>
      <c r="I256" s="33" t="str">
        <f aca="false">IF(G256="","",G256-H256)</f>
        <v/>
      </c>
      <c r="J256" s="33" t="str">
        <f aca="false">IF(A256="","",SUMIFS(Freelancers!$E$5:$E$504,Freelancers!$B$5:$B$504,A256))</f>
        <v/>
      </c>
      <c r="K256" s="33" t="str">
        <f aca="false">IF(A256="","",SUMIFS(Gastos!$D$5:$D$504,Gastos!$E$5:$E$504,A256))</f>
        <v/>
      </c>
      <c r="L256" s="33" t="str">
        <f aca="false">IF(G256="","",G256-N(J256)-N(K256))</f>
        <v/>
      </c>
      <c r="M256" s="34" t="str">
        <f aca="false">IF(G256="","",IF(H256&gt;=G256,"Pago",IF(H256&gt;0,"Parcial","Pendente")))</f>
        <v/>
      </c>
      <c r="N256" s="32"/>
      <c r="O256" s="35" t="str">
        <f aca="true">IF(OR(B256="",B256&lt;TODAY()),"",COUNTIFS($B$5:$B$504,"&gt;="&amp;TODAY(),$B$5:$B$504,"&lt;"&amp;B256)+COUNTIFS($B$5:B256,B256))</f>
        <v/>
      </c>
    </row>
    <row r="257" customFormat="false" ht="15" hidden="false" customHeight="false" outlineLevel="0" collapsed="false">
      <c r="A257" s="32"/>
      <c r="B257" s="27"/>
      <c r="C257" s="29"/>
      <c r="D257" s="32"/>
      <c r="E257" s="32"/>
      <c r="F257" s="32"/>
      <c r="G257" s="31"/>
      <c r="H257" s="31"/>
      <c r="I257" s="33" t="str">
        <f aca="false">IF(G257="","",G257-H257)</f>
        <v/>
      </c>
      <c r="J257" s="33" t="str">
        <f aca="false">IF(A257="","",SUMIFS(Freelancers!$E$5:$E$504,Freelancers!$B$5:$B$504,A257))</f>
        <v/>
      </c>
      <c r="K257" s="33" t="str">
        <f aca="false">IF(A257="","",SUMIFS(Gastos!$D$5:$D$504,Gastos!$E$5:$E$504,A257))</f>
        <v/>
      </c>
      <c r="L257" s="33" t="str">
        <f aca="false">IF(G257="","",G257-N(J257)-N(K257))</f>
        <v/>
      </c>
      <c r="M257" s="34" t="str">
        <f aca="false">IF(G257="","",IF(H257&gt;=G257,"Pago",IF(H257&gt;0,"Parcial","Pendente")))</f>
        <v/>
      </c>
      <c r="N257" s="32"/>
      <c r="O257" s="35" t="str">
        <f aca="true">IF(OR(B257="",B257&lt;TODAY()),"",COUNTIFS($B$5:$B$504,"&gt;="&amp;TODAY(),$B$5:$B$504,"&lt;"&amp;B257)+COUNTIFS($B$5:B257,B257))</f>
        <v/>
      </c>
    </row>
    <row r="258" customFormat="false" ht="15" hidden="false" customHeight="false" outlineLevel="0" collapsed="false">
      <c r="A258" s="32"/>
      <c r="B258" s="27"/>
      <c r="C258" s="29"/>
      <c r="D258" s="32"/>
      <c r="E258" s="32"/>
      <c r="F258" s="32"/>
      <c r="G258" s="31"/>
      <c r="H258" s="31"/>
      <c r="I258" s="33" t="str">
        <f aca="false">IF(G258="","",G258-H258)</f>
        <v/>
      </c>
      <c r="J258" s="33" t="str">
        <f aca="false">IF(A258="","",SUMIFS(Freelancers!$E$5:$E$504,Freelancers!$B$5:$B$504,A258))</f>
        <v/>
      </c>
      <c r="K258" s="33" t="str">
        <f aca="false">IF(A258="","",SUMIFS(Gastos!$D$5:$D$504,Gastos!$E$5:$E$504,A258))</f>
        <v/>
      </c>
      <c r="L258" s="33" t="str">
        <f aca="false">IF(G258="","",G258-N(J258)-N(K258))</f>
        <v/>
      </c>
      <c r="M258" s="34" t="str">
        <f aca="false">IF(G258="","",IF(H258&gt;=G258,"Pago",IF(H258&gt;0,"Parcial","Pendente")))</f>
        <v/>
      </c>
      <c r="N258" s="32"/>
      <c r="O258" s="35" t="str">
        <f aca="true">IF(OR(B258="",B258&lt;TODAY()),"",COUNTIFS($B$5:$B$504,"&gt;="&amp;TODAY(),$B$5:$B$504,"&lt;"&amp;B258)+COUNTIFS($B$5:B258,B258))</f>
        <v/>
      </c>
    </row>
    <row r="259" customFormat="false" ht="15" hidden="false" customHeight="false" outlineLevel="0" collapsed="false">
      <c r="A259" s="32"/>
      <c r="B259" s="27"/>
      <c r="C259" s="29"/>
      <c r="D259" s="32"/>
      <c r="E259" s="32"/>
      <c r="F259" s="32"/>
      <c r="G259" s="31"/>
      <c r="H259" s="31"/>
      <c r="I259" s="33" t="str">
        <f aca="false">IF(G259="","",G259-H259)</f>
        <v/>
      </c>
      <c r="J259" s="33" t="str">
        <f aca="false">IF(A259="","",SUMIFS(Freelancers!$E$5:$E$504,Freelancers!$B$5:$B$504,A259))</f>
        <v/>
      </c>
      <c r="K259" s="33" t="str">
        <f aca="false">IF(A259="","",SUMIFS(Gastos!$D$5:$D$504,Gastos!$E$5:$E$504,A259))</f>
        <v/>
      </c>
      <c r="L259" s="33" t="str">
        <f aca="false">IF(G259="","",G259-N(J259)-N(K259))</f>
        <v/>
      </c>
      <c r="M259" s="34" t="str">
        <f aca="false">IF(G259="","",IF(H259&gt;=G259,"Pago",IF(H259&gt;0,"Parcial","Pendente")))</f>
        <v/>
      </c>
      <c r="N259" s="32"/>
      <c r="O259" s="35" t="str">
        <f aca="true">IF(OR(B259="",B259&lt;TODAY()),"",COUNTIFS($B$5:$B$504,"&gt;="&amp;TODAY(),$B$5:$B$504,"&lt;"&amp;B259)+COUNTIFS($B$5:B259,B259))</f>
        <v/>
      </c>
    </row>
    <row r="260" customFormat="false" ht="15" hidden="false" customHeight="false" outlineLevel="0" collapsed="false">
      <c r="A260" s="32"/>
      <c r="B260" s="27"/>
      <c r="C260" s="29"/>
      <c r="D260" s="32"/>
      <c r="E260" s="32"/>
      <c r="F260" s="32"/>
      <c r="G260" s="31"/>
      <c r="H260" s="31"/>
      <c r="I260" s="33" t="str">
        <f aca="false">IF(G260="","",G260-H260)</f>
        <v/>
      </c>
      <c r="J260" s="33" t="str">
        <f aca="false">IF(A260="","",SUMIFS(Freelancers!$E$5:$E$504,Freelancers!$B$5:$B$504,A260))</f>
        <v/>
      </c>
      <c r="K260" s="33" t="str">
        <f aca="false">IF(A260="","",SUMIFS(Gastos!$D$5:$D$504,Gastos!$E$5:$E$504,A260))</f>
        <v/>
      </c>
      <c r="L260" s="33" t="str">
        <f aca="false">IF(G260="","",G260-N(J260)-N(K260))</f>
        <v/>
      </c>
      <c r="M260" s="34" t="str">
        <f aca="false">IF(G260="","",IF(H260&gt;=G260,"Pago",IF(H260&gt;0,"Parcial","Pendente")))</f>
        <v/>
      </c>
      <c r="N260" s="32"/>
      <c r="O260" s="35" t="str">
        <f aca="true">IF(OR(B260="",B260&lt;TODAY()),"",COUNTIFS($B$5:$B$504,"&gt;="&amp;TODAY(),$B$5:$B$504,"&lt;"&amp;B260)+COUNTIFS($B$5:B260,B260))</f>
        <v/>
      </c>
    </row>
    <row r="261" customFormat="false" ht="15" hidden="false" customHeight="false" outlineLevel="0" collapsed="false">
      <c r="A261" s="32"/>
      <c r="B261" s="27"/>
      <c r="C261" s="29"/>
      <c r="D261" s="32"/>
      <c r="E261" s="32"/>
      <c r="F261" s="32"/>
      <c r="G261" s="31"/>
      <c r="H261" s="31"/>
      <c r="I261" s="33" t="str">
        <f aca="false">IF(G261="","",G261-H261)</f>
        <v/>
      </c>
      <c r="J261" s="33" t="str">
        <f aca="false">IF(A261="","",SUMIFS(Freelancers!$E$5:$E$504,Freelancers!$B$5:$B$504,A261))</f>
        <v/>
      </c>
      <c r="K261" s="33" t="str">
        <f aca="false">IF(A261="","",SUMIFS(Gastos!$D$5:$D$504,Gastos!$E$5:$E$504,A261))</f>
        <v/>
      </c>
      <c r="L261" s="33" t="str">
        <f aca="false">IF(G261="","",G261-N(J261)-N(K261))</f>
        <v/>
      </c>
      <c r="M261" s="34" t="str">
        <f aca="false">IF(G261="","",IF(H261&gt;=G261,"Pago",IF(H261&gt;0,"Parcial","Pendente")))</f>
        <v/>
      </c>
      <c r="N261" s="32"/>
      <c r="O261" s="35" t="str">
        <f aca="true">IF(OR(B261="",B261&lt;TODAY()),"",COUNTIFS($B$5:$B$504,"&gt;="&amp;TODAY(),$B$5:$B$504,"&lt;"&amp;B261)+COUNTIFS($B$5:B261,B261))</f>
        <v/>
      </c>
    </row>
    <row r="262" customFormat="false" ht="15" hidden="false" customHeight="false" outlineLevel="0" collapsed="false">
      <c r="A262" s="32"/>
      <c r="B262" s="27"/>
      <c r="C262" s="29"/>
      <c r="D262" s="32"/>
      <c r="E262" s="32"/>
      <c r="F262" s="32"/>
      <c r="G262" s="31"/>
      <c r="H262" s="31"/>
      <c r="I262" s="33" t="str">
        <f aca="false">IF(G262="","",G262-H262)</f>
        <v/>
      </c>
      <c r="J262" s="33" t="str">
        <f aca="false">IF(A262="","",SUMIFS(Freelancers!$E$5:$E$504,Freelancers!$B$5:$B$504,A262))</f>
        <v/>
      </c>
      <c r="K262" s="33" t="str">
        <f aca="false">IF(A262="","",SUMIFS(Gastos!$D$5:$D$504,Gastos!$E$5:$E$504,A262))</f>
        <v/>
      </c>
      <c r="L262" s="33" t="str">
        <f aca="false">IF(G262="","",G262-N(J262)-N(K262))</f>
        <v/>
      </c>
      <c r="M262" s="34" t="str">
        <f aca="false">IF(G262="","",IF(H262&gt;=G262,"Pago",IF(H262&gt;0,"Parcial","Pendente")))</f>
        <v/>
      </c>
      <c r="N262" s="32"/>
      <c r="O262" s="35" t="str">
        <f aca="true">IF(OR(B262="",B262&lt;TODAY()),"",COUNTIFS($B$5:$B$504,"&gt;="&amp;TODAY(),$B$5:$B$504,"&lt;"&amp;B262)+COUNTIFS($B$5:B262,B262))</f>
        <v/>
      </c>
    </row>
    <row r="263" customFormat="false" ht="15" hidden="false" customHeight="false" outlineLevel="0" collapsed="false">
      <c r="A263" s="32"/>
      <c r="B263" s="27"/>
      <c r="C263" s="29"/>
      <c r="D263" s="32"/>
      <c r="E263" s="32"/>
      <c r="F263" s="32"/>
      <c r="G263" s="31"/>
      <c r="H263" s="31"/>
      <c r="I263" s="33" t="str">
        <f aca="false">IF(G263="","",G263-H263)</f>
        <v/>
      </c>
      <c r="J263" s="33" t="str">
        <f aca="false">IF(A263="","",SUMIFS(Freelancers!$E$5:$E$504,Freelancers!$B$5:$B$504,A263))</f>
        <v/>
      </c>
      <c r="K263" s="33" t="str">
        <f aca="false">IF(A263="","",SUMIFS(Gastos!$D$5:$D$504,Gastos!$E$5:$E$504,A263))</f>
        <v/>
      </c>
      <c r="L263" s="33" t="str">
        <f aca="false">IF(G263="","",G263-N(J263)-N(K263))</f>
        <v/>
      </c>
      <c r="M263" s="34" t="str">
        <f aca="false">IF(G263="","",IF(H263&gt;=G263,"Pago",IF(H263&gt;0,"Parcial","Pendente")))</f>
        <v/>
      </c>
      <c r="N263" s="32"/>
      <c r="O263" s="35" t="str">
        <f aca="true">IF(OR(B263="",B263&lt;TODAY()),"",COUNTIFS($B$5:$B$504,"&gt;="&amp;TODAY(),$B$5:$B$504,"&lt;"&amp;B263)+COUNTIFS($B$5:B263,B263))</f>
        <v/>
      </c>
    </row>
    <row r="264" customFormat="false" ht="15" hidden="false" customHeight="false" outlineLevel="0" collapsed="false">
      <c r="A264" s="32"/>
      <c r="B264" s="27"/>
      <c r="C264" s="29"/>
      <c r="D264" s="32"/>
      <c r="E264" s="32"/>
      <c r="F264" s="32"/>
      <c r="G264" s="31"/>
      <c r="H264" s="31"/>
      <c r="I264" s="33" t="str">
        <f aca="false">IF(G264="","",G264-H264)</f>
        <v/>
      </c>
      <c r="J264" s="33" t="str">
        <f aca="false">IF(A264="","",SUMIFS(Freelancers!$E$5:$E$504,Freelancers!$B$5:$B$504,A264))</f>
        <v/>
      </c>
      <c r="K264" s="33" t="str">
        <f aca="false">IF(A264="","",SUMIFS(Gastos!$D$5:$D$504,Gastos!$E$5:$E$504,A264))</f>
        <v/>
      </c>
      <c r="L264" s="33" t="str">
        <f aca="false">IF(G264="","",G264-N(J264)-N(K264))</f>
        <v/>
      </c>
      <c r="M264" s="34" t="str">
        <f aca="false">IF(G264="","",IF(H264&gt;=G264,"Pago",IF(H264&gt;0,"Parcial","Pendente")))</f>
        <v/>
      </c>
      <c r="N264" s="32"/>
      <c r="O264" s="35" t="str">
        <f aca="true">IF(OR(B264="",B264&lt;TODAY()),"",COUNTIFS($B$5:$B$504,"&gt;="&amp;TODAY(),$B$5:$B$504,"&lt;"&amp;B264)+COUNTIFS($B$5:B264,B264))</f>
        <v/>
      </c>
    </row>
    <row r="265" customFormat="false" ht="15" hidden="false" customHeight="false" outlineLevel="0" collapsed="false">
      <c r="A265" s="32"/>
      <c r="B265" s="27"/>
      <c r="C265" s="29"/>
      <c r="D265" s="32"/>
      <c r="E265" s="32"/>
      <c r="F265" s="32"/>
      <c r="G265" s="31"/>
      <c r="H265" s="31"/>
      <c r="I265" s="33" t="str">
        <f aca="false">IF(G265="","",G265-H265)</f>
        <v/>
      </c>
      <c r="J265" s="33" t="str">
        <f aca="false">IF(A265="","",SUMIFS(Freelancers!$E$5:$E$504,Freelancers!$B$5:$B$504,A265))</f>
        <v/>
      </c>
      <c r="K265" s="33" t="str">
        <f aca="false">IF(A265="","",SUMIFS(Gastos!$D$5:$D$504,Gastos!$E$5:$E$504,A265))</f>
        <v/>
      </c>
      <c r="L265" s="33" t="str">
        <f aca="false">IF(G265="","",G265-N(J265)-N(K265))</f>
        <v/>
      </c>
      <c r="M265" s="34" t="str">
        <f aca="false">IF(G265="","",IF(H265&gt;=G265,"Pago",IF(H265&gt;0,"Parcial","Pendente")))</f>
        <v/>
      </c>
      <c r="N265" s="32"/>
      <c r="O265" s="35" t="str">
        <f aca="true">IF(OR(B265="",B265&lt;TODAY()),"",COUNTIFS($B$5:$B$504,"&gt;="&amp;TODAY(),$B$5:$B$504,"&lt;"&amp;B265)+COUNTIFS($B$5:B265,B265))</f>
        <v/>
      </c>
    </row>
    <row r="266" customFormat="false" ht="15" hidden="false" customHeight="false" outlineLevel="0" collapsed="false">
      <c r="A266" s="32"/>
      <c r="B266" s="27"/>
      <c r="C266" s="29"/>
      <c r="D266" s="32"/>
      <c r="E266" s="32"/>
      <c r="F266" s="32"/>
      <c r="G266" s="31"/>
      <c r="H266" s="31"/>
      <c r="I266" s="33" t="str">
        <f aca="false">IF(G266="","",G266-H266)</f>
        <v/>
      </c>
      <c r="J266" s="33" t="str">
        <f aca="false">IF(A266="","",SUMIFS(Freelancers!$E$5:$E$504,Freelancers!$B$5:$B$504,A266))</f>
        <v/>
      </c>
      <c r="K266" s="33" t="str">
        <f aca="false">IF(A266="","",SUMIFS(Gastos!$D$5:$D$504,Gastos!$E$5:$E$504,A266))</f>
        <v/>
      </c>
      <c r="L266" s="33" t="str">
        <f aca="false">IF(G266="","",G266-N(J266)-N(K266))</f>
        <v/>
      </c>
      <c r="M266" s="34" t="str">
        <f aca="false">IF(G266="","",IF(H266&gt;=G266,"Pago",IF(H266&gt;0,"Parcial","Pendente")))</f>
        <v/>
      </c>
      <c r="N266" s="32"/>
      <c r="O266" s="35" t="str">
        <f aca="true">IF(OR(B266="",B266&lt;TODAY()),"",COUNTIFS($B$5:$B$504,"&gt;="&amp;TODAY(),$B$5:$B$504,"&lt;"&amp;B266)+COUNTIFS($B$5:B266,B266))</f>
        <v/>
      </c>
    </row>
    <row r="267" customFormat="false" ht="15" hidden="false" customHeight="false" outlineLevel="0" collapsed="false">
      <c r="A267" s="32"/>
      <c r="B267" s="27"/>
      <c r="C267" s="29"/>
      <c r="D267" s="32"/>
      <c r="E267" s="32"/>
      <c r="F267" s="32"/>
      <c r="G267" s="31"/>
      <c r="H267" s="31"/>
      <c r="I267" s="33" t="str">
        <f aca="false">IF(G267="","",G267-H267)</f>
        <v/>
      </c>
      <c r="J267" s="33" t="str">
        <f aca="false">IF(A267="","",SUMIFS(Freelancers!$E$5:$E$504,Freelancers!$B$5:$B$504,A267))</f>
        <v/>
      </c>
      <c r="K267" s="33" t="str">
        <f aca="false">IF(A267="","",SUMIFS(Gastos!$D$5:$D$504,Gastos!$E$5:$E$504,A267))</f>
        <v/>
      </c>
      <c r="L267" s="33" t="str">
        <f aca="false">IF(G267="","",G267-N(J267)-N(K267))</f>
        <v/>
      </c>
      <c r="M267" s="34" t="str">
        <f aca="false">IF(G267="","",IF(H267&gt;=G267,"Pago",IF(H267&gt;0,"Parcial","Pendente")))</f>
        <v/>
      </c>
      <c r="N267" s="32"/>
      <c r="O267" s="35" t="str">
        <f aca="true">IF(OR(B267="",B267&lt;TODAY()),"",COUNTIFS($B$5:$B$504,"&gt;="&amp;TODAY(),$B$5:$B$504,"&lt;"&amp;B267)+COUNTIFS($B$5:B267,B267))</f>
        <v/>
      </c>
    </row>
    <row r="268" customFormat="false" ht="15" hidden="false" customHeight="false" outlineLevel="0" collapsed="false">
      <c r="A268" s="32"/>
      <c r="B268" s="27"/>
      <c r="C268" s="29"/>
      <c r="D268" s="32"/>
      <c r="E268" s="32"/>
      <c r="F268" s="32"/>
      <c r="G268" s="31"/>
      <c r="H268" s="31"/>
      <c r="I268" s="33" t="str">
        <f aca="false">IF(G268="","",G268-H268)</f>
        <v/>
      </c>
      <c r="J268" s="33" t="str">
        <f aca="false">IF(A268="","",SUMIFS(Freelancers!$E$5:$E$504,Freelancers!$B$5:$B$504,A268))</f>
        <v/>
      </c>
      <c r="K268" s="33" t="str">
        <f aca="false">IF(A268="","",SUMIFS(Gastos!$D$5:$D$504,Gastos!$E$5:$E$504,A268))</f>
        <v/>
      </c>
      <c r="L268" s="33" t="str">
        <f aca="false">IF(G268="","",G268-N(J268)-N(K268))</f>
        <v/>
      </c>
      <c r="M268" s="34" t="str">
        <f aca="false">IF(G268="","",IF(H268&gt;=G268,"Pago",IF(H268&gt;0,"Parcial","Pendente")))</f>
        <v/>
      </c>
      <c r="N268" s="32"/>
      <c r="O268" s="35" t="str">
        <f aca="true">IF(OR(B268="",B268&lt;TODAY()),"",COUNTIFS($B$5:$B$504,"&gt;="&amp;TODAY(),$B$5:$B$504,"&lt;"&amp;B268)+COUNTIFS($B$5:B268,B268))</f>
        <v/>
      </c>
    </row>
    <row r="269" customFormat="false" ht="15" hidden="false" customHeight="false" outlineLevel="0" collapsed="false">
      <c r="A269" s="32"/>
      <c r="B269" s="27"/>
      <c r="C269" s="29"/>
      <c r="D269" s="32"/>
      <c r="E269" s="32"/>
      <c r="F269" s="32"/>
      <c r="G269" s="31"/>
      <c r="H269" s="31"/>
      <c r="I269" s="33" t="str">
        <f aca="false">IF(G269="","",G269-H269)</f>
        <v/>
      </c>
      <c r="J269" s="33" t="str">
        <f aca="false">IF(A269="","",SUMIFS(Freelancers!$E$5:$E$504,Freelancers!$B$5:$B$504,A269))</f>
        <v/>
      </c>
      <c r="K269" s="33" t="str">
        <f aca="false">IF(A269="","",SUMIFS(Gastos!$D$5:$D$504,Gastos!$E$5:$E$504,A269))</f>
        <v/>
      </c>
      <c r="L269" s="33" t="str">
        <f aca="false">IF(G269="","",G269-N(J269)-N(K269))</f>
        <v/>
      </c>
      <c r="M269" s="34" t="str">
        <f aca="false">IF(G269="","",IF(H269&gt;=G269,"Pago",IF(H269&gt;0,"Parcial","Pendente")))</f>
        <v/>
      </c>
      <c r="N269" s="32"/>
      <c r="O269" s="35" t="str">
        <f aca="true">IF(OR(B269="",B269&lt;TODAY()),"",COUNTIFS($B$5:$B$504,"&gt;="&amp;TODAY(),$B$5:$B$504,"&lt;"&amp;B269)+COUNTIFS($B$5:B269,B269))</f>
        <v/>
      </c>
    </row>
    <row r="270" customFormat="false" ht="15" hidden="false" customHeight="false" outlineLevel="0" collapsed="false">
      <c r="A270" s="32"/>
      <c r="B270" s="27"/>
      <c r="C270" s="29"/>
      <c r="D270" s="32"/>
      <c r="E270" s="32"/>
      <c r="F270" s="32"/>
      <c r="G270" s="31"/>
      <c r="H270" s="31"/>
      <c r="I270" s="33" t="str">
        <f aca="false">IF(G270="","",G270-H270)</f>
        <v/>
      </c>
      <c r="J270" s="33" t="str">
        <f aca="false">IF(A270="","",SUMIFS(Freelancers!$E$5:$E$504,Freelancers!$B$5:$B$504,A270))</f>
        <v/>
      </c>
      <c r="K270" s="33" t="str">
        <f aca="false">IF(A270="","",SUMIFS(Gastos!$D$5:$D$504,Gastos!$E$5:$E$504,A270))</f>
        <v/>
      </c>
      <c r="L270" s="33" t="str">
        <f aca="false">IF(G270="","",G270-N(J270)-N(K270))</f>
        <v/>
      </c>
      <c r="M270" s="34" t="str">
        <f aca="false">IF(G270="","",IF(H270&gt;=G270,"Pago",IF(H270&gt;0,"Parcial","Pendente")))</f>
        <v/>
      </c>
      <c r="N270" s="32"/>
      <c r="O270" s="35" t="str">
        <f aca="true">IF(OR(B270="",B270&lt;TODAY()),"",COUNTIFS($B$5:$B$504,"&gt;="&amp;TODAY(),$B$5:$B$504,"&lt;"&amp;B270)+COUNTIFS($B$5:B270,B270))</f>
        <v/>
      </c>
    </row>
    <row r="271" customFormat="false" ht="15" hidden="false" customHeight="false" outlineLevel="0" collapsed="false">
      <c r="A271" s="32"/>
      <c r="B271" s="27"/>
      <c r="C271" s="29"/>
      <c r="D271" s="32"/>
      <c r="E271" s="32"/>
      <c r="F271" s="32"/>
      <c r="G271" s="31"/>
      <c r="H271" s="31"/>
      <c r="I271" s="33" t="str">
        <f aca="false">IF(G271="","",G271-H271)</f>
        <v/>
      </c>
      <c r="J271" s="33" t="str">
        <f aca="false">IF(A271="","",SUMIFS(Freelancers!$E$5:$E$504,Freelancers!$B$5:$B$504,A271))</f>
        <v/>
      </c>
      <c r="K271" s="33" t="str">
        <f aca="false">IF(A271="","",SUMIFS(Gastos!$D$5:$D$504,Gastos!$E$5:$E$504,A271))</f>
        <v/>
      </c>
      <c r="L271" s="33" t="str">
        <f aca="false">IF(G271="","",G271-N(J271)-N(K271))</f>
        <v/>
      </c>
      <c r="M271" s="34" t="str">
        <f aca="false">IF(G271="","",IF(H271&gt;=G271,"Pago",IF(H271&gt;0,"Parcial","Pendente")))</f>
        <v/>
      </c>
      <c r="N271" s="32"/>
      <c r="O271" s="35" t="str">
        <f aca="true">IF(OR(B271="",B271&lt;TODAY()),"",COUNTIFS($B$5:$B$504,"&gt;="&amp;TODAY(),$B$5:$B$504,"&lt;"&amp;B271)+COUNTIFS($B$5:B271,B271))</f>
        <v/>
      </c>
    </row>
    <row r="272" customFormat="false" ht="15" hidden="false" customHeight="false" outlineLevel="0" collapsed="false">
      <c r="A272" s="32"/>
      <c r="B272" s="27"/>
      <c r="C272" s="29"/>
      <c r="D272" s="32"/>
      <c r="E272" s="32"/>
      <c r="F272" s="32"/>
      <c r="G272" s="31"/>
      <c r="H272" s="31"/>
      <c r="I272" s="33" t="str">
        <f aca="false">IF(G272="","",G272-H272)</f>
        <v/>
      </c>
      <c r="J272" s="33" t="str">
        <f aca="false">IF(A272="","",SUMIFS(Freelancers!$E$5:$E$504,Freelancers!$B$5:$B$504,A272))</f>
        <v/>
      </c>
      <c r="K272" s="33" t="str">
        <f aca="false">IF(A272="","",SUMIFS(Gastos!$D$5:$D$504,Gastos!$E$5:$E$504,A272))</f>
        <v/>
      </c>
      <c r="L272" s="33" t="str">
        <f aca="false">IF(G272="","",G272-N(J272)-N(K272))</f>
        <v/>
      </c>
      <c r="M272" s="34" t="str">
        <f aca="false">IF(G272="","",IF(H272&gt;=G272,"Pago",IF(H272&gt;0,"Parcial","Pendente")))</f>
        <v/>
      </c>
      <c r="N272" s="32"/>
      <c r="O272" s="35" t="str">
        <f aca="true">IF(OR(B272="",B272&lt;TODAY()),"",COUNTIFS($B$5:$B$504,"&gt;="&amp;TODAY(),$B$5:$B$504,"&lt;"&amp;B272)+COUNTIFS($B$5:B272,B272))</f>
        <v/>
      </c>
    </row>
    <row r="273" customFormat="false" ht="15" hidden="false" customHeight="false" outlineLevel="0" collapsed="false">
      <c r="A273" s="32"/>
      <c r="B273" s="27"/>
      <c r="C273" s="29"/>
      <c r="D273" s="32"/>
      <c r="E273" s="32"/>
      <c r="F273" s="32"/>
      <c r="G273" s="31"/>
      <c r="H273" s="31"/>
      <c r="I273" s="33" t="str">
        <f aca="false">IF(G273="","",G273-H273)</f>
        <v/>
      </c>
      <c r="J273" s="33" t="str">
        <f aca="false">IF(A273="","",SUMIFS(Freelancers!$E$5:$E$504,Freelancers!$B$5:$B$504,A273))</f>
        <v/>
      </c>
      <c r="K273" s="33" t="str">
        <f aca="false">IF(A273="","",SUMIFS(Gastos!$D$5:$D$504,Gastos!$E$5:$E$504,A273))</f>
        <v/>
      </c>
      <c r="L273" s="33" t="str">
        <f aca="false">IF(G273="","",G273-N(J273)-N(K273))</f>
        <v/>
      </c>
      <c r="M273" s="34" t="str">
        <f aca="false">IF(G273="","",IF(H273&gt;=G273,"Pago",IF(H273&gt;0,"Parcial","Pendente")))</f>
        <v/>
      </c>
      <c r="N273" s="32"/>
      <c r="O273" s="35" t="str">
        <f aca="true">IF(OR(B273="",B273&lt;TODAY()),"",COUNTIFS($B$5:$B$504,"&gt;="&amp;TODAY(),$B$5:$B$504,"&lt;"&amp;B273)+COUNTIFS($B$5:B273,B273))</f>
        <v/>
      </c>
    </row>
    <row r="274" customFormat="false" ht="15" hidden="false" customHeight="false" outlineLevel="0" collapsed="false">
      <c r="A274" s="32"/>
      <c r="B274" s="27"/>
      <c r="C274" s="29"/>
      <c r="D274" s="32"/>
      <c r="E274" s="32"/>
      <c r="F274" s="32"/>
      <c r="G274" s="31"/>
      <c r="H274" s="31"/>
      <c r="I274" s="33" t="str">
        <f aca="false">IF(G274="","",G274-H274)</f>
        <v/>
      </c>
      <c r="J274" s="33" t="str">
        <f aca="false">IF(A274="","",SUMIFS(Freelancers!$E$5:$E$504,Freelancers!$B$5:$B$504,A274))</f>
        <v/>
      </c>
      <c r="K274" s="33" t="str">
        <f aca="false">IF(A274="","",SUMIFS(Gastos!$D$5:$D$504,Gastos!$E$5:$E$504,A274))</f>
        <v/>
      </c>
      <c r="L274" s="33" t="str">
        <f aca="false">IF(G274="","",G274-N(J274)-N(K274))</f>
        <v/>
      </c>
      <c r="M274" s="34" t="str">
        <f aca="false">IF(G274="","",IF(H274&gt;=G274,"Pago",IF(H274&gt;0,"Parcial","Pendente")))</f>
        <v/>
      </c>
      <c r="N274" s="32"/>
      <c r="O274" s="35" t="str">
        <f aca="true">IF(OR(B274="",B274&lt;TODAY()),"",COUNTIFS($B$5:$B$504,"&gt;="&amp;TODAY(),$B$5:$B$504,"&lt;"&amp;B274)+COUNTIFS($B$5:B274,B274))</f>
        <v/>
      </c>
    </row>
    <row r="275" customFormat="false" ht="15" hidden="false" customHeight="false" outlineLevel="0" collapsed="false">
      <c r="A275" s="32"/>
      <c r="B275" s="27"/>
      <c r="C275" s="29"/>
      <c r="D275" s="32"/>
      <c r="E275" s="32"/>
      <c r="F275" s="32"/>
      <c r="G275" s="31"/>
      <c r="H275" s="31"/>
      <c r="I275" s="33" t="str">
        <f aca="false">IF(G275="","",G275-H275)</f>
        <v/>
      </c>
      <c r="J275" s="33" t="str">
        <f aca="false">IF(A275="","",SUMIFS(Freelancers!$E$5:$E$504,Freelancers!$B$5:$B$504,A275))</f>
        <v/>
      </c>
      <c r="K275" s="33" t="str">
        <f aca="false">IF(A275="","",SUMIFS(Gastos!$D$5:$D$504,Gastos!$E$5:$E$504,A275))</f>
        <v/>
      </c>
      <c r="L275" s="33" t="str">
        <f aca="false">IF(G275="","",G275-N(J275)-N(K275))</f>
        <v/>
      </c>
      <c r="M275" s="34" t="str">
        <f aca="false">IF(G275="","",IF(H275&gt;=G275,"Pago",IF(H275&gt;0,"Parcial","Pendente")))</f>
        <v/>
      </c>
      <c r="N275" s="32"/>
      <c r="O275" s="35" t="str">
        <f aca="true">IF(OR(B275="",B275&lt;TODAY()),"",COUNTIFS($B$5:$B$504,"&gt;="&amp;TODAY(),$B$5:$B$504,"&lt;"&amp;B275)+COUNTIFS($B$5:B275,B275))</f>
        <v/>
      </c>
    </row>
    <row r="276" customFormat="false" ht="15" hidden="false" customHeight="false" outlineLevel="0" collapsed="false">
      <c r="A276" s="32"/>
      <c r="B276" s="27"/>
      <c r="C276" s="29"/>
      <c r="D276" s="32"/>
      <c r="E276" s="32"/>
      <c r="F276" s="32"/>
      <c r="G276" s="31"/>
      <c r="H276" s="31"/>
      <c r="I276" s="33" t="str">
        <f aca="false">IF(G276="","",G276-H276)</f>
        <v/>
      </c>
      <c r="J276" s="33" t="str">
        <f aca="false">IF(A276="","",SUMIFS(Freelancers!$E$5:$E$504,Freelancers!$B$5:$B$504,A276))</f>
        <v/>
      </c>
      <c r="K276" s="33" t="str">
        <f aca="false">IF(A276="","",SUMIFS(Gastos!$D$5:$D$504,Gastos!$E$5:$E$504,A276))</f>
        <v/>
      </c>
      <c r="L276" s="33" t="str">
        <f aca="false">IF(G276="","",G276-N(J276)-N(K276))</f>
        <v/>
      </c>
      <c r="M276" s="34" t="str">
        <f aca="false">IF(G276="","",IF(H276&gt;=G276,"Pago",IF(H276&gt;0,"Parcial","Pendente")))</f>
        <v/>
      </c>
      <c r="N276" s="32"/>
      <c r="O276" s="35" t="str">
        <f aca="true">IF(OR(B276="",B276&lt;TODAY()),"",COUNTIFS($B$5:$B$504,"&gt;="&amp;TODAY(),$B$5:$B$504,"&lt;"&amp;B276)+COUNTIFS($B$5:B276,B276))</f>
        <v/>
      </c>
    </row>
    <row r="277" customFormat="false" ht="15" hidden="false" customHeight="false" outlineLevel="0" collapsed="false">
      <c r="A277" s="32"/>
      <c r="B277" s="27"/>
      <c r="C277" s="29"/>
      <c r="D277" s="32"/>
      <c r="E277" s="32"/>
      <c r="F277" s="32"/>
      <c r="G277" s="31"/>
      <c r="H277" s="31"/>
      <c r="I277" s="33" t="str">
        <f aca="false">IF(G277="","",G277-H277)</f>
        <v/>
      </c>
      <c r="J277" s="33" t="str">
        <f aca="false">IF(A277="","",SUMIFS(Freelancers!$E$5:$E$504,Freelancers!$B$5:$B$504,A277))</f>
        <v/>
      </c>
      <c r="K277" s="33" t="str">
        <f aca="false">IF(A277="","",SUMIFS(Gastos!$D$5:$D$504,Gastos!$E$5:$E$504,A277))</f>
        <v/>
      </c>
      <c r="L277" s="33" t="str">
        <f aca="false">IF(G277="","",G277-N(J277)-N(K277))</f>
        <v/>
      </c>
      <c r="M277" s="34" t="str">
        <f aca="false">IF(G277="","",IF(H277&gt;=G277,"Pago",IF(H277&gt;0,"Parcial","Pendente")))</f>
        <v/>
      </c>
      <c r="N277" s="32"/>
      <c r="O277" s="35" t="str">
        <f aca="true">IF(OR(B277="",B277&lt;TODAY()),"",COUNTIFS($B$5:$B$504,"&gt;="&amp;TODAY(),$B$5:$B$504,"&lt;"&amp;B277)+COUNTIFS($B$5:B277,B277))</f>
        <v/>
      </c>
    </row>
    <row r="278" customFormat="false" ht="15" hidden="false" customHeight="false" outlineLevel="0" collapsed="false">
      <c r="A278" s="32"/>
      <c r="B278" s="27"/>
      <c r="C278" s="29"/>
      <c r="D278" s="32"/>
      <c r="E278" s="32"/>
      <c r="F278" s="32"/>
      <c r="G278" s="31"/>
      <c r="H278" s="31"/>
      <c r="I278" s="33" t="str">
        <f aca="false">IF(G278="","",G278-H278)</f>
        <v/>
      </c>
      <c r="J278" s="33" t="str">
        <f aca="false">IF(A278="","",SUMIFS(Freelancers!$E$5:$E$504,Freelancers!$B$5:$B$504,A278))</f>
        <v/>
      </c>
      <c r="K278" s="33" t="str">
        <f aca="false">IF(A278="","",SUMIFS(Gastos!$D$5:$D$504,Gastos!$E$5:$E$504,A278))</f>
        <v/>
      </c>
      <c r="L278" s="33" t="str">
        <f aca="false">IF(G278="","",G278-N(J278)-N(K278))</f>
        <v/>
      </c>
      <c r="M278" s="34" t="str">
        <f aca="false">IF(G278="","",IF(H278&gt;=G278,"Pago",IF(H278&gt;0,"Parcial","Pendente")))</f>
        <v/>
      </c>
      <c r="N278" s="32"/>
      <c r="O278" s="35" t="str">
        <f aca="true">IF(OR(B278="",B278&lt;TODAY()),"",COUNTIFS($B$5:$B$504,"&gt;="&amp;TODAY(),$B$5:$B$504,"&lt;"&amp;B278)+COUNTIFS($B$5:B278,B278))</f>
        <v/>
      </c>
    </row>
    <row r="279" customFormat="false" ht="15" hidden="false" customHeight="false" outlineLevel="0" collapsed="false">
      <c r="A279" s="32"/>
      <c r="B279" s="27"/>
      <c r="C279" s="29"/>
      <c r="D279" s="32"/>
      <c r="E279" s="32"/>
      <c r="F279" s="32"/>
      <c r="G279" s="31"/>
      <c r="H279" s="31"/>
      <c r="I279" s="33" t="str">
        <f aca="false">IF(G279="","",G279-H279)</f>
        <v/>
      </c>
      <c r="J279" s="33" t="str">
        <f aca="false">IF(A279="","",SUMIFS(Freelancers!$E$5:$E$504,Freelancers!$B$5:$B$504,A279))</f>
        <v/>
      </c>
      <c r="K279" s="33" t="str">
        <f aca="false">IF(A279="","",SUMIFS(Gastos!$D$5:$D$504,Gastos!$E$5:$E$504,A279))</f>
        <v/>
      </c>
      <c r="L279" s="33" t="str">
        <f aca="false">IF(G279="","",G279-N(J279)-N(K279))</f>
        <v/>
      </c>
      <c r="M279" s="34" t="str">
        <f aca="false">IF(G279="","",IF(H279&gt;=G279,"Pago",IF(H279&gt;0,"Parcial","Pendente")))</f>
        <v/>
      </c>
      <c r="N279" s="32"/>
      <c r="O279" s="35" t="str">
        <f aca="true">IF(OR(B279="",B279&lt;TODAY()),"",COUNTIFS($B$5:$B$504,"&gt;="&amp;TODAY(),$B$5:$B$504,"&lt;"&amp;B279)+COUNTIFS($B$5:B279,B279))</f>
        <v/>
      </c>
    </row>
    <row r="280" customFormat="false" ht="15" hidden="false" customHeight="false" outlineLevel="0" collapsed="false">
      <c r="A280" s="32"/>
      <c r="B280" s="27"/>
      <c r="C280" s="29"/>
      <c r="D280" s="32"/>
      <c r="E280" s="32"/>
      <c r="F280" s="32"/>
      <c r="G280" s="31"/>
      <c r="H280" s="31"/>
      <c r="I280" s="33" t="str">
        <f aca="false">IF(G280="","",G280-H280)</f>
        <v/>
      </c>
      <c r="J280" s="33" t="str">
        <f aca="false">IF(A280="","",SUMIFS(Freelancers!$E$5:$E$504,Freelancers!$B$5:$B$504,A280))</f>
        <v/>
      </c>
      <c r="K280" s="33" t="str">
        <f aca="false">IF(A280="","",SUMIFS(Gastos!$D$5:$D$504,Gastos!$E$5:$E$504,A280))</f>
        <v/>
      </c>
      <c r="L280" s="33" t="str">
        <f aca="false">IF(G280="","",G280-N(J280)-N(K280))</f>
        <v/>
      </c>
      <c r="M280" s="34" t="str">
        <f aca="false">IF(G280="","",IF(H280&gt;=G280,"Pago",IF(H280&gt;0,"Parcial","Pendente")))</f>
        <v/>
      </c>
      <c r="N280" s="32"/>
      <c r="O280" s="35" t="str">
        <f aca="true">IF(OR(B280="",B280&lt;TODAY()),"",COUNTIFS($B$5:$B$504,"&gt;="&amp;TODAY(),$B$5:$B$504,"&lt;"&amp;B280)+COUNTIFS($B$5:B280,B280))</f>
        <v/>
      </c>
    </row>
    <row r="281" customFormat="false" ht="15" hidden="false" customHeight="false" outlineLevel="0" collapsed="false">
      <c r="A281" s="32"/>
      <c r="B281" s="27"/>
      <c r="C281" s="29"/>
      <c r="D281" s="32"/>
      <c r="E281" s="32"/>
      <c r="F281" s="32"/>
      <c r="G281" s="31"/>
      <c r="H281" s="31"/>
      <c r="I281" s="33" t="str">
        <f aca="false">IF(G281="","",G281-H281)</f>
        <v/>
      </c>
      <c r="J281" s="33" t="str">
        <f aca="false">IF(A281="","",SUMIFS(Freelancers!$E$5:$E$504,Freelancers!$B$5:$B$504,A281))</f>
        <v/>
      </c>
      <c r="K281" s="33" t="str">
        <f aca="false">IF(A281="","",SUMIFS(Gastos!$D$5:$D$504,Gastos!$E$5:$E$504,A281))</f>
        <v/>
      </c>
      <c r="L281" s="33" t="str">
        <f aca="false">IF(G281="","",G281-N(J281)-N(K281))</f>
        <v/>
      </c>
      <c r="M281" s="34" t="str">
        <f aca="false">IF(G281="","",IF(H281&gt;=G281,"Pago",IF(H281&gt;0,"Parcial","Pendente")))</f>
        <v/>
      </c>
      <c r="N281" s="32"/>
      <c r="O281" s="35" t="str">
        <f aca="true">IF(OR(B281="",B281&lt;TODAY()),"",COUNTIFS($B$5:$B$504,"&gt;="&amp;TODAY(),$B$5:$B$504,"&lt;"&amp;B281)+COUNTIFS($B$5:B281,B281))</f>
        <v/>
      </c>
    </row>
    <row r="282" customFormat="false" ht="15" hidden="false" customHeight="false" outlineLevel="0" collapsed="false">
      <c r="A282" s="32"/>
      <c r="B282" s="27"/>
      <c r="C282" s="29"/>
      <c r="D282" s="32"/>
      <c r="E282" s="32"/>
      <c r="F282" s="32"/>
      <c r="G282" s="31"/>
      <c r="H282" s="31"/>
      <c r="I282" s="33" t="str">
        <f aca="false">IF(G282="","",G282-H282)</f>
        <v/>
      </c>
      <c r="J282" s="33" t="str">
        <f aca="false">IF(A282="","",SUMIFS(Freelancers!$E$5:$E$504,Freelancers!$B$5:$B$504,A282))</f>
        <v/>
      </c>
      <c r="K282" s="33" t="str">
        <f aca="false">IF(A282="","",SUMIFS(Gastos!$D$5:$D$504,Gastos!$E$5:$E$504,A282))</f>
        <v/>
      </c>
      <c r="L282" s="33" t="str">
        <f aca="false">IF(G282="","",G282-N(J282)-N(K282))</f>
        <v/>
      </c>
      <c r="M282" s="34" t="str">
        <f aca="false">IF(G282="","",IF(H282&gt;=G282,"Pago",IF(H282&gt;0,"Parcial","Pendente")))</f>
        <v/>
      </c>
      <c r="N282" s="32"/>
      <c r="O282" s="35" t="str">
        <f aca="true">IF(OR(B282="",B282&lt;TODAY()),"",COUNTIFS($B$5:$B$504,"&gt;="&amp;TODAY(),$B$5:$B$504,"&lt;"&amp;B282)+COUNTIFS($B$5:B282,B282))</f>
        <v/>
      </c>
    </row>
    <row r="283" customFormat="false" ht="15" hidden="false" customHeight="false" outlineLevel="0" collapsed="false">
      <c r="A283" s="32"/>
      <c r="B283" s="27"/>
      <c r="C283" s="29"/>
      <c r="D283" s="32"/>
      <c r="E283" s="32"/>
      <c r="F283" s="32"/>
      <c r="G283" s="31"/>
      <c r="H283" s="31"/>
      <c r="I283" s="33" t="str">
        <f aca="false">IF(G283="","",G283-H283)</f>
        <v/>
      </c>
      <c r="J283" s="33" t="str">
        <f aca="false">IF(A283="","",SUMIFS(Freelancers!$E$5:$E$504,Freelancers!$B$5:$B$504,A283))</f>
        <v/>
      </c>
      <c r="K283" s="33" t="str">
        <f aca="false">IF(A283="","",SUMIFS(Gastos!$D$5:$D$504,Gastos!$E$5:$E$504,A283))</f>
        <v/>
      </c>
      <c r="L283" s="33" t="str">
        <f aca="false">IF(G283="","",G283-N(J283)-N(K283))</f>
        <v/>
      </c>
      <c r="M283" s="34" t="str">
        <f aca="false">IF(G283="","",IF(H283&gt;=G283,"Pago",IF(H283&gt;0,"Parcial","Pendente")))</f>
        <v/>
      </c>
      <c r="N283" s="32"/>
      <c r="O283" s="35" t="str">
        <f aca="true">IF(OR(B283="",B283&lt;TODAY()),"",COUNTIFS($B$5:$B$504,"&gt;="&amp;TODAY(),$B$5:$B$504,"&lt;"&amp;B283)+COUNTIFS($B$5:B283,B283))</f>
        <v/>
      </c>
    </row>
    <row r="284" customFormat="false" ht="15" hidden="false" customHeight="false" outlineLevel="0" collapsed="false">
      <c r="A284" s="32"/>
      <c r="B284" s="27"/>
      <c r="C284" s="29"/>
      <c r="D284" s="32"/>
      <c r="E284" s="32"/>
      <c r="F284" s="32"/>
      <c r="G284" s="31"/>
      <c r="H284" s="31"/>
      <c r="I284" s="33" t="str">
        <f aca="false">IF(G284="","",G284-H284)</f>
        <v/>
      </c>
      <c r="J284" s="33" t="str">
        <f aca="false">IF(A284="","",SUMIFS(Freelancers!$E$5:$E$504,Freelancers!$B$5:$B$504,A284))</f>
        <v/>
      </c>
      <c r="K284" s="33" t="str">
        <f aca="false">IF(A284="","",SUMIFS(Gastos!$D$5:$D$504,Gastos!$E$5:$E$504,A284))</f>
        <v/>
      </c>
      <c r="L284" s="33" t="str">
        <f aca="false">IF(G284="","",G284-N(J284)-N(K284))</f>
        <v/>
      </c>
      <c r="M284" s="34" t="str">
        <f aca="false">IF(G284="","",IF(H284&gt;=G284,"Pago",IF(H284&gt;0,"Parcial","Pendente")))</f>
        <v/>
      </c>
      <c r="N284" s="32"/>
      <c r="O284" s="35" t="str">
        <f aca="true">IF(OR(B284="",B284&lt;TODAY()),"",COUNTIFS($B$5:$B$504,"&gt;="&amp;TODAY(),$B$5:$B$504,"&lt;"&amp;B284)+COUNTIFS($B$5:B284,B284))</f>
        <v/>
      </c>
    </row>
    <row r="285" customFormat="false" ht="15" hidden="false" customHeight="false" outlineLevel="0" collapsed="false">
      <c r="A285" s="32"/>
      <c r="B285" s="27"/>
      <c r="C285" s="29"/>
      <c r="D285" s="32"/>
      <c r="E285" s="32"/>
      <c r="F285" s="32"/>
      <c r="G285" s="31"/>
      <c r="H285" s="31"/>
      <c r="I285" s="33" t="str">
        <f aca="false">IF(G285="","",G285-H285)</f>
        <v/>
      </c>
      <c r="J285" s="33" t="str">
        <f aca="false">IF(A285="","",SUMIFS(Freelancers!$E$5:$E$504,Freelancers!$B$5:$B$504,A285))</f>
        <v/>
      </c>
      <c r="K285" s="33" t="str">
        <f aca="false">IF(A285="","",SUMIFS(Gastos!$D$5:$D$504,Gastos!$E$5:$E$504,A285))</f>
        <v/>
      </c>
      <c r="L285" s="33" t="str">
        <f aca="false">IF(G285="","",G285-N(J285)-N(K285))</f>
        <v/>
      </c>
      <c r="M285" s="34" t="str">
        <f aca="false">IF(G285="","",IF(H285&gt;=G285,"Pago",IF(H285&gt;0,"Parcial","Pendente")))</f>
        <v/>
      </c>
      <c r="N285" s="32"/>
      <c r="O285" s="35" t="str">
        <f aca="true">IF(OR(B285="",B285&lt;TODAY()),"",COUNTIFS($B$5:$B$504,"&gt;="&amp;TODAY(),$B$5:$B$504,"&lt;"&amp;B285)+COUNTIFS($B$5:B285,B285))</f>
        <v/>
      </c>
    </row>
    <row r="286" customFormat="false" ht="15" hidden="false" customHeight="false" outlineLevel="0" collapsed="false">
      <c r="A286" s="32"/>
      <c r="B286" s="27"/>
      <c r="C286" s="29"/>
      <c r="D286" s="32"/>
      <c r="E286" s="32"/>
      <c r="F286" s="32"/>
      <c r="G286" s="31"/>
      <c r="H286" s="31"/>
      <c r="I286" s="33" t="str">
        <f aca="false">IF(G286="","",G286-H286)</f>
        <v/>
      </c>
      <c r="J286" s="33" t="str">
        <f aca="false">IF(A286="","",SUMIFS(Freelancers!$E$5:$E$504,Freelancers!$B$5:$B$504,A286))</f>
        <v/>
      </c>
      <c r="K286" s="33" t="str">
        <f aca="false">IF(A286="","",SUMIFS(Gastos!$D$5:$D$504,Gastos!$E$5:$E$504,A286))</f>
        <v/>
      </c>
      <c r="L286" s="33" t="str">
        <f aca="false">IF(G286="","",G286-N(J286)-N(K286))</f>
        <v/>
      </c>
      <c r="M286" s="34" t="str">
        <f aca="false">IF(G286="","",IF(H286&gt;=G286,"Pago",IF(H286&gt;0,"Parcial","Pendente")))</f>
        <v/>
      </c>
      <c r="N286" s="32"/>
      <c r="O286" s="35" t="str">
        <f aca="true">IF(OR(B286="",B286&lt;TODAY()),"",COUNTIFS($B$5:$B$504,"&gt;="&amp;TODAY(),$B$5:$B$504,"&lt;"&amp;B286)+COUNTIFS($B$5:B286,B286))</f>
        <v/>
      </c>
    </row>
    <row r="287" customFormat="false" ht="15" hidden="false" customHeight="false" outlineLevel="0" collapsed="false">
      <c r="A287" s="32"/>
      <c r="B287" s="27"/>
      <c r="C287" s="29"/>
      <c r="D287" s="32"/>
      <c r="E287" s="32"/>
      <c r="F287" s="32"/>
      <c r="G287" s="31"/>
      <c r="H287" s="31"/>
      <c r="I287" s="33" t="str">
        <f aca="false">IF(G287="","",G287-H287)</f>
        <v/>
      </c>
      <c r="J287" s="33" t="str">
        <f aca="false">IF(A287="","",SUMIFS(Freelancers!$E$5:$E$504,Freelancers!$B$5:$B$504,A287))</f>
        <v/>
      </c>
      <c r="K287" s="33" t="str">
        <f aca="false">IF(A287="","",SUMIFS(Gastos!$D$5:$D$504,Gastos!$E$5:$E$504,A287))</f>
        <v/>
      </c>
      <c r="L287" s="33" t="str">
        <f aca="false">IF(G287="","",G287-N(J287)-N(K287))</f>
        <v/>
      </c>
      <c r="M287" s="34" t="str">
        <f aca="false">IF(G287="","",IF(H287&gt;=G287,"Pago",IF(H287&gt;0,"Parcial","Pendente")))</f>
        <v/>
      </c>
      <c r="N287" s="32"/>
      <c r="O287" s="35" t="str">
        <f aca="true">IF(OR(B287="",B287&lt;TODAY()),"",COUNTIFS($B$5:$B$504,"&gt;="&amp;TODAY(),$B$5:$B$504,"&lt;"&amp;B287)+COUNTIFS($B$5:B287,B287))</f>
        <v/>
      </c>
    </row>
    <row r="288" customFormat="false" ht="15" hidden="false" customHeight="false" outlineLevel="0" collapsed="false">
      <c r="A288" s="32"/>
      <c r="B288" s="27"/>
      <c r="C288" s="29"/>
      <c r="D288" s="32"/>
      <c r="E288" s="32"/>
      <c r="F288" s="32"/>
      <c r="G288" s="31"/>
      <c r="H288" s="31"/>
      <c r="I288" s="33" t="str">
        <f aca="false">IF(G288="","",G288-H288)</f>
        <v/>
      </c>
      <c r="J288" s="33" t="str">
        <f aca="false">IF(A288="","",SUMIFS(Freelancers!$E$5:$E$504,Freelancers!$B$5:$B$504,A288))</f>
        <v/>
      </c>
      <c r="K288" s="33" t="str">
        <f aca="false">IF(A288="","",SUMIFS(Gastos!$D$5:$D$504,Gastos!$E$5:$E$504,A288))</f>
        <v/>
      </c>
      <c r="L288" s="33" t="str">
        <f aca="false">IF(G288="","",G288-N(J288)-N(K288))</f>
        <v/>
      </c>
      <c r="M288" s="34" t="str">
        <f aca="false">IF(G288="","",IF(H288&gt;=G288,"Pago",IF(H288&gt;0,"Parcial","Pendente")))</f>
        <v/>
      </c>
      <c r="N288" s="32"/>
      <c r="O288" s="35" t="str">
        <f aca="true">IF(OR(B288="",B288&lt;TODAY()),"",COUNTIFS($B$5:$B$504,"&gt;="&amp;TODAY(),$B$5:$B$504,"&lt;"&amp;B288)+COUNTIFS($B$5:B288,B288))</f>
        <v/>
      </c>
    </row>
    <row r="289" customFormat="false" ht="15" hidden="false" customHeight="false" outlineLevel="0" collapsed="false">
      <c r="A289" s="32"/>
      <c r="B289" s="27"/>
      <c r="C289" s="29"/>
      <c r="D289" s="32"/>
      <c r="E289" s="32"/>
      <c r="F289" s="32"/>
      <c r="G289" s="31"/>
      <c r="H289" s="31"/>
      <c r="I289" s="33" t="str">
        <f aca="false">IF(G289="","",G289-H289)</f>
        <v/>
      </c>
      <c r="J289" s="33" t="str">
        <f aca="false">IF(A289="","",SUMIFS(Freelancers!$E$5:$E$504,Freelancers!$B$5:$B$504,A289))</f>
        <v/>
      </c>
      <c r="K289" s="33" t="str">
        <f aca="false">IF(A289="","",SUMIFS(Gastos!$D$5:$D$504,Gastos!$E$5:$E$504,A289))</f>
        <v/>
      </c>
      <c r="L289" s="33" t="str">
        <f aca="false">IF(G289="","",G289-N(J289)-N(K289))</f>
        <v/>
      </c>
      <c r="M289" s="34" t="str">
        <f aca="false">IF(G289="","",IF(H289&gt;=G289,"Pago",IF(H289&gt;0,"Parcial","Pendente")))</f>
        <v/>
      </c>
      <c r="N289" s="32"/>
      <c r="O289" s="35" t="str">
        <f aca="true">IF(OR(B289="",B289&lt;TODAY()),"",COUNTIFS($B$5:$B$504,"&gt;="&amp;TODAY(),$B$5:$B$504,"&lt;"&amp;B289)+COUNTIFS($B$5:B289,B289))</f>
        <v/>
      </c>
    </row>
    <row r="290" customFormat="false" ht="15" hidden="false" customHeight="false" outlineLevel="0" collapsed="false">
      <c r="A290" s="32"/>
      <c r="B290" s="27"/>
      <c r="C290" s="29"/>
      <c r="D290" s="32"/>
      <c r="E290" s="32"/>
      <c r="F290" s="32"/>
      <c r="G290" s="31"/>
      <c r="H290" s="31"/>
      <c r="I290" s="33" t="str">
        <f aca="false">IF(G290="","",G290-H290)</f>
        <v/>
      </c>
      <c r="J290" s="33" t="str">
        <f aca="false">IF(A290="","",SUMIFS(Freelancers!$E$5:$E$504,Freelancers!$B$5:$B$504,A290))</f>
        <v/>
      </c>
      <c r="K290" s="33" t="str">
        <f aca="false">IF(A290="","",SUMIFS(Gastos!$D$5:$D$504,Gastos!$E$5:$E$504,A290))</f>
        <v/>
      </c>
      <c r="L290" s="33" t="str">
        <f aca="false">IF(G290="","",G290-N(J290)-N(K290))</f>
        <v/>
      </c>
      <c r="M290" s="34" t="str">
        <f aca="false">IF(G290="","",IF(H290&gt;=G290,"Pago",IF(H290&gt;0,"Parcial","Pendente")))</f>
        <v/>
      </c>
      <c r="N290" s="32"/>
      <c r="O290" s="35" t="str">
        <f aca="true">IF(OR(B290="",B290&lt;TODAY()),"",COUNTIFS($B$5:$B$504,"&gt;="&amp;TODAY(),$B$5:$B$504,"&lt;"&amp;B290)+COUNTIFS($B$5:B290,B290))</f>
        <v/>
      </c>
    </row>
    <row r="291" customFormat="false" ht="15" hidden="false" customHeight="false" outlineLevel="0" collapsed="false">
      <c r="A291" s="32"/>
      <c r="B291" s="27"/>
      <c r="C291" s="29"/>
      <c r="D291" s="32"/>
      <c r="E291" s="32"/>
      <c r="F291" s="32"/>
      <c r="G291" s="31"/>
      <c r="H291" s="31"/>
      <c r="I291" s="33" t="str">
        <f aca="false">IF(G291="","",G291-H291)</f>
        <v/>
      </c>
      <c r="J291" s="33" t="str">
        <f aca="false">IF(A291="","",SUMIFS(Freelancers!$E$5:$E$504,Freelancers!$B$5:$B$504,A291))</f>
        <v/>
      </c>
      <c r="K291" s="33" t="str">
        <f aca="false">IF(A291="","",SUMIFS(Gastos!$D$5:$D$504,Gastos!$E$5:$E$504,A291))</f>
        <v/>
      </c>
      <c r="L291" s="33" t="str">
        <f aca="false">IF(G291="","",G291-N(J291)-N(K291))</f>
        <v/>
      </c>
      <c r="M291" s="34" t="str">
        <f aca="false">IF(G291="","",IF(H291&gt;=G291,"Pago",IF(H291&gt;0,"Parcial","Pendente")))</f>
        <v/>
      </c>
      <c r="N291" s="32"/>
      <c r="O291" s="35" t="str">
        <f aca="true">IF(OR(B291="",B291&lt;TODAY()),"",COUNTIFS($B$5:$B$504,"&gt;="&amp;TODAY(),$B$5:$B$504,"&lt;"&amp;B291)+COUNTIFS($B$5:B291,B291))</f>
        <v/>
      </c>
    </row>
    <row r="292" customFormat="false" ht="15" hidden="false" customHeight="false" outlineLevel="0" collapsed="false">
      <c r="A292" s="32"/>
      <c r="B292" s="27"/>
      <c r="C292" s="29"/>
      <c r="D292" s="32"/>
      <c r="E292" s="32"/>
      <c r="F292" s="32"/>
      <c r="G292" s="31"/>
      <c r="H292" s="31"/>
      <c r="I292" s="33" t="str">
        <f aca="false">IF(G292="","",G292-H292)</f>
        <v/>
      </c>
      <c r="J292" s="33" t="str">
        <f aca="false">IF(A292="","",SUMIFS(Freelancers!$E$5:$E$504,Freelancers!$B$5:$B$504,A292))</f>
        <v/>
      </c>
      <c r="K292" s="33" t="str">
        <f aca="false">IF(A292="","",SUMIFS(Gastos!$D$5:$D$504,Gastos!$E$5:$E$504,A292))</f>
        <v/>
      </c>
      <c r="L292" s="33" t="str">
        <f aca="false">IF(G292="","",G292-N(J292)-N(K292))</f>
        <v/>
      </c>
      <c r="M292" s="34" t="str">
        <f aca="false">IF(G292="","",IF(H292&gt;=G292,"Pago",IF(H292&gt;0,"Parcial","Pendente")))</f>
        <v/>
      </c>
      <c r="N292" s="32"/>
      <c r="O292" s="35" t="str">
        <f aca="true">IF(OR(B292="",B292&lt;TODAY()),"",COUNTIFS($B$5:$B$504,"&gt;="&amp;TODAY(),$B$5:$B$504,"&lt;"&amp;B292)+COUNTIFS($B$5:B292,B292))</f>
        <v/>
      </c>
    </row>
    <row r="293" customFormat="false" ht="15" hidden="false" customHeight="false" outlineLevel="0" collapsed="false">
      <c r="A293" s="32"/>
      <c r="B293" s="27"/>
      <c r="C293" s="29"/>
      <c r="D293" s="32"/>
      <c r="E293" s="32"/>
      <c r="F293" s="32"/>
      <c r="G293" s="31"/>
      <c r="H293" s="31"/>
      <c r="I293" s="33" t="str">
        <f aca="false">IF(G293="","",G293-H293)</f>
        <v/>
      </c>
      <c r="J293" s="33" t="str">
        <f aca="false">IF(A293="","",SUMIFS(Freelancers!$E$5:$E$504,Freelancers!$B$5:$B$504,A293))</f>
        <v/>
      </c>
      <c r="K293" s="33" t="str">
        <f aca="false">IF(A293="","",SUMIFS(Gastos!$D$5:$D$504,Gastos!$E$5:$E$504,A293))</f>
        <v/>
      </c>
      <c r="L293" s="33" t="str">
        <f aca="false">IF(G293="","",G293-N(J293)-N(K293))</f>
        <v/>
      </c>
      <c r="M293" s="34" t="str">
        <f aca="false">IF(G293="","",IF(H293&gt;=G293,"Pago",IF(H293&gt;0,"Parcial","Pendente")))</f>
        <v/>
      </c>
      <c r="N293" s="32"/>
      <c r="O293" s="35" t="str">
        <f aca="true">IF(OR(B293="",B293&lt;TODAY()),"",COUNTIFS($B$5:$B$504,"&gt;="&amp;TODAY(),$B$5:$B$504,"&lt;"&amp;B293)+COUNTIFS($B$5:B293,B293))</f>
        <v/>
      </c>
    </row>
    <row r="294" customFormat="false" ht="15" hidden="false" customHeight="false" outlineLevel="0" collapsed="false">
      <c r="A294" s="32"/>
      <c r="B294" s="27"/>
      <c r="C294" s="29"/>
      <c r="D294" s="32"/>
      <c r="E294" s="32"/>
      <c r="F294" s="32"/>
      <c r="G294" s="31"/>
      <c r="H294" s="31"/>
      <c r="I294" s="33" t="str">
        <f aca="false">IF(G294="","",G294-H294)</f>
        <v/>
      </c>
      <c r="J294" s="33" t="str">
        <f aca="false">IF(A294="","",SUMIFS(Freelancers!$E$5:$E$504,Freelancers!$B$5:$B$504,A294))</f>
        <v/>
      </c>
      <c r="K294" s="33" t="str">
        <f aca="false">IF(A294="","",SUMIFS(Gastos!$D$5:$D$504,Gastos!$E$5:$E$504,A294))</f>
        <v/>
      </c>
      <c r="L294" s="33" t="str">
        <f aca="false">IF(G294="","",G294-N(J294)-N(K294))</f>
        <v/>
      </c>
      <c r="M294" s="34" t="str">
        <f aca="false">IF(G294="","",IF(H294&gt;=G294,"Pago",IF(H294&gt;0,"Parcial","Pendente")))</f>
        <v/>
      </c>
      <c r="N294" s="32"/>
      <c r="O294" s="35" t="str">
        <f aca="true">IF(OR(B294="",B294&lt;TODAY()),"",COUNTIFS($B$5:$B$504,"&gt;="&amp;TODAY(),$B$5:$B$504,"&lt;"&amp;B294)+COUNTIFS($B$5:B294,B294))</f>
        <v/>
      </c>
    </row>
    <row r="295" customFormat="false" ht="15" hidden="false" customHeight="false" outlineLevel="0" collapsed="false">
      <c r="A295" s="32"/>
      <c r="B295" s="27"/>
      <c r="C295" s="29"/>
      <c r="D295" s="32"/>
      <c r="E295" s="32"/>
      <c r="F295" s="32"/>
      <c r="G295" s="31"/>
      <c r="H295" s="31"/>
      <c r="I295" s="33" t="str">
        <f aca="false">IF(G295="","",G295-H295)</f>
        <v/>
      </c>
      <c r="J295" s="33" t="str">
        <f aca="false">IF(A295="","",SUMIFS(Freelancers!$E$5:$E$504,Freelancers!$B$5:$B$504,A295))</f>
        <v/>
      </c>
      <c r="K295" s="33" t="str">
        <f aca="false">IF(A295="","",SUMIFS(Gastos!$D$5:$D$504,Gastos!$E$5:$E$504,A295))</f>
        <v/>
      </c>
      <c r="L295" s="33" t="str">
        <f aca="false">IF(G295="","",G295-N(J295)-N(K295))</f>
        <v/>
      </c>
      <c r="M295" s="34" t="str">
        <f aca="false">IF(G295="","",IF(H295&gt;=G295,"Pago",IF(H295&gt;0,"Parcial","Pendente")))</f>
        <v/>
      </c>
      <c r="N295" s="32"/>
      <c r="O295" s="35" t="str">
        <f aca="true">IF(OR(B295="",B295&lt;TODAY()),"",COUNTIFS($B$5:$B$504,"&gt;="&amp;TODAY(),$B$5:$B$504,"&lt;"&amp;B295)+COUNTIFS($B$5:B295,B295))</f>
        <v/>
      </c>
    </row>
    <row r="296" customFormat="false" ht="15" hidden="false" customHeight="false" outlineLevel="0" collapsed="false">
      <c r="A296" s="32"/>
      <c r="B296" s="27"/>
      <c r="C296" s="29"/>
      <c r="D296" s="32"/>
      <c r="E296" s="32"/>
      <c r="F296" s="32"/>
      <c r="G296" s="31"/>
      <c r="H296" s="31"/>
      <c r="I296" s="33" t="str">
        <f aca="false">IF(G296="","",G296-H296)</f>
        <v/>
      </c>
      <c r="J296" s="33" t="str">
        <f aca="false">IF(A296="","",SUMIFS(Freelancers!$E$5:$E$504,Freelancers!$B$5:$B$504,A296))</f>
        <v/>
      </c>
      <c r="K296" s="33" t="str">
        <f aca="false">IF(A296="","",SUMIFS(Gastos!$D$5:$D$504,Gastos!$E$5:$E$504,A296))</f>
        <v/>
      </c>
      <c r="L296" s="33" t="str">
        <f aca="false">IF(G296="","",G296-N(J296)-N(K296))</f>
        <v/>
      </c>
      <c r="M296" s="34" t="str">
        <f aca="false">IF(G296="","",IF(H296&gt;=G296,"Pago",IF(H296&gt;0,"Parcial","Pendente")))</f>
        <v/>
      </c>
      <c r="N296" s="32"/>
      <c r="O296" s="35" t="str">
        <f aca="true">IF(OR(B296="",B296&lt;TODAY()),"",COUNTIFS($B$5:$B$504,"&gt;="&amp;TODAY(),$B$5:$B$504,"&lt;"&amp;B296)+COUNTIFS($B$5:B296,B296))</f>
        <v/>
      </c>
    </row>
    <row r="297" customFormat="false" ht="15" hidden="false" customHeight="false" outlineLevel="0" collapsed="false">
      <c r="A297" s="32"/>
      <c r="B297" s="27"/>
      <c r="C297" s="29"/>
      <c r="D297" s="32"/>
      <c r="E297" s="32"/>
      <c r="F297" s="32"/>
      <c r="G297" s="31"/>
      <c r="H297" s="31"/>
      <c r="I297" s="33" t="str">
        <f aca="false">IF(G297="","",G297-H297)</f>
        <v/>
      </c>
      <c r="J297" s="33" t="str">
        <f aca="false">IF(A297="","",SUMIFS(Freelancers!$E$5:$E$504,Freelancers!$B$5:$B$504,A297))</f>
        <v/>
      </c>
      <c r="K297" s="33" t="str">
        <f aca="false">IF(A297="","",SUMIFS(Gastos!$D$5:$D$504,Gastos!$E$5:$E$504,A297))</f>
        <v/>
      </c>
      <c r="L297" s="33" t="str">
        <f aca="false">IF(G297="","",G297-N(J297)-N(K297))</f>
        <v/>
      </c>
      <c r="M297" s="34" t="str">
        <f aca="false">IF(G297="","",IF(H297&gt;=G297,"Pago",IF(H297&gt;0,"Parcial","Pendente")))</f>
        <v/>
      </c>
      <c r="N297" s="32"/>
      <c r="O297" s="35" t="str">
        <f aca="true">IF(OR(B297="",B297&lt;TODAY()),"",COUNTIFS($B$5:$B$504,"&gt;="&amp;TODAY(),$B$5:$B$504,"&lt;"&amp;B297)+COUNTIFS($B$5:B297,B297))</f>
        <v/>
      </c>
    </row>
    <row r="298" customFormat="false" ht="15" hidden="false" customHeight="false" outlineLevel="0" collapsed="false">
      <c r="A298" s="32"/>
      <c r="B298" s="27"/>
      <c r="C298" s="29"/>
      <c r="D298" s="32"/>
      <c r="E298" s="32"/>
      <c r="F298" s="32"/>
      <c r="G298" s="31"/>
      <c r="H298" s="31"/>
      <c r="I298" s="33" t="str">
        <f aca="false">IF(G298="","",G298-H298)</f>
        <v/>
      </c>
      <c r="J298" s="33" t="str">
        <f aca="false">IF(A298="","",SUMIFS(Freelancers!$E$5:$E$504,Freelancers!$B$5:$B$504,A298))</f>
        <v/>
      </c>
      <c r="K298" s="33" t="str">
        <f aca="false">IF(A298="","",SUMIFS(Gastos!$D$5:$D$504,Gastos!$E$5:$E$504,A298))</f>
        <v/>
      </c>
      <c r="L298" s="33" t="str">
        <f aca="false">IF(G298="","",G298-N(J298)-N(K298))</f>
        <v/>
      </c>
      <c r="M298" s="34" t="str">
        <f aca="false">IF(G298="","",IF(H298&gt;=G298,"Pago",IF(H298&gt;0,"Parcial","Pendente")))</f>
        <v/>
      </c>
      <c r="N298" s="32"/>
      <c r="O298" s="35" t="str">
        <f aca="true">IF(OR(B298="",B298&lt;TODAY()),"",COUNTIFS($B$5:$B$504,"&gt;="&amp;TODAY(),$B$5:$B$504,"&lt;"&amp;B298)+COUNTIFS($B$5:B298,B298))</f>
        <v/>
      </c>
    </row>
    <row r="299" customFormat="false" ht="15" hidden="false" customHeight="false" outlineLevel="0" collapsed="false">
      <c r="A299" s="32"/>
      <c r="B299" s="27"/>
      <c r="C299" s="29"/>
      <c r="D299" s="32"/>
      <c r="E299" s="32"/>
      <c r="F299" s="32"/>
      <c r="G299" s="31"/>
      <c r="H299" s="31"/>
      <c r="I299" s="33" t="str">
        <f aca="false">IF(G299="","",G299-H299)</f>
        <v/>
      </c>
      <c r="J299" s="33" t="str">
        <f aca="false">IF(A299="","",SUMIFS(Freelancers!$E$5:$E$504,Freelancers!$B$5:$B$504,A299))</f>
        <v/>
      </c>
      <c r="K299" s="33" t="str">
        <f aca="false">IF(A299="","",SUMIFS(Gastos!$D$5:$D$504,Gastos!$E$5:$E$504,A299))</f>
        <v/>
      </c>
      <c r="L299" s="33" t="str">
        <f aca="false">IF(G299="","",G299-N(J299)-N(K299))</f>
        <v/>
      </c>
      <c r="M299" s="34" t="str">
        <f aca="false">IF(G299="","",IF(H299&gt;=G299,"Pago",IF(H299&gt;0,"Parcial","Pendente")))</f>
        <v/>
      </c>
      <c r="N299" s="32"/>
      <c r="O299" s="35" t="str">
        <f aca="true">IF(OR(B299="",B299&lt;TODAY()),"",COUNTIFS($B$5:$B$504,"&gt;="&amp;TODAY(),$B$5:$B$504,"&lt;"&amp;B299)+COUNTIFS($B$5:B299,B299))</f>
        <v/>
      </c>
    </row>
    <row r="300" customFormat="false" ht="15" hidden="false" customHeight="false" outlineLevel="0" collapsed="false">
      <c r="A300" s="32"/>
      <c r="B300" s="27"/>
      <c r="C300" s="29"/>
      <c r="D300" s="32"/>
      <c r="E300" s="32"/>
      <c r="F300" s="32"/>
      <c r="G300" s="31"/>
      <c r="H300" s="31"/>
      <c r="I300" s="33" t="str">
        <f aca="false">IF(G300="","",G300-H300)</f>
        <v/>
      </c>
      <c r="J300" s="33" t="str">
        <f aca="false">IF(A300="","",SUMIFS(Freelancers!$E$5:$E$504,Freelancers!$B$5:$B$504,A300))</f>
        <v/>
      </c>
      <c r="K300" s="33" t="str">
        <f aca="false">IF(A300="","",SUMIFS(Gastos!$D$5:$D$504,Gastos!$E$5:$E$504,A300))</f>
        <v/>
      </c>
      <c r="L300" s="33" t="str">
        <f aca="false">IF(G300="","",G300-N(J300)-N(K300))</f>
        <v/>
      </c>
      <c r="M300" s="34" t="str">
        <f aca="false">IF(G300="","",IF(H300&gt;=G300,"Pago",IF(H300&gt;0,"Parcial","Pendente")))</f>
        <v/>
      </c>
      <c r="N300" s="32"/>
      <c r="O300" s="35" t="str">
        <f aca="true">IF(OR(B300="",B300&lt;TODAY()),"",COUNTIFS($B$5:$B$504,"&gt;="&amp;TODAY(),$B$5:$B$504,"&lt;"&amp;B300)+COUNTIFS($B$5:B300,B300))</f>
        <v/>
      </c>
    </row>
    <row r="301" customFormat="false" ht="15" hidden="false" customHeight="false" outlineLevel="0" collapsed="false">
      <c r="A301" s="32"/>
      <c r="B301" s="27"/>
      <c r="C301" s="29"/>
      <c r="D301" s="32"/>
      <c r="E301" s="32"/>
      <c r="F301" s="32"/>
      <c r="G301" s="31"/>
      <c r="H301" s="31"/>
      <c r="I301" s="33" t="str">
        <f aca="false">IF(G301="","",G301-H301)</f>
        <v/>
      </c>
      <c r="J301" s="33" t="str">
        <f aca="false">IF(A301="","",SUMIFS(Freelancers!$E$5:$E$504,Freelancers!$B$5:$B$504,A301))</f>
        <v/>
      </c>
      <c r="K301" s="33" t="str">
        <f aca="false">IF(A301="","",SUMIFS(Gastos!$D$5:$D$504,Gastos!$E$5:$E$504,A301))</f>
        <v/>
      </c>
      <c r="L301" s="33" t="str">
        <f aca="false">IF(G301="","",G301-N(J301)-N(K301))</f>
        <v/>
      </c>
      <c r="M301" s="34" t="str">
        <f aca="false">IF(G301="","",IF(H301&gt;=G301,"Pago",IF(H301&gt;0,"Parcial","Pendente")))</f>
        <v/>
      </c>
      <c r="N301" s="32"/>
      <c r="O301" s="35" t="str">
        <f aca="true">IF(OR(B301="",B301&lt;TODAY()),"",COUNTIFS($B$5:$B$504,"&gt;="&amp;TODAY(),$B$5:$B$504,"&lt;"&amp;B301)+COUNTIFS($B$5:B301,B301))</f>
        <v/>
      </c>
    </row>
    <row r="302" customFormat="false" ht="15" hidden="false" customHeight="false" outlineLevel="0" collapsed="false">
      <c r="A302" s="32"/>
      <c r="B302" s="27"/>
      <c r="C302" s="29"/>
      <c r="D302" s="32"/>
      <c r="E302" s="32"/>
      <c r="F302" s="32"/>
      <c r="G302" s="31"/>
      <c r="H302" s="31"/>
      <c r="I302" s="33" t="str">
        <f aca="false">IF(G302="","",G302-H302)</f>
        <v/>
      </c>
      <c r="J302" s="33" t="str">
        <f aca="false">IF(A302="","",SUMIFS(Freelancers!$E$5:$E$504,Freelancers!$B$5:$B$504,A302))</f>
        <v/>
      </c>
      <c r="K302" s="33" t="str">
        <f aca="false">IF(A302="","",SUMIFS(Gastos!$D$5:$D$504,Gastos!$E$5:$E$504,A302))</f>
        <v/>
      </c>
      <c r="L302" s="33" t="str">
        <f aca="false">IF(G302="","",G302-N(J302)-N(K302))</f>
        <v/>
      </c>
      <c r="M302" s="34" t="str">
        <f aca="false">IF(G302="","",IF(H302&gt;=G302,"Pago",IF(H302&gt;0,"Parcial","Pendente")))</f>
        <v/>
      </c>
      <c r="N302" s="32"/>
      <c r="O302" s="35" t="str">
        <f aca="true">IF(OR(B302="",B302&lt;TODAY()),"",COUNTIFS($B$5:$B$504,"&gt;="&amp;TODAY(),$B$5:$B$504,"&lt;"&amp;B302)+COUNTIFS($B$5:B302,B302))</f>
        <v/>
      </c>
    </row>
    <row r="303" customFormat="false" ht="15" hidden="false" customHeight="false" outlineLevel="0" collapsed="false">
      <c r="A303" s="32"/>
      <c r="B303" s="27"/>
      <c r="C303" s="29"/>
      <c r="D303" s="32"/>
      <c r="E303" s="32"/>
      <c r="F303" s="32"/>
      <c r="G303" s="31"/>
      <c r="H303" s="31"/>
      <c r="I303" s="33" t="str">
        <f aca="false">IF(G303="","",G303-H303)</f>
        <v/>
      </c>
      <c r="J303" s="33" t="str">
        <f aca="false">IF(A303="","",SUMIFS(Freelancers!$E$5:$E$504,Freelancers!$B$5:$B$504,A303))</f>
        <v/>
      </c>
      <c r="K303" s="33" t="str">
        <f aca="false">IF(A303="","",SUMIFS(Gastos!$D$5:$D$504,Gastos!$E$5:$E$504,A303))</f>
        <v/>
      </c>
      <c r="L303" s="33" t="str">
        <f aca="false">IF(G303="","",G303-N(J303)-N(K303))</f>
        <v/>
      </c>
      <c r="M303" s="34" t="str">
        <f aca="false">IF(G303="","",IF(H303&gt;=G303,"Pago",IF(H303&gt;0,"Parcial","Pendente")))</f>
        <v/>
      </c>
      <c r="N303" s="32"/>
      <c r="O303" s="35" t="str">
        <f aca="true">IF(OR(B303="",B303&lt;TODAY()),"",COUNTIFS($B$5:$B$504,"&gt;="&amp;TODAY(),$B$5:$B$504,"&lt;"&amp;B303)+COUNTIFS($B$5:B303,B303))</f>
        <v/>
      </c>
    </row>
    <row r="304" customFormat="false" ht="15" hidden="false" customHeight="false" outlineLevel="0" collapsed="false">
      <c r="A304" s="32"/>
      <c r="B304" s="27"/>
      <c r="C304" s="29"/>
      <c r="D304" s="32"/>
      <c r="E304" s="32"/>
      <c r="F304" s="32"/>
      <c r="G304" s="31"/>
      <c r="H304" s="31"/>
      <c r="I304" s="33" t="str">
        <f aca="false">IF(G304="","",G304-H304)</f>
        <v/>
      </c>
      <c r="J304" s="33" t="str">
        <f aca="false">IF(A304="","",SUMIFS(Freelancers!$E$5:$E$504,Freelancers!$B$5:$B$504,A304))</f>
        <v/>
      </c>
      <c r="K304" s="33" t="str">
        <f aca="false">IF(A304="","",SUMIFS(Gastos!$D$5:$D$504,Gastos!$E$5:$E$504,A304))</f>
        <v/>
      </c>
      <c r="L304" s="33" t="str">
        <f aca="false">IF(G304="","",G304-N(J304)-N(K304))</f>
        <v/>
      </c>
      <c r="M304" s="34" t="str">
        <f aca="false">IF(G304="","",IF(H304&gt;=G304,"Pago",IF(H304&gt;0,"Parcial","Pendente")))</f>
        <v/>
      </c>
      <c r="N304" s="32"/>
      <c r="O304" s="35" t="str">
        <f aca="true">IF(OR(B304="",B304&lt;TODAY()),"",COUNTIFS($B$5:$B$504,"&gt;="&amp;TODAY(),$B$5:$B$504,"&lt;"&amp;B304)+COUNTIFS($B$5:B304,B304))</f>
        <v/>
      </c>
    </row>
    <row r="305" customFormat="false" ht="15" hidden="false" customHeight="false" outlineLevel="0" collapsed="false">
      <c r="A305" s="32"/>
      <c r="B305" s="27"/>
      <c r="C305" s="29"/>
      <c r="D305" s="32"/>
      <c r="E305" s="32"/>
      <c r="F305" s="32"/>
      <c r="G305" s="31"/>
      <c r="H305" s="31"/>
      <c r="I305" s="33" t="str">
        <f aca="false">IF(G305="","",G305-H305)</f>
        <v/>
      </c>
      <c r="J305" s="33" t="str">
        <f aca="false">IF(A305="","",SUMIFS(Freelancers!$E$5:$E$504,Freelancers!$B$5:$B$504,A305))</f>
        <v/>
      </c>
      <c r="K305" s="33" t="str">
        <f aca="false">IF(A305="","",SUMIFS(Gastos!$D$5:$D$504,Gastos!$E$5:$E$504,A305))</f>
        <v/>
      </c>
      <c r="L305" s="33" t="str">
        <f aca="false">IF(G305="","",G305-N(J305)-N(K305))</f>
        <v/>
      </c>
      <c r="M305" s="34" t="str">
        <f aca="false">IF(G305="","",IF(H305&gt;=G305,"Pago",IF(H305&gt;0,"Parcial","Pendente")))</f>
        <v/>
      </c>
      <c r="N305" s="32"/>
      <c r="O305" s="35" t="str">
        <f aca="true">IF(OR(B305="",B305&lt;TODAY()),"",COUNTIFS($B$5:$B$504,"&gt;="&amp;TODAY(),$B$5:$B$504,"&lt;"&amp;B305)+COUNTIFS($B$5:B305,B305))</f>
        <v/>
      </c>
    </row>
    <row r="306" customFormat="false" ht="15" hidden="false" customHeight="false" outlineLevel="0" collapsed="false">
      <c r="A306" s="32"/>
      <c r="B306" s="27"/>
      <c r="C306" s="29"/>
      <c r="D306" s="32"/>
      <c r="E306" s="32"/>
      <c r="F306" s="32"/>
      <c r="G306" s="31"/>
      <c r="H306" s="31"/>
      <c r="I306" s="33" t="str">
        <f aca="false">IF(G306="","",G306-H306)</f>
        <v/>
      </c>
      <c r="J306" s="33" t="str">
        <f aca="false">IF(A306="","",SUMIFS(Freelancers!$E$5:$E$504,Freelancers!$B$5:$B$504,A306))</f>
        <v/>
      </c>
      <c r="K306" s="33" t="str">
        <f aca="false">IF(A306="","",SUMIFS(Gastos!$D$5:$D$504,Gastos!$E$5:$E$504,A306))</f>
        <v/>
      </c>
      <c r="L306" s="33" t="str">
        <f aca="false">IF(G306="","",G306-N(J306)-N(K306))</f>
        <v/>
      </c>
      <c r="M306" s="34" t="str">
        <f aca="false">IF(G306="","",IF(H306&gt;=G306,"Pago",IF(H306&gt;0,"Parcial","Pendente")))</f>
        <v/>
      </c>
      <c r="N306" s="32"/>
      <c r="O306" s="35" t="str">
        <f aca="true">IF(OR(B306="",B306&lt;TODAY()),"",COUNTIFS($B$5:$B$504,"&gt;="&amp;TODAY(),$B$5:$B$504,"&lt;"&amp;B306)+COUNTIFS($B$5:B306,B306))</f>
        <v/>
      </c>
    </row>
    <row r="307" customFormat="false" ht="15" hidden="false" customHeight="false" outlineLevel="0" collapsed="false">
      <c r="A307" s="32"/>
      <c r="B307" s="27"/>
      <c r="C307" s="29"/>
      <c r="D307" s="32"/>
      <c r="E307" s="32"/>
      <c r="F307" s="32"/>
      <c r="G307" s="31"/>
      <c r="H307" s="31"/>
      <c r="I307" s="33" t="str">
        <f aca="false">IF(G307="","",G307-H307)</f>
        <v/>
      </c>
      <c r="J307" s="33" t="str">
        <f aca="false">IF(A307="","",SUMIFS(Freelancers!$E$5:$E$504,Freelancers!$B$5:$B$504,A307))</f>
        <v/>
      </c>
      <c r="K307" s="33" t="str">
        <f aca="false">IF(A307="","",SUMIFS(Gastos!$D$5:$D$504,Gastos!$E$5:$E$504,A307))</f>
        <v/>
      </c>
      <c r="L307" s="33" t="str">
        <f aca="false">IF(G307="","",G307-N(J307)-N(K307))</f>
        <v/>
      </c>
      <c r="M307" s="34" t="str">
        <f aca="false">IF(G307="","",IF(H307&gt;=G307,"Pago",IF(H307&gt;0,"Parcial","Pendente")))</f>
        <v/>
      </c>
      <c r="N307" s="32"/>
      <c r="O307" s="35" t="str">
        <f aca="true">IF(OR(B307="",B307&lt;TODAY()),"",COUNTIFS($B$5:$B$504,"&gt;="&amp;TODAY(),$B$5:$B$504,"&lt;"&amp;B307)+COUNTIFS($B$5:B307,B307))</f>
        <v/>
      </c>
    </row>
    <row r="308" customFormat="false" ht="15" hidden="false" customHeight="false" outlineLevel="0" collapsed="false">
      <c r="A308" s="32"/>
      <c r="B308" s="27"/>
      <c r="C308" s="29"/>
      <c r="D308" s="32"/>
      <c r="E308" s="32"/>
      <c r="F308" s="32"/>
      <c r="G308" s="31"/>
      <c r="H308" s="31"/>
      <c r="I308" s="33" t="str">
        <f aca="false">IF(G308="","",G308-H308)</f>
        <v/>
      </c>
      <c r="J308" s="33" t="str">
        <f aca="false">IF(A308="","",SUMIFS(Freelancers!$E$5:$E$504,Freelancers!$B$5:$B$504,A308))</f>
        <v/>
      </c>
      <c r="K308" s="33" t="str">
        <f aca="false">IF(A308="","",SUMIFS(Gastos!$D$5:$D$504,Gastos!$E$5:$E$504,A308))</f>
        <v/>
      </c>
      <c r="L308" s="33" t="str">
        <f aca="false">IF(G308="","",G308-N(J308)-N(K308))</f>
        <v/>
      </c>
      <c r="M308" s="34" t="str">
        <f aca="false">IF(G308="","",IF(H308&gt;=G308,"Pago",IF(H308&gt;0,"Parcial","Pendente")))</f>
        <v/>
      </c>
      <c r="N308" s="32"/>
      <c r="O308" s="35" t="str">
        <f aca="true">IF(OR(B308="",B308&lt;TODAY()),"",COUNTIFS($B$5:$B$504,"&gt;="&amp;TODAY(),$B$5:$B$504,"&lt;"&amp;B308)+COUNTIFS($B$5:B308,B308))</f>
        <v/>
      </c>
    </row>
    <row r="309" customFormat="false" ht="15" hidden="false" customHeight="false" outlineLevel="0" collapsed="false">
      <c r="A309" s="32"/>
      <c r="B309" s="27"/>
      <c r="C309" s="29"/>
      <c r="D309" s="32"/>
      <c r="E309" s="32"/>
      <c r="F309" s="32"/>
      <c r="G309" s="31"/>
      <c r="H309" s="31"/>
      <c r="I309" s="33" t="str">
        <f aca="false">IF(G309="","",G309-H309)</f>
        <v/>
      </c>
      <c r="J309" s="33" t="str">
        <f aca="false">IF(A309="","",SUMIFS(Freelancers!$E$5:$E$504,Freelancers!$B$5:$B$504,A309))</f>
        <v/>
      </c>
      <c r="K309" s="33" t="str">
        <f aca="false">IF(A309="","",SUMIFS(Gastos!$D$5:$D$504,Gastos!$E$5:$E$504,A309))</f>
        <v/>
      </c>
      <c r="L309" s="33" t="str">
        <f aca="false">IF(G309="","",G309-N(J309)-N(K309))</f>
        <v/>
      </c>
      <c r="M309" s="34" t="str">
        <f aca="false">IF(G309="","",IF(H309&gt;=G309,"Pago",IF(H309&gt;0,"Parcial","Pendente")))</f>
        <v/>
      </c>
      <c r="N309" s="32"/>
      <c r="O309" s="35" t="str">
        <f aca="true">IF(OR(B309="",B309&lt;TODAY()),"",COUNTIFS($B$5:$B$504,"&gt;="&amp;TODAY(),$B$5:$B$504,"&lt;"&amp;B309)+COUNTIFS($B$5:B309,B309))</f>
        <v/>
      </c>
    </row>
    <row r="310" customFormat="false" ht="15" hidden="false" customHeight="false" outlineLevel="0" collapsed="false">
      <c r="A310" s="32"/>
      <c r="B310" s="27"/>
      <c r="C310" s="29"/>
      <c r="D310" s="32"/>
      <c r="E310" s="32"/>
      <c r="F310" s="32"/>
      <c r="G310" s="31"/>
      <c r="H310" s="31"/>
      <c r="I310" s="33" t="str">
        <f aca="false">IF(G310="","",G310-H310)</f>
        <v/>
      </c>
      <c r="J310" s="33" t="str">
        <f aca="false">IF(A310="","",SUMIFS(Freelancers!$E$5:$E$504,Freelancers!$B$5:$B$504,A310))</f>
        <v/>
      </c>
      <c r="K310" s="33" t="str">
        <f aca="false">IF(A310="","",SUMIFS(Gastos!$D$5:$D$504,Gastos!$E$5:$E$504,A310))</f>
        <v/>
      </c>
      <c r="L310" s="33" t="str">
        <f aca="false">IF(G310="","",G310-N(J310)-N(K310))</f>
        <v/>
      </c>
      <c r="M310" s="34" t="str">
        <f aca="false">IF(G310="","",IF(H310&gt;=G310,"Pago",IF(H310&gt;0,"Parcial","Pendente")))</f>
        <v/>
      </c>
      <c r="N310" s="32"/>
      <c r="O310" s="35" t="str">
        <f aca="true">IF(OR(B310="",B310&lt;TODAY()),"",COUNTIFS($B$5:$B$504,"&gt;="&amp;TODAY(),$B$5:$B$504,"&lt;"&amp;B310)+COUNTIFS($B$5:B310,B310))</f>
        <v/>
      </c>
    </row>
    <row r="311" customFormat="false" ht="15" hidden="false" customHeight="false" outlineLevel="0" collapsed="false">
      <c r="A311" s="32"/>
      <c r="B311" s="27"/>
      <c r="C311" s="29"/>
      <c r="D311" s="32"/>
      <c r="E311" s="32"/>
      <c r="F311" s="32"/>
      <c r="G311" s="31"/>
      <c r="H311" s="31"/>
      <c r="I311" s="33" t="str">
        <f aca="false">IF(G311="","",G311-H311)</f>
        <v/>
      </c>
      <c r="J311" s="33" t="str">
        <f aca="false">IF(A311="","",SUMIFS(Freelancers!$E$5:$E$504,Freelancers!$B$5:$B$504,A311))</f>
        <v/>
      </c>
      <c r="K311" s="33" t="str">
        <f aca="false">IF(A311="","",SUMIFS(Gastos!$D$5:$D$504,Gastos!$E$5:$E$504,A311))</f>
        <v/>
      </c>
      <c r="L311" s="33" t="str">
        <f aca="false">IF(G311="","",G311-N(J311)-N(K311))</f>
        <v/>
      </c>
      <c r="M311" s="34" t="str">
        <f aca="false">IF(G311="","",IF(H311&gt;=G311,"Pago",IF(H311&gt;0,"Parcial","Pendente")))</f>
        <v/>
      </c>
      <c r="N311" s="32"/>
      <c r="O311" s="35" t="str">
        <f aca="true">IF(OR(B311="",B311&lt;TODAY()),"",COUNTIFS($B$5:$B$504,"&gt;="&amp;TODAY(),$B$5:$B$504,"&lt;"&amp;B311)+COUNTIFS($B$5:B311,B311))</f>
        <v/>
      </c>
    </row>
    <row r="312" customFormat="false" ht="15" hidden="false" customHeight="false" outlineLevel="0" collapsed="false">
      <c r="A312" s="32"/>
      <c r="B312" s="27"/>
      <c r="C312" s="29"/>
      <c r="D312" s="32"/>
      <c r="E312" s="32"/>
      <c r="F312" s="32"/>
      <c r="G312" s="31"/>
      <c r="H312" s="31"/>
      <c r="I312" s="33" t="str">
        <f aca="false">IF(G312="","",G312-H312)</f>
        <v/>
      </c>
      <c r="J312" s="33" t="str">
        <f aca="false">IF(A312="","",SUMIFS(Freelancers!$E$5:$E$504,Freelancers!$B$5:$B$504,A312))</f>
        <v/>
      </c>
      <c r="K312" s="33" t="str">
        <f aca="false">IF(A312="","",SUMIFS(Gastos!$D$5:$D$504,Gastos!$E$5:$E$504,A312))</f>
        <v/>
      </c>
      <c r="L312" s="33" t="str">
        <f aca="false">IF(G312="","",G312-N(J312)-N(K312))</f>
        <v/>
      </c>
      <c r="M312" s="34" t="str">
        <f aca="false">IF(G312="","",IF(H312&gt;=G312,"Pago",IF(H312&gt;0,"Parcial","Pendente")))</f>
        <v/>
      </c>
      <c r="N312" s="32"/>
      <c r="O312" s="35" t="str">
        <f aca="true">IF(OR(B312="",B312&lt;TODAY()),"",COUNTIFS($B$5:$B$504,"&gt;="&amp;TODAY(),$B$5:$B$504,"&lt;"&amp;B312)+COUNTIFS($B$5:B312,B312))</f>
        <v/>
      </c>
    </row>
    <row r="313" customFormat="false" ht="15" hidden="false" customHeight="false" outlineLevel="0" collapsed="false">
      <c r="A313" s="32"/>
      <c r="B313" s="27"/>
      <c r="C313" s="29"/>
      <c r="D313" s="32"/>
      <c r="E313" s="32"/>
      <c r="F313" s="32"/>
      <c r="G313" s="31"/>
      <c r="H313" s="31"/>
      <c r="I313" s="33" t="str">
        <f aca="false">IF(G313="","",G313-H313)</f>
        <v/>
      </c>
      <c r="J313" s="33" t="str">
        <f aca="false">IF(A313="","",SUMIFS(Freelancers!$E$5:$E$504,Freelancers!$B$5:$B$504,A313))</f>
        <v/>
      </c>
      <c r="K313" s="33" t="str">
        <f aca="false">IF(A313="","",SUMIFS(Gastos!$D$5:$D$504,Gastos!$E$5:$E$504,A313))</f>
        <v/>
      </c>
      <c r="L313" s="33" t="str">
        <f aca="false">IF(G313="","",G313-N(J313)-N(K313))</f>
        <v/>
      </c>
      <c r="M313" s="34" t="str">
        <f aca="false">IF(G313="","",IF(H313&gt;=G313,"Pago",IF(H313&gt;0,"Parcial","Pendente")))</f>
        <v/>
      </c>
      <c r="N313" s="32"/>
      <c r="O313" s="35" t="str">
        <f aca="true">IF(OR(B313="",B313&lt;TODAY()),"",COUNTIFS($B$5:$B$504,"&gt;="&amp;TODAY(),$B$5:$B$504,"&lt;"&amp;B313)+COUNTIFS($B$5:B313,B313))</f>
        <v/>
      </c>
    </row>
    <row r="314" customFormat="false" ht="15" hidden="false" customHeight="false" outlineLevel="0" collapsed="false">
      <c r="A314" s="32"/>
      <c r="B314" s="27"/>
      <c r="C314" s="29"/>
      <c r="D314" s="32"/>
      <c r="E314" s="32"/>
      <c r="F314" s="32"/>
      <c r="G314" s="31"/>
      <c r="H314" s="31"/>
      <c r="I314" s="33" t="str">
        <f aca="false">IF(G314="","",G314-H314)</f>
        <v/>
      </c>
      <c r="J314" s="33" t="str">
        <f aca="false">IF(A314="","",SUMIFS(Freelancers!$E$5:$E$504,Freelancers!$B$5:$B$504,A314))</f>
        <v/>
      </c>
      <c r="K314" s="33" t="str">
        <f aca="false">IF(A314="","",SUMIFS(Gastos!$D$5:$D$504,Gastos!$E$5:$E$504,A314))</f>
        <v/>
      </c>
      <c r="L314" s="33" t="str">
        <f aca="false">IF(G314="","",G314-N(J314)-N(K314))</f>
        <v/>
      </c>
      <c r="M314" s="34" t="str">
        <f aca="false">IF(G314="","",IF(H314&gt;=G314,"Pago",IF(H314&gt;0,"Parcial","Pendente")))</f>
        <v/>
      </c>
      <c r="N314" s="32"/>
      <c r="O314" s="35" t="str">
        <f aca="true">IF(OR(B314="",B314&lt;TODAY()),"",COUNTIFS($B$5:$B$504,"&gt;="&amp;TODAY(),$B$5:$B$504,"&lt;"&amp;B314)+COUNTIFS($B$5:B314,B314))</f>
        <v/>
      </c>
    </row>
    <row r="315" customFormat="false" ht="15" hidden="false" customHeight="false" outlineLevel="0" collapsed="false">
      <c r="A315" s="32"/>
      <c r="B315" s="27"/>
      <c r="C315" s="29"/>
      <c r="D315" s="32"/>
      <c r="E315" s="32"/>
      <c r="F315" s="32"/>
      <c r="G315" s="31"/>
      <c r="H315" s="31"/>
      <c r="I315" s="33" t="str">
        <f aca="false">IF(G315="","",G315-H315)</f>
        <v/>
      </c>
      <c r="J315" s="33" t="str">
        <f aca="false">IF(A315="","",SUMIFS(Freelancers!$E$5:$E$504,Freelancers!$B$5:$B$504,A315))</f>
        <v/>
      </c>
      <c r="K315" s="33" t="str">
        <f aca="false">IF(A315="","",SUMIFS(Gastos!$D$5:$D$504,Gastos!$E$5:$E$504,A315))</f>
        <v/>
      </c>
      <c r="L315" s="33" t="str">
        <f aca="false">IF(G315="","",G315-N(J315)-N(K315))</f>
        <v/>
      </c>
      <c r="M315" s="34" t="str">
        <f aca="false">IF(G315="","",IF(H315&gt;=G315,"Pago",IF(H315&gt;0,"Parcial","Pendente")))</f>
        <v/>
      </c>
      <c r="N315" s="32"/>
      <c r="O315" s="35" t="str">
        <f aca="true">IF(OR(B315="",B315&lt;TODAY()),"",COUNTIFS($B$5:$B$504,"&gt;="&amp;TODAY(),$B$5:$B$504,"&lt;"&amp;B315)+COUNTIFS($B$5:B315,B315))</f>
        <v/>
      </c>
    </row>
    <row r="316" customFormat="false" ht="15" hidden="false" customHeight="false" outlineLevel="0" collapsed="false">
      <c r="A316" s="32"/>
      <c r="B316" s="27"/>
      <c r="C316" s="29"/>
      <c r="D316" s="32"/>
      <c r="E316" s="32"/>
      <c r="F316" s="32"/>
      <c r="G316" s="31"/>
      <c r="H316" s="31"/>
      <c r="I316" s="33" t="str">
        <f aca="false">IF(G316="","",G316-H316)</f>
        <v/>
      </c>
      <c r="J316" s="33" t="str">
        <f aca="false">IF(A316="","",SUMIFS(Freelancers!$E$5:$E$504,Freelancers!$B$5:$B$504,A316))</f>
        <v/>
      </c>
      <c r="K316" s="33" t="str">
        <f aca="false">IF(A316="","",SUMIFS(Gastos!$D$5:$D$504,Gastos!$E$5:$E$504,A316))</f>
        <v/>
      </c>
      <c r="L316" s="33" t="str">
        <f aca="false">IF(G316="","",G316-N(J316)-N(K316))</f>
        <v/>
      </c>
      <c r="M316" s="34" t="str">
        <f aca="false">IF(G316="","",IF(H316&gt;=G316,"Pago",IF(H316&gt;0,"Parcial","Pendente")))</f>
        <v/>
      </c>
      <c r="N316" s="32"/>
      <c r="O316" s="35" t="str">
        <f aca="true">IF(OR(B316="",B316&lt;TODAY()),"",COUNTIFS($B$5:$B$504,"&gt;="&amp;TODAY(),$B$5:$B$504,"&lt;"&amp;B316)+COUNTIFS($B$5:B316,B316))</f>
        <v/>
      </c>
    </row>
    <row r="317" customFormat="false" ht="15" hidden="false" customHeight="false" outlineLevel="0" collapsed="false">
      <c r="A317" s="32"/>
      <c r="B317" s="27"/>
      <c r="C317" s="29"/>
      <c r="D317" s="32"/>
      <c r="E317" s="32"/>
      <c r="F317" s="32"/>
      <c r="G317" s="31"/>
      <c r="H317" s="31"/>
      <c r="I317" s="33" t="str">
        <f aca="false">IF(G317="","",G317-H317)</f>
        <v/>
      </c>
      <c r="J317" s="33" t="str">
        <f aca="false">IF(A317="","",SUMIFS(Freelancers!$E$5:$E$504,Freelancers!$B$5:$B$504,A317))</f>
        <v/>
      </c>
      <c r="K317" s="33" t="str">
        <f aca="false">IF(A317="","",SUMIFS(Gastos!$D$5:$D$504,Gastos!$E$5:$E$504,A317))</f>
        <v/>
      </c>
      <c r="L317" s="33" t="str">
        <f aca="false">IF(G317="","",G317-N(J317)-N(K317))</f>
        <v/>
      </c>
      <c r="M317" s="34" t="str">
        <f aca="false">IF(G317="","",IF(H317&gt;=G317,"Pago",IF(H317&gt;0,"Parcial","Pendente")))</f>
        <v/>
      </c>
      <c r="N317" s="32"/>
      <c r="O317" s="35" t="str">
        <f aca="true">IF(OR(B317="",B317&lt;TODAY()),"",COUNTIFS($B$5:$B$504,"&gt;="&amp;TODAY(),$B$5:$B$504,"&lt;"&amp;B317)+COUNTIFS($B$5:B317,B317))</f>
        <v/>
      </c>
    </row>
    <row r="318" customFormat="false" ht="15" hidden="false" customHeight="false" outlineLevel="0" collapsed="false">
      <c r="A318" s="32"/>
      <c r="B318" s="27"/>
      <c r="C318" s="29"/>
      <c r="D318" s="32"/>
      <c r="E318" s="32"/>
      <c r="F318" s="32"/>
      <c r="G318" s="31"/>
      <c r="H318" s="31"/>
      <c r="I318" s="33" t="str">
        <f aca="false">IF(G318="","",G318-H318)</f>
        <v/>
      </c>
      <c r="J318" s="33" t="str">
        <f aca="false">IF(A318="","",SUMIFS(Freelancers!$E$5:$E$504,Freelancers!$B$5:$B$504,A318))</f>
        <v/>
      </c>
      <c r="K318" s="33" t="str">
        <f aca="false">IF(A318="","",SUMIFS(Gastos!$D$5:$D$504,Gastos!$E$5:$E$504,A318))</f>
        <v/>
      </c>
      <c r="L318" s="33" t="str">
        <f aca="false">IF(G318="","",G318-N(J318)-N(K318))</f>
        <v/>
      </c>
      <c r="M318" s="34" t="str">
        <f aca="false">IF(G318="","",IF(H318&gt;=G318,"Pago",IF(H318&gt;0,"Parcial","Pendente")))</f>
        <v/>
      </c>
      <c r="N318" s="32"/>
      <c r="O318" s="35" t="str">
        <f aca="true">IF(OR(B318="",B318&lt;TODAY()),"",COUNTIFS($B$5:$B$504,"&gt;="&amp;TODAY(),$B$5:$B$504,"&lt;"&amp;B318)+COUNTIFS($B$5:B318,B318))</f>
        <v/>
      </c>
    </row>
    <row r="319" customFormat="false" ht="15" hidden="false" customHeight="false" outlineLevel="0" collapsed="false">
      <c r="A319" s="32"/>
      <c r="B319" s="27"/>
      <c r="C319" s="29"/>
      <c r="D319" s="32"/>
      <c r="E319" s="32"/>
      <c r="F319" s="32"/>
      <c r="G319" s="31"/>
      <c r="H319" s="31"/>
      <c r="I319" s="33" t="str">
        <f aca="false">IF(G319="","",G319-H319)</f>
        <v/>
      </c>
      <c r="J319" s="33" t="str">
        <f aca="false">IF(A319="","",SUMIFS(Freelancers!$E$5:$E$504,Freelancers!$B$5:$B$504,A319))</f>
        <v/>
      </c>
      <c r="K319" s="33" t="str">
        <f aca="false">IF(A319="","",SUMIFS(Gastos!$D$5:$D$504,Gastos!$E$5:$E$504,A319))</f>
        <v/>
      </c>
      <c r="L319" s="33" t="str">
        <f aca="false">IF(G319="","",G319-N(J319)-N(K319))</f>
        <v/>
      </c>
      <c r="M319" s="34" t="str">
        <f aca="false">IF(G319="","",IF(H319&gt;=G319,"Pago",IF(H319&gt;0,"Parcial","Pendente")))</f>
        <v/>
      </c>
      <c r="N319" s="32"/>
      <c r="O319" s="35" t="str">
        <f aca="true">IF(OR(B319="",B319&lt;TODAY()),"",COUNTIFS($B$5:$B$504,"&gt;="&amp;TODAY(),$B$5:$B$504,"&lt;"&amp;B319)+COUNTIFS($B$5:B319,B319))</f>
        <v/>
      </c>
    </row>
    <row r="320" customFormat="false" ht="15" hidden="false" customHeight="false" outlineLevel="0" collapsed="false">
      <c r="A320" s="32"/>
      <c r="B320" s="27"/>
      <c r="C320" s="29"/>
      <c r="D320" s="32"/>
      <c r="E320" s="32"/>
      <c r="F320" s="32"/>
      <c r="G320" s="31"/>
      <c r="H320" s="31"/>
      <c r="I320" s="33" t="str">
        <f aca="false">IF(G320="","",G320-H320)</f>
        <v/>
      </c>
      <c r="J320" s="33" t="str">
        <f aca="false">IF(A320="","",SUMIFS(Freelancers!$E$5:$E$504,Freelancers!$B$5:$B$504,A320))</f>
        <v/>
      </c>
      <c r="K320" s="33" t="str">
        <f aca="false">IF(A320="","",SUMIFS(Gastos!$D$5:$D$504,Gastos!$E$5:$E$504,A320))</f>
        <v/>
      </c>
      <c r="L320" s="33" t="str">
        <f aca="false">IF(G320="","",G320-N(J320)-N(K320))</f>
        <v/>
      </c>
      <c r="M320" s="34" t="str">
        <f aca="false">IF(G320="","",IF(H320&gt;=G320,"Pago",IF(H320&gt;0,"Parcial","Pendente")))</f>
        <v/>
      </c>
      <c r="N320" s="32"/>
      <c r="O320" s="35" t="str">
        <f aca="true">IF(OR(B320="",B320&lt;TODAY()),"",COUNTIFS($B$5:$B$504,"&gt;="&amp;TODAY(),$B$5:$B$504,"&lt;"&amp;B320)+COUNTIFS($B$5:B320,B320))</f>
        <v/>
      </c>
    </row>
    <row r="321" customFormat="false" ht="15" hidden="false" customHeight="false" outlineLevel="0" collapsed="false">
      <c r="A321" s="32"/>
      <c r="B321" s="27"/>
      <c r="C321" s="29"/>
      <c r="D321" s="32"/>
      <c r="E321" s="32"/>
      <c r="F321" s="32"/>
      <c r="G321" s="31"/>
      <c r="H321" s="31"/>
      <c r="I321" s="33" t="str">
        <f aca="false">IF(G321="","",G321-H321)</f>
        <v/>
      </c>
      <c r="J321" s="33" t="str">
        <f aca="false">IF(A321="","",SUMIFS(Freelancers!$E$5:$E$504,Freelancers!$B$5:$B$504,A321))</f>
        <v/>
      </c>
      <c r="K321" s="33" t="str">
        <f aca="false">IF(A321="","",SUMIFS(Gastos!$D$5:$D$504,Gastos!$E$5:$E$504,A321))</f>
        <v/>
      </c>
      <c r="L321" s="33" t="str">
        <f aca="false">IF(G321="","",G321-N(J321)-N(K321))</f>
        <v/>
      </c>
      <c r="M321" s="34" t="str">
        <f aca="false">IF(G321="","",IF(H321&gt;=G321,"Pago",IF(H321&gt;0,"Parcial","Pendente")))</f>
        <v/>
      </c>
      <c r="N321" s="32"/>
      <c r="O321" s="35" t="str">
        <f aca="true">IF(OR(B321="",B321&lt;TODAY()),"",COUNTIFS($B$5:$B$504,"&gt;="&amp;TODAY(),$B$5:$B$504,"&lt;"&amp;B321)+COUNTIFS($B$5:B321,B321))</f>
        <v/>
      </c>
    </row>
    <row r="322" customFormat="false" ht="15" hidden="false" customHeight="false" outlineLevel="0" collapsed="false">
      <c r="A322" s="32"/>
      <c r="B322" s="27"/>
      <c r="C322" s="29"/>
      <c r="D322" s="32"/>
      <c r="E322" s="32"/>
      <c r="F322" s="32"/>
      <c r="G322" s="31"/>
      <c r="H322" s="31"/>
      <c r="I322" s="33" t="str">
        <f aca="false">IF(G322="","",G322-H322)</f>
        <v/>
      </c>
      <c r="J322" s="33" t="str">
        <f aca="false">IF(A322="","",SUMIFS(Freelancers!$E$5:$E$504,Freelancers!$B$5:$B$504,A322))</f>
        <v/>
      </c>
      <c r="K322" s="33" t="str">
        <f aca="false">IF(A322="","",SUMIFS(Gastos!$D$5:$D$504,Gastos!$E$5:$E$504,A322))</f>
        <v/>
      </c>
      <c r="L322" s="33" t="str">
        <f aca="false">IF(G322="","",G322-N(J322)-N(K322))</f>
        <v/>
      </c>
      <c r="M322" s="34" t="str">
        <f aca="false">IF(G322="","",IF(H322&gt;=G322,"Pago",IF(H322&gt;0,"Parcial","Pendente")))</f>
        <v/>
      </c>
      <c r="N322" s="32"/>
      <c r="O322" s="35" t="str">
        <f aca="true">IF(OR(B322="",B322&lt;TODAY()),"",COUNTIFS($B$5:$B$504,"&gt;="&amp;TODAY(),$B$5:$B$504,"&lt;"&amp;B322)+COUNTIFS($B$5:B322,B322))</f>
        <v/>
      </c>
    </row>
    <row r="323" customFormat="false" ht="15" hidden="false" customHeight="false" outlineLevel="0" collapsed="false">
      <c r="A323" s="32"/>
      <c r="B323" s="27"/>
      <c r="C323" s="29"/>
      <c r="D323" s="32"/>
      <c r="E323" s="32"/>
      <c r="F323" s="32"/>
      <c r="G323" s="31"/>
      <c r="H323" s="31"/>
      <c r="I323" s="33" t="str">
        <f aca="false">IF(G323="","",G323-H323)</f>
        <v/>
      </c>
      <c r="J323" s="33" t="str">
        <f aca="false">IF(A323="","",SUMIFS(Freelancers!$E$5:$E$504,Freelancers!$B$5:$B$504,A323))</f>
        <v/>
      </c>
      <c r="K323" s="33" t="str">
        <f aca="false">IF(A323="","",SUMIFS(Gastos!$D$5:$D$504,Gastos!$E$5:$E$504,A323))</f>
        <v/>
      </c>
      <c r="L323" s="33" t="str">
        <f aca="false">IF(G323="","",G323-N(J323)-N(K323))</f>
        <v/>
      </c>
      <c r="M323" s="34" t="str">
        <f aca="false">IF(G323="","",IF(H323&gt;=G323,"Pago",IF(H323&gt;0,"Parcial","Pendente")))</f>
        <v/>
      </c>
      <c r="N323" s="32"/>
      <c r="O323" s="35" t="str">
        <f aca="true">IF(OR(B323="",B323&lt;TODAY()),"",COUNTIFS($B$5:$B$504,"&gt;="&amp;TODAY(),$B$5:$B$504,"&lt;"&amp;B323)+COUNTIFS($B$5:B323,B323))</f>
        <v/>
      </c>
    </row>
    <row r="324" customFormat="false" ht="15" hidden="false" customHeight="false" outlineLevel="0" collapsed="false">
      <c r="A324" s="32"/>
      <c r="B324" s="27"/>
      <c r="C324" s="29"/>
      <c r="D324" s="32"/>
      <c r="E324" s="32"/>
      <c r="F324" s="32"/>
      <c r="G324" s="31"/>
      <c r="H324" s="31"/>
      <c r="I324" s="33" t="str">
        <f aca="false">IF(G324="","",G324-H324)</f>
        <v/>
      </c>
      <c r="J324" s="33" t="str">
        <f aca="false">IF(A324="","",SUMIFS(Freelancers!$E$5:$E$504,Freelancers!$B$5:$B$504,A324))</f>
        <v/>
      </c>
      <c r="K324" s="33" t="str">
        <f aca="false">IF(A324="","",SUMIFS(Gastos!$D$5:$D$504,Gastos!$E$5:$E$504,A324))</f>
        <v/>
      </c>
      <c r="L324" s="33" t="str">
        <f aca="false">IF(G324="","",G324-N(J324)-N(K324))</f>
        <v/>
      </c>
      <c r="M324" s="34" t="str">
        <f aca="false">IF(G324="","",IF(H324&gt;=G324,"Pago",IF(H324&gt;0,"Parcial","Pendente")))</f>
        <v/>
      </c>
      <c r="N324" s="32"/>
      <c r="O324" s="35" t="str">
        <f aca="true">IF(OR(B324="",B324&lt;TODAY()),"",COUNTIFS($B$5:$B$504,"&gt;="&amp;TODAY(),$B$5:$B$504,"&lt;"&amp;B324)+COUNTIFS($B$5:B324,B324))</f>
        <v/>
      </c>
    </row>
    <row r="325" customFormat="false" ht="15" hidden="false" customHeight="false" outlineLevel="0" collapsed="false">
      <c r="A325" s="32"/>
      <c r="B325" s="27"/>
      <c r="C325" s="29"/>
      <c r="D325" s="32"/>
      <c r="E325" s="32"/>
      <c r="F325" s="32"/>
      <c r="G325" s="31"/>
      <c r="H325" s="31"/>
      <c r="I325" s="33" t="str">
        <f aca="false">IF(G325="","",G325-H325)</f>
        <v/>
      </c>
      <c r="J325" s="33" t="str">
        <f aca="false">IF(A325="","",SUMIFS(Freelancers!$E$5:$E$504,Freelancers!$B$5:$B$504,A325))</f>
        <v/>
      </c>
      <c r="K325" s="33" t="str">
        <f aca="false">IF(A325="","",SUMIFS(Gastos!$D$5:$D$504,Gastos!$E$5:$E$504,A325))</f>
        <v/>
      </c>
      <c r="L325" s="33" t="str">
        <f aca="false">IF(G325="","",G325-N(J325)-N(K325))</f>
        <v/>
      </c>
      <c r="M325" s="34" t="str">
        <f aca="false">IF(G325="","",IF(H325&gt;=G325,"Pago",IF(H325&gt;0,"Parcial","Pendente")))</f>
        <v/>
      </c>
      <c r="N325" s="32"/>
      <c r="O325" s="35" t="str">
        <f aca="true">IF(OR(B325="",B325&lt;TODAY()),"",COUNTIFS($B$5:$B$504,"&gt;="&amp;TODAY(),$B$5:$B$504,"&lt;"&amp;B325)+COUNTIFS($B$5:B325,B325))</f>
        <v/>
      </c>
    </row>
    <row r="326" customFormat="false" ht="15" hidden="false" customHeight="false" outlineLevel="0" collapsed="false">
      <c r="A326" s="32"/>
      <c r="B326" s="27"/>
      <c r="C326" s="29"/>
      <c r="D326" s="32"/>
      <c r="E326" s="32"/>
      <c r="F326" s="32"/>
      <c r="G326" s="31"/>
      <c r="H326" s="31"/>
      <c r="I326" s="33" t="str">
        <f aca="false">IF(G326="","",G326-H326)</f>
        <v/>
      </c>
      <c r="J326" s="33" t="str">
        <f aca="false">IF(A326="","",SUMIFS(Freelancers!$E$5:$E$504,Freelancers!$B$5:$B$504,A326))</f>
        <v/>
      </c>
      <c r="K326" s="33" t="str">
        <f aca="false">IF(A326="","",SUMIFS(Gastos!$D$5:$D$504,Gastos!$E$5:$E$504,A326))</f>
        <v/>
      </c>
      <c r="L326" s="33" t="str">
        <f aca="false">IF(G326="","",G326-N(J326)-N(K326))</f>
        <v/>
      </c>
      <c r="M326" s="34" t="str">
        <f aca="false">IF(G326="","",IF(H326&gt;=G326,"Pago",IF(H326&gt;0,"Parcial","Pendente")))</f>
        <v/>
      </c>
      <c r="N326" s="32"/>
      <c r="O326" s="35" t="str">
        <f aca="true">IF(OR(B326="",B326&lt;TODAY()),"",COUNTIFS($B$5:$B$504,"&gt;="&amp;TODAY(),$B$5:$B$504,"&lt;"&amp;B326)+COUNTIFS($B$5:B326,B326))</f>
        <v/>
      </c>
    </row>
    <row r="327" customFormat="false" ht="15" hidden="false" customHeight="false" outlineLevel="0" collapsed="false">
      <c r="A327" s="32"/>
      <c r="B327" s="27"/>
      <c r="C327" s="29"/>
      <c r="D327" s="32"/>
      <c r="E327" s="32"/>
      <c r="F327" s="32"/>
      <c r="G327" s="31"/>
      <c r="H327" s="31"/>
      <c r="I327" s="33" t="str">
        <f aca="false">IF(G327="","",G327-H327)</f>
        <v/>
      </c>
      <c r="J327" s="33" t="str">
        <f aca="false">IF(A327="","",SUMIFS(Freelancers!$E$5:$E$504,Freelancers!$B$5:$B$504,A327))</f>
        <v/>
      </c>
      <c r="K327" s="33" t="str">
        <f aca="false">IF(A327="","",SUMIFS(Gastos!$D$5:$D$504,Gastos!$E$5:$E$504,A327))</f>
        <v/>
      </c>
      <c r="L327" s="33" t="str">
        <f aca="false">IF(G327="","",G327-N(J327)-N(K327))</f>
        <v/>
      </c>
      <c r="M327" s="34" t="str">
        <f aca="false">IF(G327="","",IF(H327&gt;=G327,"Pago",IF(H327&gt;0,"Parcial","Pendente")))</f>
        <v/>
      </c>
      <c r="N327" s="32"/>
      <c r="O327" s="35" t="str">
        <f aca="true">IF(OR(B327="",B327&lt;TODAY()),"",COUNTIFS($B$5:$B$504,"&gt;="&amp;TODAY(),$B$5:$B$504,"&lt;"&amp;B327)+COUNTIFS($B$5:B327,B327))</f>
        <v/>
      </c>
    </row>
    <row r="328" customFormat="false" ht="15" hidden="false" customHeight="false" outlineLevel="0" collapsed="false">
      <c r="A328" s="32"/>
      <c r="B328" s="27"/>
      <c r="C328" s="29"/>
      <c r="D328" s="32"/>
      <c r="E328" s="32"/>
      <c r="F328" s="32"/>
      <c r="G328" s="31"/>
      <c r="H328" s="31"/>
      <c r="I328" s="33" t="str">
        <f aca="false">IF(G328="","",G328-H328)</f>
        <v/>
      </c>
      <c r="J328" s="33" t="str">
        <f aca="false">IF(A328="","",SUMIFS(Freelancers!$E$5:$E$504,Freelancers!$B$5:$B$504,A328))</f>
        <v/>
      </c>
      <c r="K328" s="33" t="str">
        <f aca="false">IF(A328="","",SUMIFS(Gastos!$D$5:$D$504,Gastos!$E$5:$E$504,A328))</f>
        <v/>
      </c>
      <c r="L328" s="33" t="str">
        <f aca="false">IF(G328="","",G328-N(J328)-N(K328))</f>
        <v/>
      </c>
      <c r="M328" s="34" t="str">
        <f aca="false">IF(G328="","",IF(H328&gt;=G328,"Pago",IF(H328&gt;0,"Parcial","Pendente")))</f>
        <v/>
      </c>
      <c r="N328" s="32"/>
      <c r="O328" s="35" t="str">
        <f aca="true">IF(OR(B328="",B328&lt;TODAY()),"",COUNTIFS($B$5:$B$504,"&gt;="&amp;TODAY(),$B$5:$B$504,"&lt;"&amp;B328)+COUNTIFS($B$5:B328,B328))</f>
        <v/>
      </c>
    </row>
    <row r="329" customFormat="false" ht="15" hidden="false" customHeight="false" outlineLevel="0" collapsed="false">
      <c r="A329" s="32"/>
      <c r="B329" s="27"/>
      <c r="C329" s="29"/>
      <c r="D329" s="32"/>
      <c r="E329" s="32"/>
      <c r="F329" s="32"/>
      <c r="G329" s="31"/>
      <c r="H329" s="31"/>
      <c r="I329" s="33" t="str">
        <f aca="false">IF(G329="","",G329-H329)</f>
        <v/>
      </c>
      <c r="J329" s="33" t="str">
        <f aca="false">IF(A329="","",SUMIFS(Freelancers!$E$5:$E$504,Freelancers!$B$5:$B$504,A329))</f>
        <v/>
      </c>
      <c r="K329" s="33" t="str">
        <f aca="false">IF(A329="","",SUMIFS(Gastos!$D$5:$D$504,Gastos!$E$5:$E$504,A329))</f>
        <v/>
      </c>
      <c r="L329" s="33" t="str">
        <f aca="false">IF(G329="","",G329-N(J329)-N(K329))</f>
        <v/>
      </c>
      <c r="M329" s="34" t="str">
        <f aca="false">IF(G329="","",IF(H329&gt;=G329,"Pago",IF(H329&gt;0,"Parcial","Pendente")))</f>
        <v/>
      </c>
      <c r="N329" s="32"/>
      <c r="O329" s="35" t="str">
        <f aca="true">IF(OR(B329="",B329&lt;TODAY()),"",COUNTIFS($B$5:$B$504,"&gt;="&amp;TODAY(),$B$5:$B$504,"&lt;"&amp;B329)+COUNTIFS($B$5:B329,B329))</f>
        <v/>
      </c>
    </row>
    <row r="330" customFormat="false" ht="15" hidden="false" customHeight="false" outlineLevel="0" collapsed="false">
      <c r="A330" s="32"/>
      <c r="B330" s="27"/>
      <c r="C330" s="29"/>
      <c r="D330" s="32"/>
      <c r="E330" s="32"/>
      <c r="F330" s="32"/>
      <c r="G330" s="31"/>
      <c r="H330" s="31"/>
      <c r="I330" s="33" t="str">
        <f aca="false">IF(G330="","",G330-H330)</f>
        <v/>
      </c>
      <c r="J330" s="33" t="str">
        <f aca="false">IF(A330="","",SUMIFS(Freelancers!$E$5:$E$504,Freelancers!$B$5:$B$504,A330))</f>
        <v/>
      </c>
      <c r="K330" s="33" t="str">
        <f aca="false">IF(A330="","",SUMIFS(Gastos!$D$5:$D$504,Gastos!$E$5:$E$504,A330))</f>
        <v/>
      </c>
      <c r="L330" s="33" t="str">
        <f aca="false">IF(G330="","",G330-N(J330)-N(K330))</f>
        <v/>
      </c>
      <c r="M330" s="34" t="str">
        <f aca="false">IF(G330="","",IF(H330&gt;=G330,"Pago",IF(H330&gt;0,"Parcial","Pendente")))</f>
        <v/>
      </c>
      <c r="N330" s="32"/>
      <c r="O330" s="35" t="str">
        <f aca="true">IF(OR(B330="",B330&lt;TODAY()),"",COUNTIFS($B$5:$B$504,"&gt;="&amp;TODAY(),$B$5:$B$504,"&lt;"&amp;B330)+COUNTIFS($B$5:B330,B330))</f>
        <v/>
      </c>
    </row>
    <row r="331" customFormat="false" ht="15" hidden="false" customHeight="false" outlineLevel="0" collapsed="false">
      <c r="A331" s="32"/>
      <c r="B331" s="27"/>
      <c r="C331" s="29"/>
      <c r="D331" s="32"/>
      <c r="E331" s="32"/>
      <c r="F331" s="32"/>
      <c r="G331" s="31"/>
      <c r="H331" s="31"/>
      <c r="I331" s="33" t="str">
        <f aca="false">IF(G331="","",G331-H331)</f>
        <v/>
      </c>
      <c r="J331" s="33" t="str">
        <f aca="false">IF(A331="","",SUMIFS(Freelancers!$E$5:$E$504,Freelancers!$B$5:$B$504,A331))</f>
        <v/>
      </c>
      <c r="K331" s="33" t="str">
        <f aca="false">IF(A331="","",SUMIFS(Gastos!$D$5:$D$504,Gastos!$E$5:$E$504,A331))</f>
        <v/>
      </c>
      <c r="L331" s="33" t="str">
        <f aca="false">IF(G331="","",G331-N(J331)-N(K331))</f>
        <v/>
      </c>
      <c r="M331" s="34" t="str">
        <f aca="false">IF(G331="","",IF(H331&gt;=G331,"Pago",IF(H331&gt;0,"Parcial","Pendente")))</f>
        <v/>
      </c>
      <c r="N331" s="32"/>
      <c r="O331" s="35" t="str">
        <f aca="true">IF(OR(B331="",B331&lt;TODAY()),"",COUNTIFS($B$5:$B$504,"&gt;="&amp;TODAY(),$B$5:$B$504,"&lt;"&amp;B331)+COUNTIFS($B$5:B331,B331))</f>
        <v/>
      </c>
    </row>
    <row r="332" customFormat="false" ht="15" hidden="false" customHeight="false" outlineLevel="0" collapsed="false">
      <c r="A332" s="32"/>
      <c r="B332" s="27"/>
      <c r="C332" s="29"/>
      <c r="D332" s="32"/>
      <c r="E332" s="32"/>
      <c r="F332" s="32"/>
      <c r="G332" s="31"/>
      <c r="H332" s="31"/>
      <c r="I332" s="33" t="str">
        <f aca="false">IF(G332="","",G332-H332)</f>
        <v/>
      </c>
      <c r="J332" s="33" t="str">
        <f aca="false">IF(A332="","",SUMIFS(Freelancers!$E$5:$E$504,Freelancers!$B$5:$B$504,A332))</f>
        <v/>
      </c>
      <c r="K332" s="33" t="str">
        <f aca="false">IF(A332="","",SUMIFS(Gastos!$D$5:$D$504,Gastos!$E$5:$E$504,A332))</f>
        <v/>
      </c>
      <c r="L332" s="33" t="str">
        <f aca="false">IF(G332="","",G332-N(J332)-N(K332))</f>
        <v/>
      </c>
      <c r="M332" s="34" t="str">
        <f aca="false">IF(G332="","",IF(H332&gt;=G332,"Pago",IF(H332&gt;0,"Parcial","Pendente")))</f>
        <v/>
      </c>
      <c r="N332" s="32"/>
      <c r="O332" s="35" t="str">
        <f aca="true">IF(OR(B332="",B332&lt;TODAY()),"",COUNTIFS($B$5:$B$504,"&gt;="&amp;TODAY(),$B$5:$B$504,"&lt;"&amp;B332)+COUNTIFS($B$5:B332,B332))</f>
        <v/>
      </c>
    </row>
    <row r="333" customFormat="false" ht="15" hidden="false" customHeight="false" outlineLevel="0" collapsed="false">
      <c r="A333" s="32"/>
      <c r="B333" s="27"/>
      <c r="C333" s="29"/>
      <c r="D333" s="32"/>
      <c r="E333" s="32"/>
      <c r="F333" s="32"/>
      <c r="G333" s="31"/>
      <c r="H333" s="31"/>
      <c r="I333" s="33" t="str">
        <f aca="false">IF(G333="","",G333-H333)</f>
        <v/>
      </c>
      <c r="J333" s="33" t="str">
        <f aca="false">IF(A333="","",SUMIFS(Freelancers!$E$5:$E$504,Freelancers!$B$5:$B$504,A333))</f>
        <v/>
      </c>
      <c r="K333" s="33" t="str">
        <f aca="false">IF(A333="","",SUMIFS(Gastos!$D$5:$D$504,Gastos!$E$5:$E$504,A333))</f>
        <v/>
      </c>
      <c r="L333" s="33" t="str">
        <f aca="false">IF(G333="","",G333-N(J333)-N(K333))</f>
        <v/>
      </c>
      <c r="M333" s="34" t="str">
        <f aca="false">IF(G333="","",IF(H333&gt;=G333,"Pago",IF(H333&gt;0,"Parcial","Pendente")))</f>
        <v/>
      </c>
      <c r="N333" s="32"/>
      <c r="O333" s="35" t="str">
        <f aca="true">IF(OR(B333="",B333&lt;TODAY()),"",COUNTIFS($B$5:$B$504,"&gt;="&amp;TODAY(),$B$5:$B$504,"&lt;"&amp;B333)+COUNTIFS($B$5:B333,B333))</f>
        <v/>
      </c>
    </row>
    <row r="334" customFormat="false" ht="15" hidden="false" customHeight="false" outlineLevel="0" collapsed="false">
      <c r="A334" s="32"/>
      <c r="B334" s="27"/>
      <c r="C334" s="29"/>
      <c r="D334" s="32"/>
      <c r="E334" s="32"/>
      <c r="F334" s="32"/>
      <c r="G334" s="31"/>
      <c r="H334" s="31"/>
      <c r="I334" s="33" t="str">
        <f aca="false">IF(G334="","",G334-H334)</f>
        <v/>
      </c>
      <c r="J334" s="33" t="str">
        <f aca="false">IF(A334="","",SUMIFS(Freelancers!$E$5:$E$504,Freelancers!$B$5:$B$504,A334))</f>
        <v/>
      </c>
      <c r="K334" s="33" t="str">
        <f aca="false">IF(A334="","",SUMIFS(Gastos!$D$5:$D$504,Gastos!$E$5:$E$504,A334))</f>
        <v/>
      </c>
      <c r="L334" s="33" t="str">
        <f aca="false">IF(G334="","",G334-N(J334)-N(K334))</f>
        <v/>
      </c>
      <c r="M334" s="34" t="str">
        <f aca="false">IF(G334="","",IF(H334&gt;=G334,"Pago",IF(H334&gt;0,"Parcial","Pendente")))</f>
        <v/>
      </c>
      <c r="N334" s="32"/>
      <c r="O334" s="35" t="str">
        <f aca="true">IF(OR(B334="",B334&lt;TODAY()),"",COUNTIFS($B$5:$B$504,"&gt;="&amp;TODAY(),$B$5:$B$504,"&lt;"&amp;B334)+COUNTIFS($B$5:B334,B334))</f>
        <v/>
      </c>
    </row>
    <row r="335" customFormat="false" ht="15" hidden="false" customHeight="false" outlineLevel="0" collapsed="false">
      <c r="A335" s="32"/>
      <c r="B335" s="27"/>
      <c r="C335" s="29"/>
      <c r="D335" s="32"/>
      <c r="E335" s="32"/>
      <c r="F335" s="32"/>
      <c r="G335" s="31"/>
      <c r="H335" s="31"/>
      <c r="I335" s="33" t="str">
        <f aca="false">IF(G335="","",G335-H335)</f>
        <v/>
      </c>
      <c r="J335" s="33" t="str">
        <f aca="false">IF(A335="","",SUMIFS(Freelancers!$E$5:$E$504,Freelancers!$B$5:$B$504,A335))</f>
        <v/>
      </c>
      <c r="K335" s="33" t="str">
        <f aca="false">IF(A335="","",SUMIFS(Gastos!$D$5:$D$504,Gastos!$E$5:$E$504,A335))</f>
        <v/>
      </c>
      <c r="L335" s="33" t="str">
        <f aca="false">IF(G335="","",G335-N(J335)-N(K335))</f>
        <v/>
      </c>
      <c r="M335" s="34" t="str">
        <f aca="false">IF(G335="","",IF(H335&gt;=G335,"Pago",IF(H335&gt;0,"Parcial","Pendente")))</f>
        <v/>
      </c>
      <c r="N335" s="32"/>
      <c r="O335" s="35" t="str">
        <f aca="true">IF(OR(B335="",B335&lt;TODAY()),"",COUNTIFS($B$5:$B$504,"&gt;="&amp;TODAY(),$B$5:$B$504,"&lt;"&amp;B335)+COUNTIFS($B$5:B335,B335))</f>
        <v/>
      </c>
    </row>
    <row r="336" customFormat="false" ht="15" hidden="false" customHeight="false" outlineLevel="0" collapsed="false">
      <c r="A336" s="32"/>
      <c r="B336" s="27"/>
      <c r="C336" s="29"/>
      <c r="D336" s="32"/>
      <c r="E336" s="32"/>
      <c r="F336" s="32"/>
      <c r="G336" s="31"/>
      <c r="H336" s="31"/>
      <c r="I336" s="33" t="str">
        <f aca="false">IF(G336="","",G336-H336)</f>
        <v/>
      </c>
      <c r="J336" s="33" t="str">
        <f aca="false">IF(A336="","",SUMIFS(Freelancers!$E$5:$E$504,Freelancers!$B$5:$B$504,A336))</f>
        <v/>
      </c>
      <c r="K336" s="33" t="str">
        <f aca="false">IF(A336="","",SUMIFS(Gastos!$D$5:$D$504,Gastos!$E$5:$E$504,A336))</f>
        <v/>
      </c>
      <c r="L336" s="33" t="str">
        <f aca="false">IF(G336="","",G336-N(J336)-N(K336))</f>
        <v/>
      </c>
      <c r="M336" s="34" t="str">
        <f aca="false">IF(G336="","",IF(H336&gt;=G336,"Pago",IF(H336&gt;0,"Parcial","Pendente")))</f>
        <v/>
      </c>
      <c r="N336" s="32"/>
      <c r="O336" s="35" t="str">
        <f aca="true">IF(OR(B336="",B336&lt;TODAY()),"",COUNTIFS($B$5:$B$504,"&gt;="&amp;TODAY(),$B$5:$B$504,"&lt;"&amp;B336)+COUNTIFS($B$5:B336,B336))</f>
        <v/>
      </c>
    </row>
    <row r="337" customFormat="false" ht="15" hidden="false" customHeight="false" outlineLevel="0" collapsed="false">
      <c r="A337" s="32"/>
      <c r="B337" s="27"/>
      <c r="C337" s="29"/>
      <c r="D337" s="32"/>
      <c r="E337" s="32"/>
      <c r="F337" s="32"/>
      <c r="G337" s="31"/>
      <c r="H337" s="31"/>
      <c r="I337" s="33" t="str">
        <f aca="false">IF(G337="","",G337-H337)</f>
        <v/>
      </c>
      <c r="J337" s="33" t="str">
        <f aca="false">IF(A337="","",SUMIFS(Freelancers!$E$5:$E$504,Freelancers!$B$5:$B$504,A337))</f>
        <v/>
      </c>
      <c r="K337" s="33" t="str">
        <f aca="false">IF(A337="","",SUMIFS(Gastos!$D$5:$D$504,Gastos!$E$5:$E$504,A337))</f>
        <v/>
      </c>
      <c r="L337" s="33" t="str">
        <f aca="false">IF(G337="","",G337-N(J337)-N(K337))</f>
        <v/>
      </c>
      <c r="M337" s="34" t="str">
        <f aca="false">IF(G337="","",IF(H337&gt;=G337,"Pago",IF(H337&gt;0,"Parcial","Pendente")))</f>
        <v/>
      </c>
      <c r="N337" s="32"/>
      <c r="O337" s="35" t="str">
        <f aca="true">IF(OR(B337="",B337&lt;TODAY()),"",COUNTIFS($B$5:$B$504,"&gt;="&amp;TODAY(),$B$5:$B$504,"&lt;"&amp;B337)+COUNTIFS($B$5:B337,B337))</f>
        <v/>
      </c>
    </row>
    <row r="338" customFormat="false" ht="15" hidden="false" customHeight="false" outlineLevel="0" collapsed="false">
      <c r="A338" s="32"/>
      <c r="B338" s="27"/>
      <c r="C338" s="29"/>
      <c r="D338" s="32"/>
      <c r="E338" s="32"/>
      <c r="F338" s="32"/>
      <c r="G338" s="31"/>
      <c r="H338" s="31"/>
      <c r="I338" s="33" t="str">
        <f aca="false">IF(G338="","",G338-H338)</f>
        <v/>
      </c>
      <c r="J338" s="33" t="str">
        <f aca="false">IF(A338="","",SUMIFS(Freelancers!$E$5:$E$504,Freelancers!$B$5:$B$504,A338))</f>
        <v/>
      </c>
      <c r="K338" s="33" t="str">
        <f aca="false">IF(A338="","",SUMIFS(Gastos!$D$5:$D$504,Gastos!$E$5:$E$504,A338))</f>
        <v/>
      </c>
      <c r="L338" s="33" t="str">
        <f aca="false">IF(G338="","",G338-N(J338)-N(K338))</f>
        <v/>
      </c>
      <c r="M338" s="34" t="str">
        <f aca="false">IF(G338="","",IF(H338&gt;=G338,"Pago",IF(H338&gt;0,"Parcial","Pendente")))</f>
        <v/>
      </c>
      <c r="N338" s="32"/>
      <c r="O338" s="35" t="str">
        <f aca="true">IF(OR(B338="",B338&lt;TODAY()),"",COUNTIFS($B$5:$B$504,"&gt;="&amp;TODAY(),$B$5:$B$504,"&lt;"&amp;B338)+COUNTIFS($B$5:B338,B338))</f>
        <v/>
      </c>
    </row>
    <row r="339" customFormat="false" ht="15" hidden="false" customHeight="false" outlineLevel="0" collapsed="false">
      <c r="A339" s="32"/>
      <c r="B339" s="27"/>
      <c r="C339" s="29"/>
      <c r="D339" s="32"/>
      <c r="E339" s="32"/>
      <c r="F339" s="32"/>
      <c r="G339" s="31"/>
      <c r="H339" s="31"/>
      <c r="I339" s="33" t="str">
        <f aca="false">IF(G339="","",G339-H339)</f>
        <v/>
      </c>
      <c r="J339" s="33" t="str">
        <f aca="false">IF(A339="","",SUMIFS(Freelancers!$E$5:$E$504,Freelancers!$B$5:$B$504,A339))</f>
        <v/>
      </c>
      <c r="K339" s="33" t="str">
        <f aca="false">IF(A339="","",SUMIFS(Gastos!$D$5:$D$504,Gastos!$E$5:$E$504,A339))</f>
        <v/>
      </c>
      <c r="L339" s="33" t="str">
        <f aca="false">IF(G339="","",G339-N(J339)-N(K339))</f>
        <v/>
      </c>
      <c r="M339" s="34" t="str">
        <f aca="false">IF(G339="","",IF(H339&gt;=G339,"Pago",IF(H339&gt;0,"Parcial","Pendente")))</f>
        <v/>
      </c>
      <c r="N339" s="32"/>
      <c r="O339" s="35" t="str">
        <f aca="true">IF(OR(B339="",B339&lt;TODAY()),"",COUNTIFS($B$5:$B$504,"&gt;="&amp;TODAY(),$B$5:$B$504,"&lt;"&amp;B339)+COUNTIFS($B$5:B339,B339))</f>
        <v/>
      </c>
    </row>
    <row r="340" customFormat="false" ht="15" hidden="false" customHeight="false" outlineLevel="0" collapsed="false">
      <c r="A340" s="32"/>
      <c r="B340" s="27"/>
      <c r="C340" s="29"/>
      <c r="D340" s="32"/>
      <c r="E340" s="32"/>
      <c r="F340" s="32"/>
      <c r="G340" s="31"/>
      <c r="H340" s="31"/>
      <c r="I340" s="33" t="str">
        <f aca="false">IF(G340="","",G340-H340)</f>
        <v/>
      </c>
      <c r="J340" s="33" t="str">
        <f aca="false">IF(A340="","",SUMIFS(Freelancers!$E$5:$E$504,Freelancers!$B$5:$B$504,A340))</f>
        <v/>
      </c>
      <c r="K340" s="33" t="str">
        <f aca="false">IF(A340="","",SUMIFS(Gastos!$D$5:$D$504,Gastos!$E$5:$E$504,A340))</f>
        <v/>
      </c>
      <c r="L340" s="33" t="str">
        <f aca="false">IF(G340="","",G340-N(J340)-N(K340))</f>
        <v/>
      </c>
      <c r="M340" s="34" t="str">
        <f aca="false">IF(G340="","",IF(H340&gt;=G340,"Pago",IF(H340&gt;0,"Parcial","Pendente")))</f>
        <v/>
      </c>
      <c r="N340" s="32"/>
      <c r="O340" s="35" t="str">
        <f aca="true">IF(OR(B340="",B340&lt;TODAY()),"",COUNTIFS($B$5:$B$504,"&gt;="&amp;TODAY(),$B$5:$B$504,"&lt;"&amp;B340)+COUNTIFS($B$5:B340,B340))</f>
        <v/>
      </c>
    </row>
    <row r="341" customFormat="false" ht="15" hidden="false" customHeight="false" outlineLevel="0" collapsed="false">
      <c r="A341" s="32"/>
      <c r="B341" s="27"/>
      <c r="C341" s="29"/>
      <c r="D341" s="32"/>
      <c r="E341" s="32"/>
      <c r="F341" s="32"/>
      <c r="G341" s="31"/>
      <c r="H341" s="31"/>
      <c r="I341" s="33" t="str">
        <f aca="false">IF(G341="","",G341-H341)</f>
        <v/>
      </c>
      <c r="J341" s="33" t="str">
        <f aca="false">IF(A341="","",SUMIFS(Freelancers!$E$5:$E$504,Freelancers!$B$5:$B$504,A341))</f>
        <v/>
      </c>
      <c r="K341" s="33" t="str">
        <f aca="false">IF(A341="","",SUMIFS(Gastos!$D$5:$D$504,Gastos!$E$5:$E$504,A341))</f>
        <v/>
      </c>
      <c r="L341" s="33" t="str">
        <f aca="false">IF(G341="","",G341-N(J341)-N(K341))</f>
        <v/>
      </c>
      <c r="M341" s="34" t="str">
        <f aca="false">IF(G341="","",IF(H341&gt;=G341,"Pago",IF(H341&gt;0,"Parcial","Pendente")))</f>
        <v/>
      </c>
      <c r="N341" s="32"/>
      <c r="O341" s="35" t="str">
        <f aca="true">IF(OR(B341="",B341&lt;TODAY()),"",COUNTIFS($B$5:$B$504,"&gt;="&amp;TODAY(),$B$5:$B$504,"&lt;"&amp;B341)+COUNTIFS($B$5:B341,B341))</f>
        <v/>
      </c>
    </row>
    <row r="342" customFormat="false" ht="15" hidden="false" customHeight="false" outlineLevel="0" collapsed="false">
      <c r="A342" s="32"/>
      <c r="B342" s="27"/>
      <c r="C342" s="29"/>
      <c r="D342" s="32"/>
      <c r="E342" s="32"/>
      <c r="F342" s="32"/>
      <c r="G342" s="31"/>
      <c r="H342" s="31"/>
      <c r="I342" s="33" t="str">
        <f aca="false">IF(G342="","",G342-H342)</f>
        <v/>
      </c>
      <c r="J342" s="33" t="str">
        <f aca="false">IF(A342="","",SUMIFS(Freelancers!$E$5:$E$504,Freelancers!$B$5:$B$504,A342))</f>
        <v/>
      </c>
      <c r="K342" s="33" t="str">
        <f aca="false">IF(A342="","",SUMIFS(Gastos!$D$5:$D$504,Gastos!$E$5:$E$504,A342))</f>
        <v/>
      </c>
      <c r="L342" s="33" t="str">
        <f aca="false">IF(G342="","",G342-N(J342)-N(K342))</f>
        <v/>
      </c>
      <c r="M342" s="34" t="str">
        <f aca="false">IF(G342="","",IF(H342&gt;=G342,"Pago",IF(H342&gt;0,"Parcial","Pendente")))</f>
        <v/>
      </c>
      <c r="N342" s="32"/>
      <c r="O342" s="35" t="str">
        <f aca="true">IF(OR(B342="",B342&lt;TODAY()),"",COUNTIFS($B$5:$B$504,"&gt;="&amp;TODAY(),$B$5:$B$504,"&lt;"&amp;B342)+COUNTIFS($B$5:B342,B342))</f>
        <v/>
      </c>
    </row>
    <row r="343" customFormat="false" ht="15" hidden="false" customHeight="false" outlineLevel="0" collapsed="false">
      <c r="A343" s="32"/>
      <c r="B343" s="27"/>
      <c r="C343" s="29"/>
      <c r="D343" s="32"/>
      <c r="E343" s="32"/>
      <c r="F343" s="32"/>
      <c r="G343" s="31"/>
      <c r="H343" s="31"/>
      <c r="I343" s="33" t="str">
        <f aca="false">IF(G343="","",G343-H343)</f>
        <v/>
      </c>
      <c r="J343" s="33" t="str">
        <f aca="false">IF(A343="","",SUMIFS(Freelancers!$E$5:$E$504,Freelancers!$B$5:$B$504,A343))</f>
        <v/>
      </c>
      <c r="K343" s="33" t="str">
        <f aca="false">IF(A343="","",SUMIFS(Gastos!$D$5:$D$504,Gastos!$E$5:$E$504,A343))</f>
        <v/>
      </c>
      <c r="L343" s="33" t="str">
        <f aca="false">IF(G343="","",G343-N(J343)-N(K343))</f>
        <v/>
      </c>
      <c r="M343" s="34" t="str">
        <f aca="false">IF(G343="","",IF(H343&gt;=G343,"Pago",IF(H343&gt;0,"Parcial","Pendente")))</f>
        <v/>
      </c>
      <c r="N343" s="32"/>
      <c r="O343" s="35" t="str">
        <f aca="true">IF(OR(B343="",B343&lt;TODAY()),"",COUNTIFS($B$5:$B$504,"&gt;="&amp;TODAY(),$B$5:$B$504,"&lt;"&amp;B343)+COUNTIFS($B$5:B343,B343))</f>
        <v/>
      </c>
    </row>
    <row r="344" customFormat="false" ht="15" hidden="false" customHeight="false" outlineLevel="0" collapsed="false">
      <c r="A344" s="32"/>
      <c r="B344" s="27"/>
      <c r="C344" s="29"/>
      <c r="D344" s="32"/>
      <c r="E344" s="32"/>
      <c r="F344" s="32"/>
      <c r="G344" s="31"/>
      <c r="H344" s="31"/>
      <c r="I344" s="33" t="str">
        <f aca="false">IF(G344="","",G344-H344)</f>
        <v/>
      </c>
      <c r="J344" s="33" t="str">
        <f aca="false">IF(A344="","",SUMIFS(Freelancers!$E$5:$E$504,Freelancers!$B$5:$B$504,A344))</f>
        <v/>
      </c>
      <c r="K344" s="33" t="str">
        <f aca="false">IF(A344="","",SUMIFS(Gastos!$D$5:$D$504,Gastos!$E$5:$E$504,A344))</f>
        <v/>
      </c>
      <c r="L344" s="33" t="str">
        <f aca="false">IF(G344="","",G344-N(J344)-N(K344))</f>
        <v/>
      </c>
      <c r="M344" s="34" t="str">
        <f aca="false">IF(G344="","",IF(H344&gt;=G344,"Pago",IF(H344&gt;0,"Parcial","Pendente")))</f>
        <v/>
      </c>
      <c r="N344" s="32"/>
      <c r="O344" s="35" t="str">
        <f aca="true">IF(OR(B344="",B344&lt;TODAY()),"",COUNTIFS($B$5:$B$504,"&gt;="&amp;TODAY(),$B$5:$B$504,"&lt;"&amp;B344)+COUNTIFS($B$5:B344,B344))</f>
        <v/>
      </c>
    </row>
    <row r="345" customFormat="false" ht="15" hidden="false" customHeight="false" outlineLevel="0" collapsed="false">
      <c r="A345" s="32"/>
      <c r="B345" s="27"/>
      <c r="C345" s="29"/>
      <c r="D345" s="32"/>
      <c r="E345" s="32"/>
      <c r="F345" s="32"/>
      <c r="G345" s="31"/>
      <c r="H345" s="31"/>
      <c r="I345" s="33" t="str">
        <f aca="false">IF(G345="","",G345-H345)</f>
        <v/>
      </c>
      <c r="J345" s="33" t="str">
        <f aca="false">IF(A345="","",SUMIFS(Freelancers!$E$5:$E$504,Freelancers!$B$5:$B$504,A345))</f>
        <v/>
      </c>
      <c r="K345" s="33" t="str">
        <f aca="false">IF(A345="","",SUMIFS(Gastos!$D$5:$D$504,Gastos!$E$5:$E$504,A345))</f>
        <v/>
      </c>
      <c r="L345" s="33" t="str">
        <f aca="false">IF(G345="","",G345-N(J345)-N(K345))</f>
        <v/>
      </c>
      <c r="M345" s="34" t="str">
        <f aca="false">IF(G345="","",IF(H345&gt;=G345,"Pago",IF(H345&gt;0,"Parcial","Pendente")))</f>
        <v/>
      </c>
      <c r="N345" s="32"/>
      <c r="O345" s="35" t="str">
        <f aca="true">IF(OR(B345="",B345&lt;TODAY()),"",COUNTIFS($B$5:$B$504,"&gt;="&amp;TODAY(),$B$5:$B$504,"&lt;"&amp;B345)+COUNTIFS($B$5:B345,B345))</f>
        <v/>
      </c>
    </row>
    <row r="346" customFormat="false" ht="15" hidden="false" customHeight="false" outlineLevel="0" collapsed="false">
      <c r="A346" s="32"/>
      <c r="B346" s="27"/>
      <c r="C346" s="29"/>
      <c r="D346" s="32"/>
      <c r="E346" s="32"/>
      <c r="F346" s="32"/>
      <c r="G346" s="31"/>
      <c r="H346" s="31"/>
      <c r="I346" s="33" t="str">
        <f aca="false">IF(G346="","",G346-H346)</f>
        <v/>
      </c>
      <c r="J346" s="33" t="str">
        <f aca="false">IF(A346="","",SUMIFS(Freelancers!$E$5:$E$504,Freelancers!$B$5:$B$504,A346))</f>
        <v/>
      </c>
      <c r="K346" s="33" t="str">
        <f aca="false">IF(A346="","",SUMIFS(Gastos!$D$5:$D$504,Gastos!$E$5:$E$504,A346))</f>
        <v/>
      </c>
      <c r="L346" s="33" t="str">
        <f aca="false">IF(G346="","",G346-N(J346)-N(K346))</f>
        <v/>
      </c>
      <c r="M346" s="34" t="str">
        <f aca="false">IF(G346="","",IF(H346&gt;=G346,"Pago",IF(H346&gt;0,"Parcial","Pendente")))</f>
        <v/>
      </c>
      <c r="N346" s="32"/>
      <c r="O346" s="35" t="str">
        <f aca="true">IF(OR(B346="",B346&lt;TODAY()),"",COUNTIFS($B$5:$B$504,"&gt;="&amp;TODAY(),$B$5:$B$504,"&lt;"&amp;B346)+COUNTIFS($B$5:B346,B346))</f>
        <v/>
      </c>
    </row>
    <row r="347" customFormat="false" ht="15" hidden="false" customHeight="false" outlineLevel="0" collapsed="false">
      <c r="A347" s="32"/>
      <c r="B347" s="27"/>
      <c r="C347" s="29"/>
      <c r="D347" s="32"/>
      <c r="E347" s="32"/>
      <c r="F347" s="32"/>
      <c r="G347" s="31"/>
      <c r="H347" s="31"/>
      <c r="I347" s="33" t="str">
        <f aca="false">IF(G347="","",G347-H347)</f>
        <v/>
      </c>
      <c r="J347" s="33" t="str">
        <f aca="false">IF(A347="","",SUMIFS(Freelancers!$E$5:$E$504,Freelancers!$B$5:$B$504,A347))</f>
        <v/>
      </c>
      <c r="K347" s="33" t="str">
        <f aca="false">IF(A347="","",SUMIFS(Gastos!$D$5:$D$504,Gastos!$E$5:$E$504,A347))</f>
        <v/>
      </c>
      <c r="L347" s="33" t="str">
        <f aca="false">IF(G347="","",G347-N(J347)-N(K347))</f>
        <v/>
      </c>
      <c r="M347" s="34" t="str">
        <f aca="false">IF(G347="","",IF(H347&gt;=G347,"Pago",IF(H347&gt;0,"Parcial","Pendente")))</f>
        <v/>
      </c>
      <c r="N347" s="32"/>
      <c r="O347" s="35" t="str">
        <f aca="true">IF(OR(B347="",B347&lt;TODAY()),"",COUNTIFS($B$5:$B$504,"&gt;="&amp;TODAY(),$B$5:$B$504,"&lt;"&amp;B347)+COUNTIFS($B$5:B347,B347))</f>
        <v/>
      </c>
    </row>
    <row r="348" customFormat="false" ht="15" hidden="false" customHeight="false" outlineLevel="0" collapsed="false">
      <c r="A348" s="32"/>
      <c r="B348" s="27"/>
      <c r="C348" s="29"/>
      <c r="D348" s="32"/>
      <c r="E348" s="32"/>
      <c r="F348" s="32"/>
      <c r="G348" s="31"/>
      <c r="H348" s="31"/>
      <c r="I348" s="33" t="str">
        <f aca="false">IF(G348="","",G348-H348)</f>
        <v/>
      </c>
      <c r="J348" s="33" t="str">
        <f aca="false">IF(A348="","",SUMIFS(Freelancers!$E$5:$E$504,Freelancers!$B$5:$B$504,A348))</f>
        <v/>
      </c>
      <c r="K348" s="33" t="str">
        <f aca="false">IF(A348="","",SUMIFS(Gastos!$D$5:$D$504,Gastos!$E$5:$E$504,A348))</f>
        <v/>
      </c>
      <c r="L348" s="33" t="str">
        <f aca="false">IF(G348="","",G348-N(J348)-N(K348))</f>
        <v/>
      </c>
      <c r="M348" s="34" t="str">
        <f aca="false">IF(G348="","",IF(H348&gt;=G348,"Pago",IF(H348&gt;0,"Parcial","Pendente")))</f>
        <v/>
      </c>
      <c r="N348" s="32"/>
      <c r="O348" s="35" t="str">
        <f aca="true">IF(OR(B348="",B348&lt;TODAY()),"",COUNTIFS($B$5:$B$504,"&gt;="&amp;TODAY(),$B$5:$B$504,"&lt;"&amp;B348)+COUNTIFS($B$5:B348,B348))</f>
        <v/>
      </c>
    </row>
    <row r="349" customFormat="false" ht="15" hidden="false" customHeight="false" outlineLevel="0" collapsed="false">
      <c r="A349" s="32"/>
      <c r="B349" s="27"/>
      <c r="C349" s="29"/>
      <c r="D349" s="32"/>
      <c r="E349" s="32"/>
      <c r="F349" s="32"/>
      <c r="G349" s="31"/>
      <c r="H349" s="31"/>
      <c r="I349" s="33" t="str">
        <f aca="false">IF(G349="","",G349-H349)</f>
        <v/>
      </c>
      <c r="J349" s="33" t="str">
        <f aca="false">IF(A349="","",SUMIFS(Freelancers!$E$5:$E$504,Freelancers!$B$5:$B$504,A349))</f>
        <v/>
      </c>
      <c r="K349" s="33" t="str">
        <f aca="false">IF(A349="","",SUMIFS(Gastos!$D$5:$D$504,Gastos!$E$5:$E$504,A349))</f>
        <v/>
      </c>
      <c r="L349" s="33" t="str">
        <f aca="false">IF(G349="","",G349-N(J349)-N(K349))</f>
        <v/>
      </c>
      <c r="M349" s="34" t="str">
        <f aca="false">IF(G349="","",IF(H349&gt;=G349,"Pago",IF(H349&gt;0,"Parcial","Pendente")))</f>
        <v/>
      </c>
      <c r="N349" s="32"/>
      <c r="O349" s="35" t="str">
        <f aca="true">IF(OR(B349="",B349&lt;TODAY()),"",COUNTIFS($B$5:$B$504,"&gt;="&amp;TODAY(),$B$5:$B$504,"&lt;"&amp;B349)+COUNTIFS($B$5:B349,B349))</f>
        <v/>
      </c>
    </row>
    <row r="350" customFormat="false" ht="15" hidden="false" customHeight="false" outlineLevel="0" collapsed="false">
      <c r="A350" s="32"/>
      <c r="B350" s="27"/>
      <c r="C350" s="29"/>
      <c r="D350" s="32"/>
      <c r="E350" s="32"/>
      <c r="F350" s="32"/>
      <c r="G350" s="31"/>
      <c r="H350" s="31"/>
      <c r="I350" s="33" t="str">
        <f aca="false">IF(G350="","",G350-H350)</f>
        <v/>
      </c>
      <c r="J350" s="33" t="str">
        <f aca="false">IF(A350="","",SUMIFS(Freelancers!$E$5:$E$504,Freelancers!$B$5:$B$504,A350))</f>
        <v/>
      </c>
      <c r="K350" s="33" t="str">
        <f aca="false">IF(A350="","",SUMIFS(Gastos!$D$5:$D$504,Gastos!$E$5:$E$504,A350))</f>
        <v/>
      </c>
      <c r="L350" s="33" t="str">
        <f aca="false">IF(G350="","",G350-N(J350)-N(K350))</f>
        <v/>
      </c>
      <c r="M350" s="34" t="str">
        <f aca="false">IF(G350="","",IF(H350&gt;=G350,"Pago",IF(H350&gt;0,"Parcial","Pendente")))</f>
        <v/>
      </c>
      <c r="N350" s="32"/>
      <c r="O350" s="35" t="str">
        <f aca="true">IF(OR(B350="",B350&lt;TODAY()),"",COUNTIFS($B$5:$B$504,"&gt;="&amp;TODAY(),$B$5:$B$504,"&lt;"&amp;B350)+COUNTIFS($B$5:B350,B350))</f>
        <v/>
      </c>
    </row>
    <row r="351" customFormat="false" ht="15" hidden="false" customHeight="false" outlineLevel="0" collapsed="false">
      <c r="A351" s="32"/>
      <c r="B351" s="27"/>
      <c r="C351" s="29"/>
      <c r="D351" s="32"/>
      <c r="E351" s="32"/>
      <c r="F351" s="32"/>
      <c r="G351" s="31"/>
      <c r="H351" s="31"/>
      <c r="I351" s="33" t="str">
        <f aca="false">IF(G351="","",G351-H351)</f>
        <v/>
      </c>
      <c r="J351" s="33" t="str">
        <f aca="false">IF(A351="","",SUMIFS(Freelancers!$E$5:$E$504,Freelancers!$B$5:$B$504,A351))</f>
        <v/>
      </c>
      <c r="K351" s="33" t="str">
        <f aca="false">IF(A351="","",SUMIFS(Gastos!$D$5:$D$504,Gastos!$E$5:$E$504,A351))</f>
        <v/>
      </c>
      <c r="L351" s="33" t="str">
        <f aca="false">IF(G351="","",G351-N(J351)-N(K351))</f>
        <v/>
      </c>
      <c r="M351" s="34" t="str">
        <f aca="false">IF(G351="","",IF(H351&gt;=G351,"Pago",IF(H351&gt;0,"Parcial","Pendente")))</f>
        <v/>
      </c>
      <c r="N351" s="32"/>
      <c r="O351" s="35" t="str">
        <f aca="true">IF(OR(B351="",B351&lt;TODAY()),"",COUNTIFS($B$5:$B$504,"&gt;="&amp;TODAY(),$B$5:$B$504,"&lt;"&amp;B351)+COUNTIFS($B$5:B351,B351))</f>
        <v/>
      </c>
    </row>
    <row r="352" customFormat="false" ht="15" hidden="false" customHeight="false" outlineLevel="0" collapsed="false">
      <c r="A352" s="32"/>
      <c r="B352" s="27"/>
      <c r="C352" s="29"/>
      <c r="D352" s="32"/>
      <c r="E352" s="32"/>
      <c r="F352" s="32"/>
      <c r="G352" s="31"/>
      <c r="H352" s="31"/>
      <c r="I352" s="33" t="str">
        <f aca="false">IF(G352="","",G352-H352)</f>
        <v/>
      </c>
      <c r="J352" s="33" t="str">
        <f aca="false">IF(A352="","",SUMIFS(Freelancers!$E$5:$E$504,Freelancers!$B$5:$B$504,A352))</f>
        <v/>
      </c>
      <c r="K352" s="33" t="str">
        <f aca="false">IF(A352="","",SUMIFS(Gastos!$D$5:$D$504,Gastos!$E$5:$E$504,A352))</f>
        <v/>
      </c>
      <c r="L352" s="33" t="str">
        <f aca="false">IF(G352="","",G352-N(J352)-N(K352))</f>
        <v/>
      </c>
      <c r="M352" s="34" t="str">
        <f aca="false">IF(G352="","",IF(H352&gt;=G352,"Pago",IF(H352&gt;0,"Parcial","Pendente")))</f>
        <v/>
      </c>
      <c r="N352" s="32"/>
      <c r="O352" s="35" t="str">
        <f aca="true">IF(OR(B352="",B352&lt;TODAY()),"",COUNTIFS($B$5:$B$504,"&gt;="&amp;TODAY(),$B$5:$B$504,"&lt;"&amp;B352)+COUNTIFS($B$5:B352,B352))</f>
        <v/>
      </c>
    </row>
    <row r="353" customFormat="false" ht="15" hidden="false" customHeight="false" outlineLevel="0" collapsed="false">
      <c r="A353" s="32"/>
      <c r="B353" s="27"/>
      <c r="C353" s="29"/>
      <c r="D353" s="32"/>
      <c r="E353" s="32"/>
      <c r="F353" s="32"/>
      <c r="G353" s="31"/>
      <c r="H353" s="31"/>
      <c r="I353" s="33" t="str">
        <f aca="false">IF(G353="","",G353-H353)</f>
        <v/>
      </c>
      <c r="J353" s="33" t="str">
        <f aca="false">IF(A353="","",SUMIFS(Freelancers!$E$5:$E$504,Freelancers!$B$5:$B$504,A353))</f>
        <v/>
      </c>
      <c r="K353" s="33" t="str">
        <f aca="false">IF(A353="","",SUMIFS(Gastos!$D$5:$D$504,Gastos!$E$5:$E$504,A353))</f>
        <v/>
      </c>
      <c r="L353" s="33" t="str">
        <f aca="false">IF(G353="","",G353-N(J353)-N(K353))</f>
        <v/>
      </c>
      <c r="M353" s="34" t="str">
        <f aca="false">IF(G353="","",IF(H353&gt;=G353,"Pago",IF(H353&gt;0,"Parcial","Pendente")))</f>
        <v/>
      </c>
      <c r="N353" s="32"/>
      <c r="O353" s="35" t="str">
        <f aca="true">IF(OR(B353="",B353&lt;TODAY()),"",COUNTIFS($B$5:$B$504,"&gt;="&amp;TODAY(),$B$5:$B$504,"&lt;"&amp;B353)+COUNTIFS($B$5:B353,B353))</f>
        <v/>
      </c>
    </row>
    <row r="354" customFormat="false" ht="15" hidden="false" customHeight="false" outlineLevel="0" collapsed="false">
      <c r="A354" s="32"/>
      <c r="B354" s="27"/>
      <c r="C354" s="29"/>
      <c r="D354" s="32"/>
      <c r="E354" s="32"/>
      <c r="F354" s="32"/>
      <c r="G354" s="31"/>
      <c r="H354" s="31"/>
      <c r="I354" s="33" t="str">
        <f aca="false">IF(G354="","",G354-H354)</f>
        <v/>
      </c>
      <c r="J354" s="33" t="str">
        <f aca="false">IF(A354="","",SUMIFS(Freelancers!$E$5:$E$504,Freelancers!$B$5:$B$504,A354))</f>
        <v/>
      </c>
      <c r="K354" s="33" t="str">
        <f aca="false">IF(A354="","",SUMIFS(Gastos!$D$5:$D$504,Gastos!$E$5:$E$504,A354))</f>
        <v/>
      </c>
      <c r="L354" s="33" t="str">
        <f aca="false">IF(G354="","",G354-N(J354)-N(K354))</f>
        <v/>
      </c>
      <c r="M354" s="34" t="str">
        <f aca="false">IF(G354="","",IF(H354&gt;=G354,"Pago",IF(H354&gt;0,"Parcial","Pendente")))</f>
        <v/>
      </c>
      <c r="N354" s="32"/>
      <c r="O354" s="35" t="str">
        <f aca="true">IF(OR(B354="",B354&lt;TODAY()),"",COUNTIFS($B$5:$B$504,"&gt;="&amp;TODAY(),$B$5:$B$504,"&lt;"&amp;B354)+COUNTIFS($B$5:B354,B354))</f>
        <v/>
      </c>
    </row>
    <row r="355" customFormat="false" ht="15" hidden="false" customHeight="false" outlineLevel="0" collapsed="false">
      <c r="A355" s="32"/>
      <c r="B355" s="27"/>
      <c r="C355" s="29"/>
      <c r="D355" s="32"/>
      <c r="E355" s="32"/>
      <c r="F355" s="32"/>
      <c r="G355" s="31"/>
      <c r="H355" s="31"/>
      <c r="I355" s="33" t="str">
        <f aca="false">IF(G355="","",G355-H355)</f>
        <v/>
      </c>
      <c r="J355" s="33" t="str">
        <f aca="false">IF(A355="","",SUMIFS(Freelancers!$E$5:$E$504,Freelancers!$B$5:$B$504,A355))</f>
        <v/>
      </c>
      <c r="K355" s="33" t="str">
        <f aca="false">IF(A355="","",SUMIFS(Gastos!$D$5:$D$504,Gastos!$E$5:$E$504,A355))</f>
        <v/>
      </c>
      <c r="L355" s="33" t="str">
        <f aca="false">IF(G355="","",G355-N(J355)-N(K355))</f>
        <v/>
      </c>
      <c r="M355" s="34" t="str">
        <f aca="false">IF(G355="","",IF(H355&gt;=G355,"Pago",IF(H355&gt;0,"Parcial","Pendente")))</f>
        <v/>
      </c>
      <c r="N355" s="32"/>
      <c r="O355" s="35" t="str">
        <f aca="true">IF(OR(B355="",B355&lt;TODAY()),"",COUNTIFS($B$5:$B$504,"&gt;="&amp;TODAY(),$B$5:$B$504,"&lt;"&amp;B355)+COUNTIFS($B$5:B355,B355))</f>
        <v/>
      </c>
    </row>
    <row r="356" customFormat="false" ht="15" hidden="false" customHeight="false" outlineLevel="0" collapsed="false">
      <c r="A356" s="32"/>
      <c r="B356" s="27"/>
      <c r="C356" s="29"/>
      <c r="D356" s="32"/>
      <c r="E356" s="32"/>
      <c r="F356" s="32"/>
      <c r="G356" s="31"/>
      <c r="H356" s="31"/>
      <c r="I356" s="33" t="str">
        <f aca="false">IF(G356="","",G356-H356)</f>
        <v/>
      </c>
      <c r="J356" s="33" t="str">
        <f aca="false">IF(A356="","",SUMIFS(Freelancers!$E$5:$E$504,Freelancers!$B$5:$B$504,A356))</f>
        <v/>
      </c>
      <c r="K356" s="33" t="str">
        <f aca="false">IF(A356="","",SUMIFS(Gastos!$D$5:$D$504,Gastos!$E$5:$E$504,A356))</f>
        <v/>
      </c>
      <c r="L356" s="33" t="str">
        <f aca="false">IF(G356="","",G356-N(J356)-N(K356))</f>
        <v/>
      </c>
      <c r="M356" s="34" t="str">
        <f aca="false">IF(G356="","",IF(H356&gt;=G356,"Pago",IF(H356&gt;0,"Parcial","Pendente")))</f>
        <v/>
      </c>
      <c r="N356" s="32"/>
      <c r="O356" s="35" t="str">
        <f aca="true">IF(OR(B356="",B356&lt;TODAY()),"",COUNTIFS($B$5:$B$504,"&gt;="&amp;TODAY(),$B$5:$B$504,"&lt;"&amp;B356)+COUNTIFS($B$5:B356,B356))</f>
        <v/>
      </c>
    </row>
    <row r="357" customFormat="false" ht="15" hidden="false" customHeight="false" outlineLevel="0" collapsed="false">
      <c r="A357" s="32"/>
      <c r="B357" s="27"/>
      <c r="C357" s="29"/>
      <c r="D357" s="32"/>
      <c r="E357" s="32"/>
      <c r="F357" s="32"/>
      <c r="G357" s="31"/>
      <c r="H357" s="31"/>
      <c r="I357" s="33" t="str">
        <f aca="false">IF(G357="","",G357-H357)</f>
        <v/>
      </c>
      <c r="J357" s="33" t="str">
        <f aca="false">IF(A357="","",SUMIFS(Freelancers!$E$5:$E$504,Freelancers!$B$5:$B$504,A357))</f>
        <v/>
      </c>
      <c r="K357" s="33" t="str">
        <f aca="false">IF(A357="","",SUMIFS(Gastos!$D$5:$D$504,Gastos!$E$5:$E$504,A357))</f>
        <v/>
      </c>
      <c r="L357" s="33" t="str">
        <f aca="false">IF(G357="","",G357-N(J357)-N(K357))</f>
        <v/>
      </c>
      <c r="M357" s="34" t="str">
        <f aca="false">IF(G357="","",IF(H357&gt;=G357,"Pago",IF(H357&gt;0,"Parcial","Pendente")))</f>
        <v/>
      </c>
      <c r="N357" s="32"/>
      <c r="O357" s="35" t="str">
        <f aca="true">IF(OR(B357="",B357&lt;TODAY()),"",COUNTIFS($B$5:$B$504,"&gt;="&amp;TODAY(),$B$5:$B$504,"&lt;"&amp;B357)+COUNTIFS($B$5:B357,B357))</f>
        <v/>
      </c>
    </row>
    <row r="358" customFormat="false" ht="15" hidden="false" customHeight="false" outlineLevel="0" collapsed="false">
      <c r="A358" s="32"/>
      <c r="B358" s="27"/>
      <c r="C358" s="29"/>
      <c r="D358" s="32"/>
      <c r="E358" s="32"/>
      <c r="F358" s="32"/>
      <c r="G358" s="31"/>
      <c r="H358" s="31"/>
      <c r="I358" s="33" t="str">
        <f aca="false">IF(G358="","",G358-H358)</f>
        <v/>
      </c>
      <c r="J358" s="33" t="str">
        <f aca="false">IF(A358="","",SUMIFS(Freelancers!$E$5:$E$504,Freelancers!$B$5:$B$504,A358))</f>
        <v/>
      </c>
      <c r="K358" s="33" t="str">
        <f aca="false">IF(A358="","",SUMIFS(Gastos!$D$5:$D$504,Gastos!$E$5:$E$504,A358))</f>
        <v/>
      </c>
      <c r="L358" s="33" t="str">
        <f aca="false">IF(G358="","",G358-N(J358)-N(K358))</f>
        <v/>
      </c>
      <c r="M358" s="34" t="str">
        <f aca="false">IF(G358="","",IF(H358&gt;=G358,"Pago",IF(H358&gt;0,"Parcial","Pendente")))</f>
        <v/>
      </c>
      <c r="N358" s="32"/>
      <c r="O358" s="35" t="str">
        <f aca="true">IF(OR(B358="",B358&lt;TODAY()),"",COUNTIFS($B$5:$B$504,"&gt;="&amp;TODAY(),$B$5:$B$504,"&lt;"&amp;B358)+COUNTIFS($B$5:B358,B358))</f>
        <v/>
      </c>
    </row>
    <row r="359" customFormat="false" ht="15" hidden="false" customHeight="false" outlineLevel="0" collapsed="false">
      <c r="A359" s="32"/>
      <c r="B359" s="27"/>
      <c r="C359" s="29"/>
      <c r="D359" s="32"/>
      <c r="E359" s="32"/>
      <c r="F359" s="32"/>
      <c r="G359" s="31"/>
      <c r="H359" s="31"/>
      <c r="I359" s="33" t="str">
        <f aca="false">IF(G359="","",G359-H359)</f>
        <v/>
      </c>
      <c r="J359" s="33" t="str">
        <f aca="false">IF(A359="","",SUMIFS(Freelancers!$E$5:$E$504,Freelancers!$B$5:$B$504,A359))</f>
        <v/>
      </c>
      <c r="K359" s="33" t="str">
        <f aca="false">IF(A359="","",SUMIFS(Gastos!$D$5:$D$504,Gastos!$E$5:$E$504,A359))</f>
        <v/>
      </c>
      <c r="L359" s="33" t="str">
        <f aca="false">IF(G359="","",G359-N(J359)-N(K359))</f>
        <v/>
      </c>
      <c r="M359" s="34" t="str">
        <f aca="false">IF(G359="","",IF(H359&gt;=G359,"Pago",IF(H359&gt;0,"Parcial","Pendente")))</f>
        <v/>
      </c>
      <c r="N359" s="32"/>
      <c r="O359" s="35" t="str">
        <f aca="true">IF(OR(B359="",B359&lt;TODAY()),"",COUNTIFS($B$5:$B$504,"&gt;="&amp;TODAY(),$B$5:$B$504,"&lt;"&amp;B359)+COUNTIFS($B$5:B359,B359))</f>
        <v/>
      </c>
    </row>
    <row r="360" customFormat="false" ht="15" hidden="false" customHeight="false" outlineLevel="0" collapsed="false">
      <c r="A360" s="32"/>
      <c r="B360" s="27"/>
      <c r="C360" s="29"/>
      <c r="D360" s="32"/>
      <c r="E360" s="32"/>
      <c r="F360" s="32"/>
      <c r="G360" s="31"/>
      <c r="H360" s="31"/>
      <c r="I360" s="33" t="str">
        <f aca="false">IF(G360="","",G360-H360)</f>
        <v/>
      </c>
      <c r="J360" s="33" t="str">
        <f aca="false">IF(A360="","",SUMIFS(Freelancers!$E$5:$E$504,Freelancers!$B$5:$B$504,A360))</f>
        <v/>
      </c>
      <c r="K360" s="33" t="str">
        <f aca="false">IF(A360="","",SUMIFS(Gastos!$D$5:$D$504,Gastos!$E$5:$E$504,A360))</f>
        <v/>
      </c>
      <c r="L360" s="33" t="str">
        <f aca="false">IF(G360="","",G360-N(J360)-N(K360))</f>
        <v/>
      </c>
      <c r="M360" s="34" t="str">
        <f aca="false">IF(G360="","",IF(H360&gt;=G360,"Pago",IF(H360&gt;0,"Parcial","Pendente")))</f>
        <v/>
      </c>
      <c r="N360" s="32"/>
      <c r="O360" s="35" t="str">
        <f aca="true">IF(OR(B360="",B360&lt;TODAY()),"",COUNTIFS($B$5:$B$504,"&gt;="&amp;TODAY(),$B$5:$B$504,"&lt;"&amp;B360)+COUNTIFS($B$5:B360,B360))</f>
        <v/>
      </c>
    </row>
    <row r="361" customFormat="false" ht="15" hidden="false" customHeight="false" outlineLevel="0" collapsed="false">
      <c r="A361" s="32"/>
      <c r="B361" s="27"/>
      <c r="C361" s="29"/>
      <c r="D361" s="32"/>
      <c r="E361" s="32"/>
      <c r="F361" s="32"/>
      <c r="G361" s="31"/>
      <c r="H361" s="31"/>
      <c r="I361" s="33" t="str">
        <f aca="false">IF(G361="","",G361-H361)</f>
        <v/>
      </c>
      <c r="J361" s="33" t="str">
        <f aca="false">IF(A361="","",SUMIFS(Freelancers!$E$5:$E$504,Freelancers!$B$5:$B$504,A361))</f>
        <v/>
      </c>
      <c r="K361" s="33" t="str">
        <f aca="false">IF(A361="","",SUMIFS(Gastos!$D$5:$D$504,Gastos!$E$5:$E$504,A361))</f>
        <v/>
      </c>
      <c r="L361" s="33" t="str">
        <f aca="false">IF(G361="","",G361-N(J361)-N(K361))</f>
        <v/>
      </c>
      <c r="M361" s="34" t="str">
        <f aca="false">IF(G361="","",IF(H361&gt;=G361,"Pago",IF(H361&gt;0,"Parcial","Pendente")))</f>
        <v/>
      </c>
      <c r="N361" s="32"/>
      <c r="O361" s="35" t="str">
        <f aca="true">IF(OR(B361="",B361&lt;TODAY()),"",COUNTIFS($B$5:$B$504,"&gt;="&amp;TODAY(),$B$5:$B$504,"&lt;"&amp;B361)+COUNTIFS($B$5:B361,B361))</f>
        <v/>
      </c>
    </row>
    <row r="362" customFormat="false" ht="15" hidden="false" customHeight="false" outlineLevel="0" collapsed="false">
      <c r="A362" s="32"/>
      <c r="B362" s="27"/>
      <c r="C362" s="29"/>
      <c r="D362" s="32"/>
      <c r="E362" s="32"/>
      <c r="F362" s="32"/>
      <c r="G362" s="31"/>
      <c r="H362" s="31"/>
      <c r="I362" s="33" t="str">
        <f aca="false">IF(G362="","",G362-H362)</f>
        <v/>
      </c>
      <c r="J362" s="33" t="str">
        <f aca="false">IF(A362="","",SUMIFS(Freelancers!$E$5:$E$504,Freelancers!$B$5:$B$504,A362))</f>
        <v/>
      </c>
      <c r="K362" s="33" t="str">
        <f aca="false">IF(A362="","",SUMIFS(Gastos!$D$5:$D$504,Gastos!$E$5:$E$504,A362))</f>
        <v/>
      </c>
      <c r="L362" s="33" t="str">
        <f aca="false">IF(G362="","",G362-N(J362)-N(K362))</f>
        <v/>
      </c>
      <c r="M362" s="34" t="str">
        <f aca="false">IF(G362="","",IF(H362&gt;=G362,"Pago",IF(H362&gt;0,"Parcial","Pendente")))</f>
        <v/>
      </c>
      <c r="N362" s="32"/>
      <c r="O362" s="35" t="str">
        <f aca="true">IF(OR(B362="",B362&lt;TODAY()),"",COUNTIFS($B$5:$B$504,"&gt;="&amp;TODAY(),$B$5:$B$504,"&lt;"&amp;B362)+COUNTIFS($B$5:B362,B362))</f>
        <v/>
      </c>
    </row>
    <row r="363" customFormat="false" ht="15" hidden="false" customHeight="false" outlineLevel="0" collapsed="false">
      <c r="A363" s="32"/>
      <c r="B363" s="27"/>
      <c r="C363" s="29"/>
      <c r="D363" s="32"/>
      <c r="E363" s="32"/>
      <c r="F363" s="32"/>
      <c r="G363" s="31"/>
      <c r="H363" s="31"/>
      <c r="I363" s="33" t="str">
        <f aca="false">IF(G363="","",G363-H363)</f>
        <v/>
      </c>
      <c r="J363" s="33" t="str">
        <f aca="false">IF(A363="","",SUMIFS(Freelancers!$E$5:$E$504,Freelancers!$B$5:$B$504,A363))</f>
        <v/>
      </c>
      <c r="K363" s="33" t="str">
        <f aca="false">IF(A363="","",SUMIFS(Gastos!$D$5:$D$504,Gastos!$E$5:$E$504,A363))</f>
        <v/>
      </c>
      <c r="L363" s="33" t="str">
        <f aca="false">IF(G363="","",G363-N(J363)-N(K363))</f>
        <v/>
      </c>
      <c r="M363" s="34" t="str">
        <f aca="false">IF(G363="","",IF(H363&gt;=G363,"Pago",IF(H363&gt;0,"Parcial","Pendente")))</f>
        <v/>
      </c>
      <c r="N363" s="32"/>
      <c r="O363" s="35" t="str">
        <f aca="true">IF(OR(B363="",B363&lt;TODAY()),"",COUNTIFS($B$5:$B$504,"&gt;="&amp;TODAY(),$B$5:$B$504,"&lt;"&amp;B363)+COUNTIFS($B$5:B363,B363))</f>
        <v/>
      </c>
    </row>
    <row r="364" customFormat="false" ht="15" hidden="false" customHeight="false" outlineLevel="0" collapsed="false">
      <c r="A364" s="32"/>
      <c r="B364" s="27"/>
      <c r="C364" s="29"/>
      <c r="D364" s="32"/>
      <c r="E364" s="32"/>
      <c r="F364" s="32"/>
      <c r="G364" s="31"/>
      <c r="H364" s="31"/>
      <c r="I364" s="33" t="str">
        <f aca="false">IF(G364="","",G364-H364)</f>
        <v/>
      </c>
      <c r="J364" s="33" t="str">
        <f aca="false">IF(A364="","",SUMIFS(Freelancers!$E$5:$E$504,Freelancers!$B$5:$B$504,A364))</f>
        <v/>
      </c>
      <c r="K364" s="33" t="str">
        <f aca="false">IF(A364="","",SUMIFS(Gastos!$D$5:$D$504,Gastos!$E$5:$E$504,A364))</f>
        <v/>
      </c>
      <c r="L364" s="33" t="str">
        <f aca="false">IF(G364="","",G364-N(J364)-N(K364))</f>
        <v/>
      </c>
      <c r="M364" s="34" t="str">
        <f aca="false">IF(G364="","",IF(H364&gt;=G364,"Pago",IF(H364&gt;0,"Parcial","Pendente")))</f>
        <v/>
      </c>
      <c r="N364" s="32"/>
      <c r="O364" s="35" t="str">
        <f aca="true">IF(OR(B364="",B364&lt;TODAY()),"",COUNTIFS($B$5:$B$504,"&gt;="&amp;TODAY(),$B$5:$B$504,"&lt;"&amp;B364)+COUNTIFS($B$5:B364,B364))</f>
        <v/>
      </c>
    </row>
    <row r="365" customFormat="false" ht="15" hidden="false" customHeight="false" outlineLevel="0" collapsed="false">
      <c r="A365" s="32"/>
      <c r="B365" s="27"/>
      <c r="C365" s="29"/>
      <c r="D365" s="32"/>
      <c r="E365" s="32"/>
      <c r="F365" s="32"/>
      <c r="G365" s="31"/>
      <c r="H365" s="31"/>
      <c r="I365" s="33" t="str">
        <f aca="false">IF(G365="","",G365-H365)</f>
        <v/>
      </c>
      <c r="J365" s="33" t="str">
        <f aca="false">IF(A365="","",SUMIFS(Freelancers!$E$5:$E$504,Freelancers!$B$5:$B$504,A365))</f>
        <v/>
      </c>
      <c r="K365" s="33" t="str">
        <f aca="false">IF(A365="","",SUMIFS(Gastos!$D$5:$D$504,Gastos!$E$5:$E$504,A365))</f>
        <v/>
      </c>
      <c r="L365" s="33" t="str">
        <f aca="false">IF(G365="","",G365-N(J365)-N(K365))</f>
        <v/>
      </c>
      <c r="M365" s="34" t="str">
        <f aca="false">IF(G365="","",IF(H365&gt;=G365,"Pago",IF(H365&gt;0,"Parcial","Pendente")))</f>
        <v/>
      </c>
      <c r="N365" s="32"/>
      <c r="O365" s="35" t="str">
        <f aca="true">IF(OR(B365="",B365&lt;TODAY()),"",COUNTIFS($B$5:$B$504,"&gt;="&amp;TODAY(),$B$5:$B$504,"&lt;"&amp;B365)+COUNTIFS($B$5:B365,B365))</f>
        <v/>
      </c>
    </row>
    <row r="366" customFormat="false" ht="15" hidden="false" customHeight="false" outlineLevel="0" collapsed="false">
      <c r="A366" s="32"/>
      <c r="B366" s="27"/>
      <c r="C366" s="29"/>
      <c r="D366" s="32"/>
      <c r="E366" s="32"/>
      <c r="F366" s="32"/>
      <c r="G366" s="31"/>
      <c r="H366" s="31"/>
      <c r="I366" s="33" t="str">
        <f aca="false">IF(G366="","",G366-H366)</f>
        <v/>
      </c>
      <c r="J366" s="33" t="str">
        <f aca="false">IF(A366="","",SUMIFS(Freelancers!$E$5:$E$504,Freelancers!$B$5:$B$504,A366))</f>
        <v/>
      </c>
      <c r="K366" s="33" t="str">
        <f aca="false">IF(A366="","",SUMIFS(Gastos!$D$5:$D$504,Gastos!$E$5:$E$504,A366))</f>
        <v/>
      </c>
      <c r="L366" s="33" t="str">
        <f aca="false">IF(G366="","",G366-N(J366)-N(K366))</f>
        <v/>
      </c>
      <c r="M366" s="34" t="str">
        <f aca="false">IF(G366="","",IF(H366&gt;=G366,"Pago",IF(H366&gt;0,"Parcial","Pendente")))</f>
        <v/>
      </c>
      <c r="N366" s="32"/>
      <c r="O366" s="35" t="str">
        <f aca="true">IF(OR(B366="",B366&lt;TODAY()),"",COUNTIFS($B$5:$B$504,"&gt;="&amp;TODAY(),$B$5:$B$504,"&lt;"&amp;B366)+COUNTIFS($B$5:B366,B366))</f>
        <v/>
      </c>
    </row>
    <row r="367" customFormat="false" ht="15" hidden="false" customHeight="false" outlineLevel="0" collapsed="false">
      <c r="A367" s="32"/>
      <c r="B367" s="27"/>
      <c r="C367" s="29"/>
      <c r="D367" s="32"/>
      <c r="E367" s="32"/>
      <c r="F367" s="32"/>
      <c r="G367" s="31"/>
      <c r="H367" s="31"/>
      <c r="I367" s="33" t="str">
        <f aca="false">IF(G367="","",G367-H367)</f>
        <v/>
      </c>
      <c r="J367" s="33" t="str">
        <f aca="false">IF(A367="","",SUMIFS(Freelancers!$E$5:$E$504,Freelancers!$B$5:$B$504,A367))</f>
        <v/>
      </c>
      <c r="K367" s="33" t="str">
        <f aca="false">IF(A367="","",SUMIFS(Gastos!$D$5:$D$504,Gastos!$E$5:$E$504,A367))</f>
        <v/>
      </c>
      <c r="L367" s="33" t="str">
        <f aca="false">IF(G367="","",G367-N(J367)-N(K367))</f>
        <v/>
      </c>
      <c r="M367" s="34" t="str">
        <f aca="false">IF(G367="","",IF(H367&gt;=G367,"Pago",IF(H367&gt;0,"Parcial","Pendente")))</f>
        <v/>
      </c>
      <c r="N367" s="32"/>
      <c r="O367" s="35" t="str">
        <f aca="true">IF(OR(B367="",B367&lt;TODAY()),"",COUNTIFS($B$5:$B$504,"&gt;="&amp;TODAY(),$B$5:$B$504,"&lt;"&amp;B367)+COUNTIFS($B$5:B367,B367))</f>
        <v/>
      </c>
    </row>
    <row r="368" customFormat="false" ht="15" hidden="false" customHeight="false" outlineLevel="0" collapsed="false">
      <c r="A368" s="32"/>
      <c r="B368" s="27"/>
      <c r="C368" s="29"/>
      <c r="D368" s="32"/>
      <c r="E368" s="32"/>
      <c r="F368" s="32"/>
      <c r="G368" s="31"/>
      <c r="H368" s="31"/>
      <c r="I368" s="33" t="str">
        <f aca="false">IF(G368="","",G368-H368)</f>
        <v/>
      </c>
      <c r="J368" s="33" t="str">
        <f aca="false">IF(A368="","",SUMIFS(Freelancers!$E$5:$E$504,Freelancers!$B$5:$B$504,A368))</f>
        <v/>
      </c>
      <c r="K368" s="33" t="str">
        <f aca="false">IF(A368="","",SUMIFS(Gastos!$D$5:$D$504,Gastos!$E$5:$E$504,A368))</f>
        <v/>
      </c>
      <c r="L368" s="33" t="str">
        <f aca="false">IF(G368="","",G368-N(J368)-N(K368))</f>
        <v/>
      </c>
      <c r="M368" s="34" t="str">
        <f aca="false">IF(G368="","",IF(H368&gt;=G368,"Pago",IF(H368&gt;0,"Parcial","Pendente")))</f>
        <v/>
      </c>
      <c r="N368" s="32"/>
      <c r="O368" s="35" t="str">
        <f aca="true">IF(OR(B368="",B368&lt;TODAY()),"",COUNTIFS($B$5:$B$504,"&gt;="&amp;TODAY(),$B$5:$B$504,"&lt;"&amp;B368)+COUNTIFS($B$5:B368,B368))</f>
        <v/>
      </c>
    </row>
    <row r="369" customFormat="false" ht="15" hidden="false" customHeight="false" outlineLevel="0" collapsed="false">
      <c r="A369" s="32"/>
      <c r="B369" s="27"/>
      <c r="C369" s="29"/>
      <c r="D369" s="32"/>
      <c r="E369" s="32"/>
      <c r="F369" s="32"/>
      <c r="G369" s="31"/>
      <c r="H369" s="31"/>
      <c r="I369" s="33" t="str">
        <f aca="false">IF(G369="","",G369-H369)</f>
        <v/>
      </c>
      <c r="J369" s="33" t="str">
        <f aca="false">IF(A369="","",SUMIFS(Freelancers!$E$5:$E$504,Freelancers!$B$5:$B$504,A369))</f>
        <v/>
      </c>
      <c r="K369" s="33" t="str">
        <f aca="false">IF(A369="","",SUMIFS(Gastos!$D$5:$D$504,Gastos!$E$5:$E$504,A369))</f>
        <v/>
      </c>
      <c r="L369" s="33" t="str">
        <f aca="false">IF(G369="","",G369-N(J369)-N(K369))</f>
        <v/>
      </c>
      <c r="M369" s="34" t="str">
        <f aca="false">IF(G369="","",IF(H369&gt;=G369,"Pago",IF(H369&gt;0,"Parcial","Pendente")))</f>
        <v/>
      </c>
      <c r="N369" s="32"/>
      <c r="O369" s="35" t="str">
        <f aca="true">IF(OR(B369="",B369&lt;TODAY()),"",COUNTIFS($B$5:$B$504,"&gt;="&amp;TODAY(),$B$5:$B$504,"&lt;"&amp;B369)+COUNTIFS($B$5:B369,B369))</f>
        <v/>
      </c>
    </row>
    <row r="370" customFormat="false" ht="15" hidden="false" customHeight="false" outlineLevel="0" collapsed="false">
      <c r="A370" s="32"/>
      <c r="B370" s="27"/>
      <c r="C370" s="29"/>
      <c r="D370" s="32"/>
      <c r="E370" s="32"/>
      <c r="F370" s="32"/>
      <c r="G370" s="31"/>
      <c r="H370" s="31"/>
      <c r="I370" s="33" t="str">
        <f aca="false">IF(G370="","",G370-H370)</f>
        <v/>
      </c>
      <c r="J370" s="33" t="str">
        <f aca="false">IF(A370="","",SUMIFS(Freelancers!$E$5:$E$504,Freelancers!$B$5:$B$504,A370))</f>
        <v/>
      </c>
      <c r="K370" s="33" t="str">
        <f aca="false">IF(A370="","",SUMIFS(Gastos!$D$5:$D$504,Gastos!$E$5:$E$504,A370))</f>
        <v/>
      </c>
      <c r="L370" s="33" t="str">
        <f aca="false">IF(G370="","",G370-N(J370)-N(K370))</f>
        <v/>
      </c>
      <c r="M370" s="34" t="str">
        <f aca="false">IF(G370="","",IF(H370&gt;=G370,"Pago",IF(H370&gt;0,"Parcial","Pendente")))</f>
        <v/>
      </c>
      <c r="N370" s="32"/>
      <c r="O370" s="35" t="str">
        <f aca="true">IF(OR(B370="",B370&lt;TODAY()),"",COUNTIFS($B$5:$B$504,"&gt;="&amp;TODAY(),$B$5:$B$504,"&lt;"&amp;B370)+COUNTIFS($B$5:B370,B370))</f>
        <v/>
      </c>
    </row>
    <row r="371" customFormat="false" ht="15" hidden="false" customHeight="false" outlineLevel="0" collapsed="false">
      <c r="A371" s="32"/>
      <c r="B371" s="27"/>
      <c r="C371" s="29"/>
      <c r="D371" s="32"/>
      <c r="E371" s="32"/>
      <c r="F371" s="32"/>
      <c r="G371" s="31"/>
      <c r="H371" s="31"/>
      <c r="I371" s="33" t="str">
        <f aca="false">IF(G371="","",G371-H371)</f>
        <v/>
      </c>
      <c r="J371" s="33" t="str">
        <f aca="false">IF(A371="","",SUMIFS(Freelancers!$E$5:$E$504,Freelancers!$B$5:$B$504,A371))</f>
        <v/>
      </c>
      <c r="K371" s="33" t="str">
        <f aca="false">IF(A371="","",SUMIFS(Gastos!$D$5:$D$504,Gastos!$E$5:$E$504,A371))</f>
        <v/>
      </c>
      <c r="L371" s="33" t="str">
        <f aca="false">IF(G371="","",G371-N(J371)-N(K371))</f>
        <v/>
      </c>
      <c r="M371" s="34" t="str">
        <f aca="false">IF(G371="","",IF(H371&gt;=G371,"Pago",IF(H371&gt;0,"Parcial","Pendente")))</f>
        <v/>
      </c>
      <c r="N371" s="32"/>
      <c r="O371" s="35" t="str">
        <f aca="true">IF(OR(B371="",B371&lt;TODAY()),"",COUNTIFS($B$5:$B$504,"&gt;="&amp;TODAY(),$B$5:$B$504,"&lt;"&amp;B371)+COUNTIFS($B$5:B371,B371))</f>
        <v/>
      </c>
    </row>
    <row r="372" customFormat="false" ht="15" hidden="false" customHeight="false" outlineLevel="0" collapsed="false">
      <c r="A372" s="32"/>
      <c r="B372" s="27"/>
      <c r="C372" s="29"/>
      <c r="D372" s="32"/>
      <c r="E372" s="32"/>
      <c r="F372" s="32"/>
      <c r="G372" s="31"/>
      <c r="H372" s="31"/>
      <c r="I372" s="33" t="str">
        <f aca="false">IF(G372="","",G372-H372)</f>
        <v/>
      </c>
      <c r="J372" s="33" t="str">
        <f aca="false">IF(A372="","",SUMIFS(Freelancers!$E$5:$E$504,Freelancers!$B$5:$B$504,A372))</f>
        <v/>
      </c>
      <c r="K372" s="33" t="str">
        <f aca="false">IF(A372="","",SUMIFS(Gastos!$D$5:$D$504,Gastos!$E$5:$E$504,A372))</f>
        <v/>
      </c>
      <c r="L372" s="33" t="str">
        <f aca="false">IF(G372="","",G372-N(J372)-N(K372))</f>
        <v/>
      </c>
      <c r="M372" s="34" t="str">
        <f aca="false">IF(G372="","",IF(H372&gt;=G372,"Pago",IF(H372&gt;0,"Parcial","Pendente")))</f>
        <v/>
      </c>
      <c r="N372" s="32"/>
      <c r="O372" s="35" t="str">
        <f aca="true">IF(OR(B372="",B372&lt;TODAY()),"",COUNTIFS($B$5:$B$504,"&gt;="&amp;TODAY(),$B$5:$B$504,"&lt;"&amp;B372)+COUNTIFS($B$5:B372,B372))</f>
        <v/>
      </c>
    </row>
    <row r="373" customFormat="false" ht="15" hidden="false" customHeight="false" outlineLevel="0" collapsed="false">
      <c r="A373" s="32"/>
      <c r="B373" s="27"/>
      <c r="C373" s="29"/>
      <c r="D373" s="32"/>
      <c r="E373" s="32"/>
      <c r="F373" s="32"/>
      <c r="G373" s="31"/>
      <c r="H373" s="31"/>
      <c r="I373" s="33" t="str">
        <f aca="false">IF(G373="","",G373-H373)</f>
        <v/>
      </c>
      <c r="J373" s="33" t="str">
        <f aca="false">IF(A373="","",SUMIFS(Freelancers!$E$5:$E$504,Freelancers!$B$5:$B$504,A373))</f>
        <v/>
      </c>
      <c r="K373" s="33" t="str">
        <f aca="false">IF(A373="","",SUMIFS(Gastos!$D$5:$D$504,Gastos!$E$5:$E$504,A373))</f>
        <v/>
      </c>
      <c r="L373" s="33" t="str">
        <f aca="false">IF(G373="","",G373-N(J373)-N(K373))</f>
        <v/>
      </c>
      <c r="M373" s="34" t="str">
        <f aca="false">IF(G373="","",IF(H373&gt;=G373,"Pago",IF(H373&gt;0,"Parcial","Pendente")))</f>
        <v/>
      </c>
      <c r="N373" s="32"/>
      <c r="O373" s="35" t="str">
        <f aca="true">IF(OR(B373="",B373&lt;TODAY()),"",COUNTIFS($B$5:$B$504,"&gt;="&amp;TODAY(),$B$5:$B$504,"&lt;"&amp;B373)+COUNTIFS($B$5:B373,B373))</f>
        <v/>
      </c>
    </row>
    <row r="374" customFormat="false" ht="15" hidden="false" customHeight="false" outlineLevel="0" collapsed="false">
      <c r="A374" s="32"/>
      <c r="B374" s="27"/>
      <c r="C374" s="29"/>
      <c r="D374" s="32"/>
      <c r="E374" s="32"/>
      <c r="F374" s="32"/>
      <c r="G374" s="31"/>
      <c r="H374" s="31"/>
      <c r="I374" s="33" t="str">
        <f aca="false">IF(G374="","",G374-H374)</f>
        <v/>
      </c>
      <c r="J374" s="33" t="str">
        <f aca="false">IF(A374="","",SUMIFS(Freelancers!$E$5:$E$504,Freelancers!$B$5:$B$504,A374))</f>
        <v/>
      </c>
      <c r="K374" s="33" t="str">
        <f aca="false">IF(A374="","",SUMIFS(Gastos!$D$5:$D$504,Gastos!$E$5:$E$504,A374))</f>
        <v/>
      </c>
      <c r="L374" s="33" t="str">
        <f aca="false">IF(G374="","",G374-N(J374)-N(K374))</f>
        <v/>
      </c>
      <c r="M374" s="34" t="str">
        <f aca="false">IF(G374="","",IF(H374&gt;=G374,"Pago",IF(H374&gt;0,"Parcial","Pendente")))</f>
        <v/>
      </c>
      <c r="N374" s="32"/>
      <c r="O374" s="35" t="str">
        <f aca="true">IF(OR(B374="",B374&lt;TODAY()),"",COUNTIFS($B$5:$B$504,"&gt;="&amp;TODAY(),$B$5:$B$504,"&lt;"&amp;B374)+COUNTIFS($B$5:B374,B374))</f>
        <v/>
      </c>
    </row>
    <row r="375" customFormat="false" ht="15" hidden="false" customHeight="false" outlineLevel="0" collapsed="false">
      <c r="A375" s="32"/>
      <c r="B375" s="27"/>
      <c r="C375" s="29"/>
      <c r="D375" s="32"/>
      <c r="E375" s="32"/>
      <c r="F375" s="32"/>
      <c r="G375" s="31"/>
      <c r="H375" s="31"/>
      <c r="I375" s="33" t="str">
        <f aca="false">IF(G375="","",G375-H375)</f>
        <v/>
      </c>
      <c r="J375" s="33" t="str">
        <f aca="false">IF(A375="","",SUMIFS(Freelancers!$E$5:$E$504,Freelancers!$B$5:$B$504,A375))</f>
        <v/>
      </c>
      <c r="K375" s="33" t="str">
        <f aca="false">IF(A375="","",SUMIFS(Gastos!$D$5:$D$504,Gastos!$E$5:$E$504,A375))</f>
        <v/>
      </c>
      <c r="L375" s="33" t="str">
        <f aca="false">IF(G375="","",G375-N(J375)-N(K375))</f>
        <v/>
      </c>
      <c r="M375" s="34" t="str">
        <f aca="false">IF(G375="","",IF(H375&gt;=G375,"Pago",IF(H375&gt;0,"Parcial","Pendente")))</f>
        <v/>
      </c>
      <c r="N375" s="32"/>
      <c r="O375" s="35" t="str">
        <f aca="true">IF(OR(B375="",B375&lt;TODAY()),"",COUNTIFS($B$5:$B$504,"&gt;="&amp;TODAY(),$B$5:$B$504,"&lt;"&amp;B375)+COUNTIFS($B$5:B375,B375))</f>
        <v/>
      </c>
    </row>
    <row r="376" customFormat="false" ht="15" hidden="false" customHeight="false" outlineLevel="0" collapsed="false">
      <c r="A376" s="32"/>
      <c r="B376" s="27"/>
      <c r="C376" s="29"/>
      <c r="D376" s="32"/>
      <c r="E376" s="32"/>
      <c r="F376" s="32"/>
      <c r="G376" s="31"/>
      <c r="H376" s="31"/>
      <c r="I376" s="33" t="str">
        <f aca="false">IF(G376="","",G376-H376)</f>
        <v/>
      </c>
      <c r="J376" s="33" t="str">
        <f aca="false">IF(A376="","",SUMIFS(Freelancers!$E$5:$E$504,Freelancers!$B$5:$B$504,A376))</f>
        <v/>
      </c>
      <c r="K376" s="33" t="str">
        <f aca="false">IF(A376="","",SUMIFS(Gastos!$D$5:$D$504,Gastos!$E$5:$E$504,A376))</f>
        <v/>
      </c>
      <c r="L376" s="33" t="str">
        <f aca="false">IF(G376="","",G376-N(J376)-N(K376))</f>
        <v/>
      </c>
      <c r="M376" s="34" t="str">
        <f aca="false">IF(G376="","",IF(H376&gt;=G376,"Pago",IF(H376&gt;0,"Parcial","Pendente")))</f>
        <v/>
      </c>
      <c r="N376" s="32"/>
      <c r="O376" s="35" t="str">
        <f aca="true">IF(OR(B376="",B376&lt;TODAY()),"",COUNTIFS($B$5:$B$504,"&gt;="&amp;TODAY(),$B$5:$B$504,"&lt;"&amp;B376)+COUNTIFS($B$5:B376,B376))</f>
        <v/>
      </c>
    </row>
    <row r="377" customFormat="false" ht="15" hidden="false" customHeight="false" outlineLevel="0" collapsed="false">
      <c r="A377" s="32"/>
      <c r="B377" s="27"/>
      <c r="C377" s="29"/>
      <c r="D377" s="32"/>
      <c r="E377" s="32"/>
      <c r="F377" s="32"/>
      <c r="G377" s="31"/>
      <c r="H377" s="31"/>
      <c r="I377" s="33" t="str">
        <f aca="false">IF(G377="","",G377-H377)</f>
        <v/>
      </c>
      <c r="J377" s="33" t="str">
        <f aca="false">IF(A377="","",SUMIFS(Freelancers!$E$5:$E$504,Freelancers!$B$5:$B$504,A377))</f>
        <v/>
      </c>
      <c r="K377" s="33" t="str">
        <f aca="false">IF(A377="","",SUMIFS(Gastos!$D$5:$D$504,Gastos!$E$5:$E$504,A377))</f>
        <v/>
      </c>
      <c r="L377" s="33" t="str">
        <f aca="false">IF(G377="","",G377-N(J377)-N(K377))</f>
        <v/>
      </c>
      <c r="M377" s="34" t="str">
        <f aca="false">IF(G377="","",IF(H377&gt;=G377,"Pago",IF(H377&gt;0,"Parcial","Pendente")))</f>
        <v/>
      </c>
      <c r="N377" s="32"/>
      <c r="O377" s="35" t="str">
        <f aca="true">IF(OR(B377="",B377&lt;TODAY()),"",COUNTIFS($B$5:$B$504,"&gt;="&amp;TODAY(),$B$5:$B$504,"&lt;"&amp;B377)+COUNTIFS($B$5:B377,B377))</f>
        <v/>
      </c>
    </row>
    <row r="378" customFormat="false" ht="15" hidden="false" customHeight="false" outlineLevel="0" collapsed="false">
      <c r="A378" s="32"/>
      <c r="B378" s="27"/>
      <c r="C378" s="29"/>
      <c r="D378" s="32"/>
      <c r="E378" s="32"/>
      <c r="F378" s="32"/>
      <c r="G378" s="31"/>
      <c r="H378" s="31"/>
      <c r="I378" s="33" t="str">
        <f aca="false">IF(G378="","",G378-H378)</f>
        <v/>
      </c>
      <c r="J378" s="33" t="str">
        <f aca="false">IF(A378="","",SUMIFS(Freelancers!$E$5:$E$504,Freelancers!$B$5:$B$504,A378))</f>
        <v/>
      </c>
      <c r="K378" s="33" t="str">
        <f aca="false">IF(A378="","",SUMIFS(Gastos!$D$5:$D$504,Gastos!$E$5:$E$504,A378))</f>
        <v/>
      </c>
      <c r="L378" s="33" t="str">
        <f aca="false">IF(G378="","",G378-N(J378)-N(K378))</f>
        <v/>
      </c>
      <c r="M378" s="34" t="str">
        <f aca="false">IF(G378="","",IF(H378&gt;=G378,"Pago",IF(H378&gt;0,"Parcial","Pendente")))</f>
        <v/>
      </c>
      <c r="N378" s="32"/>
      <c r="O378" s="35" t="str">
        <f aca="true">IF(OR(B378="",B378&lt;TODAY()),"",COUNTIFS($B$5:$B$504,"&gt;="&amp;TODAY(),$B$5:$B$504,"&lt;"&amp;B378)+COUNTIFS($B$5:B378,B378))</f>
        <v/>
      </c>
    </row>
    <row r="379" customFormat="false" ht="15" hidden="false" customHeight="false" outlineLevel="0" collapsed="false">
      <c r="A379" s="32"/>
      <c r="B379" s="27"/>
      <c r="C379" s="29"/>
      <c r="D379" s="32"/>
      <c r="E379" s="32"/>
      <c r="F379" s="32"/>
      <c r="G379" s="31"/>
      <c r="H379" s="31"/>
      <c r="I379" s="33" t="str">
        <f aca="false">IF(G379="","",G379-H379)</f>
        <v/>
      </c>
      <c r="J379" s="33" t="str">
        <f aca="false">IF(A379="","",SUMIFS(Freelancers!$E$5:$E$504,Freelancers!$B$5:$B$504,A379))</f>
        <v/>
      </c>
      <c r="K379" s="33" t="str">
        <f aca="false">IF(A379="","",SUMIFS(Gastos!$D$5:$D$504,Gastos!$E$5:$E$504,A379))</f>
        <v/>
      </c>
      <c r="L379" s="33" t="str">
        <f aca="false">IF(G379="","",G379-N(J379)-N(K379))</f>
        <v/>
      </c>
      <c r="M379" s="34" t="str">
        <f aca="false">IF(G379="","",IF(H379&gt;=G379,"Pago",IF(H379&gt;0,"Parcial","Pendente")))</f>
        <v/>
      </c>
      <c r="N379" s="32"/>
      <c r="O379" s="35" t="str">
        <f aca="true">IF(OR(B379="",B379&lt;TODAY()),"",COUNTIFS($B$5:$B$504,"&gt;="&amp;TODAY(),$B$5:$B$504,"&lt;"&amp;B379)+COUNTIFS($B$5:B379,B379))</f>
        <v/>
      </c>
    </row>
    <row r="380" customFormat="false" ht="15" hidden="false" customHeight="false" outlineLevel="0" collapsed="false">
      <c r="A380" s="32"/>
      <c r="B380" s="27"/>
      <c r="C380" s="29"/>
      <c r="D380" s="32"/>
      <c r="E380" s="32"/>
      <c r="F380" s="32"/>
      <c r="G380" s="31"/>
      <c r="H380" s="31"/>
      <c r="I380" s="33" t="str">
        <f aca="false">IF(G380="","",G380-H380)</f>
        <v/>
      </c>
      <c r="J380" s="33" t="str">
        <f aca="false">IF(A380="","",SUMIFS(Freelancers!$E$5:$E$504,Freelancers!$B$5:$B$504,A380))</f>
        <v/>
      </c>
      <c r="K380" s="33" t="str">
        <f aca="false">IF(A380="","",SUMIFS(Gastos!$D$5:$D$504,Gastos!$E$5:$E$504,A380))</f>
        <v/>
      </c>
      <c r="L380" s="33" t="str">
        <f aca="false">IF(G380="","",G380-N(J380)-N(K380))</f>
        <v/>
      </c>
      <c r="M380" s="34" t="str">
        <f aca="false">IF(G380="","",IF(H380&gt;=G380,"Pago",IF(H380&gt;0,"Parcial","Pendente")))</f>
        <v/>
      </c>
      <c r="N380" s="32"/>
      <c r="O380" s="35" t="str">
        <f aca="true">IF(OR(B380="",B380&lt;TODAY()),"",COUNTIFS($B$5:$B$504,"&gt;="&amp;TODAY(),$B$5:$B$504,"&lt;"&amp;B380)+COUNTIFS($B$5:B380,B380))</f>
        <v/>
      </c>
    </row>
    <row r="381" customFormat="false" ht="15" hidden="false" customHeight="false" outlineLevel="0" collapsed="false">
      <c r="A381" s="32"/>
      <c r="B381" s="27"/>
      <c r="C381" s="29"/>
      <c r="D381" s="32"/>
      <c r="E381" s="32"/>
      <c r="F381" s="32"/>
      <c r="G381" s="31"/>
      <c r="H381" s="31"/>
      <c r="I381" s="33" t="str">
        <f aca="false">IF(G381="","",G381-H381)</f>
        <v/>
      </c>
      <c r="J381" s="33" t="str">
        <f aca="false">IF(A381="","",SUMIFS(Freelancers!$E$5:$E$504,Freelancers!$B$5:$B$504,A381))</f>
        <v/>
      </c>
      <c r="K381" s="33" t="str">
        <f aca="false">IF(A381="","",SUMIFS(Gastos!$D$5:$D$504,Gastos!$E$5:$E$504,A381))</f>
        <v/>
      </c>
      <c r="L381" s="33" t="str">
        <f aca="false">IF(G381="","",G381-N(J381)-N(K381))</f>
        <v/>
      </c>
      <c r="M381" s="34" t="str">
        <f aca="false">IF(G381="","",IF(H381&gt;=G381,"Pago",IF(H381&gt;0,"Parcial","Pendente")))</f>
        <v/>
      </c>
      <c r="N381" s="32"/>
      <c r="O381" s="35" t="str">
        <f aca="true">IF(OR(B381="",B381&lt;TODAY()),"",COUNTIFS($B$5:$B$504,"&gt;="&amp;TODAY(),$B$5:$B$504,"&lt;"&amp;B381)+COUNTIFS($B$5:B381,B381))</f>
        <v/>
      </c>
    </row>
    <row r="382" customFormat="false" ht="15" hidden="false" customHeight="false" outlineLevel="0" collapsed="false">
      <c r="A382" s="32"/>
      <c r="B382" s="27"/>
      <c r="C382" s="29"/>
      <c r="D382" s="32"/>
      <c r="E382" s="32"/>
      <c r="F382" s="32"/>
      <c r="G382" s="31"/>
      <c r="H382" s="31"/>
      <c r="I382" s="33" t="str">
        <f aca="false">IF(G382="","",G382-H382)</f>
        <v/>
      </c>
      <c r="J382" s="33" t="str">
        <f aca="false">IF(A382="","",SUMIFS(Freelancers!$E$5:$E$504,Freelancers!$B$5:$B$504,A382))</f>
        <v/>
      </c>
      <c r="K382" s="33" t="str">
        <f aca="false">IF(A382="","",SUMIFS(Gastos!$D$5:$D$504,Gastos!$E$5:$E$504,A382))</f>
        <v/>
      </c>
      <c r="L382" s="33" t="str">
        <f aca="false">IF(G382="","",G382-N(J382)-N(K382))</f>
        <v/>
      </c>
      <c r="M382" s="34" t="str">
        <f aca="false">IF(G382="","",IF(H382&gt;=G382,"Pago",IF(H382&gt;0,"Parcial","Pendente")))</f>
        <v/>
      </c>
      <c r="N382" s="32"/>
      <c r="O382" s="35" t="str">
        <f aca="true">IF(OR(B382="",B382&lt;TODAY()),"",COUNTIFS($B$5:$B$504,"&gt;="&amp;TODAY(),$B$5:$B$504,"&lt;"&amp;B382)+COUNTIFS($B$5:B382,B382))</f>
        <v/>
      </c>
    </row>
    <row r="383" customFormat="false" ht="15" hidden="false" customHeight="false" outlineLevel="0" collapsed="false">
      <c r="A383" s="32"/>
      <c r="B383" s="27"/>
      <c r="C383" s="29"/>
      <c r="D383" s="32"/>
      <c r="E383" s="32"/>
      <c r="F383" s="32"/>
      <c r="G383" s="31"/>
      <c r="H383" s="31"/>
      <c r="I383" s="33" t="str">
        <f aca="false">IF(G383="","",G383-H383)</f>
        <v/>
      </c>
      <c r="J383" s="33" t="str">
        <f aca="false">IF(A383="","",SUMIFS(Freelancers!$E$5:$E$504,Freelancers!$B$5:$B$504,A383))</f>
        <v/>
      </c>
      <c r="K383" s="33" t="str">
        <f aca="false">IF(A383="","",SUMIFS(Gastos!$D$5:$D$504,Gastos!$E$5:$E$504,A383))</f>
        <v/>
      </c>
      <c r="L383" s="33" t="str">
        <f aca="false">IF(G383="","",G383-N(J383)-N(K383))</f>
        <v/>
      </c>
      <c r="M383" s="34" t="str">
        <f aca="false">IF(G383="","",IF(H383&gt;=G383,"Pago",IF(H383&gt;0,"Parcial","Pendente")))</f>
        <v/>
      </c>
      <c r="N383" s="32"/>
      <c r="O383" s="35" t="str">
        <f aca="true">IF(OR(B383="",B383&lt;TODAY()),"",COUNTIFS($B$5:$B$504,"&gt;="&amp;TODAY(),$B$5:$B$504,"&lt;"&amp;B383)+COUNTIFS($B$5:B383,B383))</f>
        <v/>
      </c>
    </row>
    <row r="384" customFormat="false" ht="15" hidden="false" customHeight="false" outlineLevel="0" collapsed="false">
      <c r="A384" s="32"/>
      <c r="B384" s="27"/>
      <c r="C384" s="29"/>
      <c r="D384" s="32"/>
      <c r="E384" s="32"/>
      <c r="F384" s="32"/>
      <c r="G384" s="31"/>
      <c r="H384" s="31"/>
      <c r="I384" s="33" t="str">
        <f aca="false">IF(G384="","",G384-H384)</f>
        <v/>
      </c>
      <c r="J384" s="33" t="str">
        <f aca="false">IF(A384="","",SUMIFS(Freelancers!$E$5:$E$504,Freelancers!$B$5:$B$504,A384))</f>
        <v/>
      </c>
      <c r="K384" s="33" t="str">
        <f aca="false">IF(A384="","",SUMIFS(Gastos!$D$5:$D$504,Gastos!$E$5:$E$504,A384))</f>
        <v/>
      </c>
      <c r="L384" s="33" t="str">
        <f aca="false">IF(G384="","",G384-N(J384)-N(K384))</f>
        <v/>
      </c>
      <c r="M384" s="34" t="str">
        <f aca="false">IF(G384="","",IF(H384&gt;=G384,"Pago",IF(H384&gt;0,"Parcial","Pendente")))</f>
        <v/>
      </c>
      <c r="N384" s="32"/>
      <c r="O384" s="35" t="str">
        <f aca="true">IF(OR(B384="",B384&lt;TODAY()),"",COUNTIFS($B$5:$B$504,"&gt;="&amp;TODAY(),$B$5:$B$504,"&lt;"&amp;B384)+COUNTIFS($B$5:B384,B384))</f>
        <v/>
      </c>
    </row>
    <row r="385" customFormat="false" ht="15" hidden="false" customHeight="false" outlineLevel="0" collapsed="false">
      <c r="A385" s="32"/>
      <c r="B385" s="27"/>
      <c r="C385" s="29"/>
      <c r="D385" s="32"/>
      <c r="E385" s="32"/>
      <c r="F385" s="32"/>
      <c r="G385" s="31"/>
      <c r="H385" s="31"/>
      <c r="I385" s="33" t="str">
        <f aca="false">IF(G385="","",G385-H385)</f>
        <v/>
      </c>
      <c r="J385" s="33" t="str">
        <f aca="false">IF(A385="","",SUMIFS(Freelancers!$E$5:$E$504,Freelancers!$B$5:$B$504,A385))</f>
        <v/>
      </c>
      <c r="K385" s="33" t="str">
        <f aca="false">IF(A385="","",SUMIFS(Gastos!$D$5:$D$504,Gastos!$E$5:$E$504,A385))</f>
        <v/>
      </c>
      <c r="L385" s="33" t="str">
        <f aca="false">IF(G385="","",G385-N(J385)-N(K385))</f>
        <v/>
      </c>
      <c r="M385" s="34" t="str">
        <f aca="false">IF(G385="","",IF(H385&gt;=G385,"Pago",IF(H385&gt;0,"Parcial","Pendente")))</f>
        <v/>
      </c>
      <c r="N385" s="32"/>
      <c r="O385" s="35" t="str">
        <f aca="true">IF(OR(B385="",B385&lt;TODAY()),"",COUNTIFS($B$5:$B$504,"&gt;="&amp;TODAY(),$B$5:$B$504,"&lt;"&amp;B385)+COUNTIFS($B$5:B385,B385))</f>
        <v/>
      </c>
    </row>
    <row r="386" customFormat="false" ht="15" hidden="false" customHeight="false" outlineLevel="0" collapsed="false">
      <c r="A386" s="32"/>
      <c r="B386" s="27"/>
      <c r="C386" s="29"/>
      <c r="D386" s="32"/>
      <c r="E386" s="32"/>
      <c r="F386" s="32"/>
      <c r="G386" s="31"/>
      <c r="H386" s="31"/>
      <c r="I386" s="33" t="str">
        <f aca="false">IF(G386="","",G386-H386)</f>
        <v/>
      </c>
      <c r="J386" s="33" t="str">
        <f aca="false">IF(A386="","",SUMIFS(Freelancers!$E$5:$E$504,Freelancers!$B$5:$B$504,A386))</f>
        <v/>
      </c>
      <c r="K386" s="33" t="str">
        <f aca="false">IF(A386="","",SUMIFS(Gastos!$D$5:$D$504,Gastos!$E$5:$E$504,A386))</f>
        <v/>
      </c>
      <c r="L386" s="33" t="str">
        <f aca="false">IF(G386="","",G386-N(J386)-N(K386))</f>
        <v/>
      </c>
      <c r="M386" s="34" t="str">
        <f aca="false">IF(G386="","",IF(H386&gt;=G386,"Pago",IF(H386&gt;0,"Parcial","Pendente")))</f>
        <v/>
      </c>
      <c r="N386" s="32"/>
      <c r="O386" s="35" t="str">
        <f aca="true">IF(OR(B386="",B386&lt;TODAY()),"",COUNTIFS($B$5:$B$504,"&gt;="&amp;TODAY(),$B$5:$B$504,"&lt;"&amp;B386)+COUNTIFS($B$5:B386,B386))</f>
        <v/>
      </c>
    </row>
    <row r="387" customFormat="false" ht="15" hidden="false" customHeight="false" outlineLevel="0" collapsed="false">
      <c r="A387" s="32"/>
      <c r="B387" s="27"/>
      <c r="C387" s="29"/>
      <c r="D387" s="32"/>
      <c r="E387" s="32"/>
      <c r="F387" s="32"/>
      <c r="G387" s="31"/>
      <c r="H387" s="31"/>
      <c r="I387" s="33" t="str">
        <f aca="false">IF(G387="","",G387-H387)</f>
        <v/>
      </c>
      <c r="J387" s="33" t="str">
        <f aca="false">IF(A387="","",SUMIFS(Freelancers!$E$5:$E$504,Freelancers!$B$5:$B$504,A387))</f>
        <v/>
      </c>
      <c r="K387" s="33" t="str">
        <f aca="false">IF(A387="","",SUMIFS(Gastos!$D$5:$D$504,Gastos!$E$5:$E$504,A387))</f>
        <v/>
      </c>
      <c r="L387" s="33" t="str">
        <f aca="false">IF(G387="","",G387-N(J387)-N(K387))</f>
        <v/>
      </c>
      <c r="M387" s="34" t="str">
        <f aca="false">IF(G387="","",IF(H387&gt;=G387,"Pago",IF(H387&gt;0,"Parcial","Pendente")))</f>
        <v/>
      </c>
      <c r="N387" s="32"/>
      <c r="O387" s="35" t="str">
        <f aca="true">IF(OR(B387="",B387&lt;TODAY()),"",COUNTIFS($B$5:$B$504,"&gt;="&amp;TODAY(),$B$5:$B$504,"&lt;"&amp;B387)+COUNTIFS($B$5:B387,B387))</f>
        <v/>
      </c>
    </row>
    <row r="388" customFormat="false" ht="15" hidden="false" customHeight="false" outlineLevel="0" collapsed="false">
      <c r="A388" s="32"/>
      <c r="B388" s="27"/>
      <c r="C388" s="29"/>
      <c r="D388" s="32"/>
      <c r="E388" s="32"/>
      <c r="F388" s="32"/>
      <c r="G388" s="31"/>
      <c r="H388" s="31"/>
      <c r="I388" s="33" t="str">
        <f aca="false">IF(G388="","",G388-H388)</f>
        <v/>
      </c>
      <c r="J388" s="33" t="str">
        <f aca="false">IF(A388="","",SUMIFS(Freelancers!$E$5:$E$504,Freelancers!$B$5:$B$504,A388))</f>
        <v/>
      </c>
      <c r="K388" s="33" t="str">
        <f aca="false">IF(A388="","",SUMIFS(Gastos!$D$5:$D$504,Gastos!$E$5:$E$504,A388))</f>
        <v/>
      </c>
      <c r="L388" s="33" t="str">
        <f aca="false">IF(G388="","",G388-N(J388)-N(K388))</f>
        <v/>
      </c>
      <c r="M388" s="34" t="str">
        <f aca="false">IF(G388="","",IF(H388&gt;=G388,"Pago",IF(H388&gt;0,"Parcial","Pendente")))</f>
        <v/>
      </c>
      <c r="N388" s="32"/>
      <c r="O388" s="35" t="str">
        <f aca="true">IF(OR(B388="",B388&lt;TODAY()),"",COUNTIFS($B$5:$B$504,"&gt;="&amp;TODAY(),$B$5:$B$504,"&lt;"&amp;B388)+COUNTIFS($B$5:B388,B388))</f>
        <v/>
      </c>
    </row>
    <row r="389" customFormat="false" ht="15" hidden="false" customHeight="false" outlineLevel="0" collapsed="false">
      <c r="A389" s="32"/>
      <c r="B389" s="27"/>
      <c r="C389" s="29"/>
      <c r="D389" s="32"/>
      <c r="E389" s="32"/>
      <c r="F389" s="32"/>
      <c r="G389" s="31"/>
      <c r="H389" s="31"/>
      <c r="I389" s="33" t="str">
        <f aca="false">IF(G389="","",G389-H389)</f>
        <v/>
      </c>
      <c r="J389" s="33" t="str">
        <f aca="false">IF(A389="","",SUMIFS(Freelancers!$E$5:$E$504,Freelancers!$B$5:$B$504,A389))</f>
        <v/>
      </c>
      <c r="K389" s="33" t="str">
        <f aca="false">IF(A389="","",SUMIFS(Gastos!$D$5:$D$504,Gastos!$E$5:$E$504,A389))</f>
        <v/>
      </c>
      <c r="L389" s="33" t="str">
        <f aca="false">IF(G389="","",G389-N(J389)-N(K389))</f>
        <v/>
      </c>
      <c r="M389" s="34" t="str">
        <f aca="false">IF(G389="","",IF(H389&gt;=G389,"Pago",IF(H389&gt;0,"Parcial","Pendente")))</f>
        <v/>
      </c>
      <c r="N389" s="32"/>
      <c r="O389" s="35" t="str">
        <f aca="true">IF(OR(B389="",B389&lt;TODAY()),"",COUNTIFS($B$5:$B$504,"&gt;="&amp;TODAY(),$B$5:$B$504,"&lt;"&amp;B389)+COUNTIFS($B$5:B389,B389))</f>
        <v/>
      </c>
    </row>
    <row r="390" customFormat="false" ht="15" hidden="false" customHeight="false" outlineLevel="0" collapsed="false">
      <c r="A390" s="32"/>
      <c r="B390" s="27"/>
      <c r="C390" s="29"/>
      <c r="D390" s="32"/>
      <c r="E390" s="32"/>
      <c r="F390" s="32"/>
      <c r="G390" s="31"/>
      <c r="H390" s="31"/>
      <c r="I390" s="33" t="str">
        <f aca="false">IF(G390="","",G390-H390)</f>
        <v/>
      </c>
      <c r="J390" s="33" t="str">
        <f aca="false">IF(A390="","",SUMIFS(Freelancers!$E$5:$E$504,Freelancers!$B$5:$B$504,A390))</f>
        <v/>
      </c>
      <c r="K390" s="33" t="str">
        <f aca="false">IF(A390="","",SUMIFS(Gastos!$D$5:$D$504,Gastos!$E$5:$E$504,A390))</f>
        <v/>
      </c>
      <c r="L390" s="33" t="str">
        <f aca="false">IF(G390="","",G390-N(J390)-N(K390))</f>
        <v/>
      </c>
      <c r="M390" s="34" t="str">
        <f aca="false">IF(G390="","",IF(H390&gt;=G390,"Pago",IF(H390&gt;0,"Parcial","Pendente")))</f>
        <v/>
      </c>
      <c r="N390" s="32"/>
      <c r="O390" s="35" t="str">
        <f aca="true">IF(OR(B390="",B390&lt;TODAY()),"",COUNTIFS($B$5:$B$504,"&gt;="&amp;TODAY(),$B$5:$B$504,"&lt;"&amp;B390)+COUNTIFS($B$5:B390,B390))</f>
        <v/>
      </c>
    </row>
    <row r="391" customFormat="false" ht="15" hidden="false" customHeight="false" outlineLevel="0" collapsed="false">
      <c r="A391" s="32"/>
      <c r="B391" s="27"/>
      <c r="C391" s="29"/>
      <c r="D391" s="32"/>
      <c r="E391" s="32"/>
      <c r="F391" s="32"/>
      <c r="G391" s="31"/>
      <c r="H391" s="31"/>
      <c r="I391" s="33" t="str">
        <f aca="false">IF(G391="","",G391-H391)</f>
        <v/>
      </c>
      <c r="J391" s="33" t="str">
        <f aca="false">IF(A391="","",SUMIFS(Freelancers!$E$5:$E$504,Freelancers!$B$5:$B$504,A391))</f>
        <v/>
      </c>
      <c r="K391" s="33" t="str">
        <f aca="false">IF(A391="","",SUMIFS(Gastos!$D$5:$D$504,Gastos!$E$5:$E$504,A391))</f>
        <v/>
      </c>
      <c r="L391" s="33" t="str">
        <f aca="false">IF(G391="","",G391-N(J391)-N(K391))</f>
        <v/>
      </c>
      <c r="M391" s="34" t="str">
        <f aca="false">IF(G391="","",IF(H391&gt;=G391,"Pago",IF(H391&gt;0,"Parcial","Pendente")))</f>
        <v/>
      </c>
      <c r="N391" s="32"/>
      <c r="O391" s="35" t="str">
        <f aca="true">IF(OR(B391="",B391&lt;TODAY()),"",COUNTIFS($B$5:$B$504,"&gt;="&amp;TODAY(),$B$5:$B$504,"&lt;"&amp;B391)+COUNTIFS($B$5:B391,B391))</f>
        <v/>
      </c>
    </row>
    <row r="392" customFormat="false" ht="15" hidden="false" customHeight="false" outlineLevel="0" collapsed="false">
      <c r="A392" s="32"/>
      <c r="B392" s="27"/>
      <c r="C392" s="29"/>
      <c r="D392" s="32"/>
      <c r="E392" s="32"/>
      <c r="F392" s="32"/>
      <c r="G392" s="31"/>
      <c r="H392" s="31"/>
      <c r="I392" s="33" t="str">
        <f aca="false">IF(G392="","",G392-H392)</f>
        <v/>
      </c>
      <c r="J392" s="33" t="str">
        <f aca="false">IF(A392="","",SUMIFS(Freelancers!$E$5:$E$504,Freelancers!$B$5:$B$504,A392))</f>
        <v/>
      </c>
      <c r="K392" s="33" t="str">
        <f aca="false">IF(A392="","",SUMIFS(Gastos!$D$5:$D$504,Gastos!$E$5:$E$504,A392))</f>
        <v/>
      </c>
      <c r="L392" s="33" t="str">
        <f aca="false">IF(G392="","",G392-N(J392)-N(K392))</f>
        <v/>
      </c>
      <c r="M392" s="34" t="str">
        <f aca="false">IF(G392="","",IF(H392&gt;=G392,"Pago",IF(H392&gt;0,"Parcial","Pendente")))</f>
        <v/>
      </c>
      <c r="N392" s="32"/>
      <c r="O392" s="35" t="str">
        <f aca="true">IF(OR(B392="",B392&lt;TODAY()),"",COUNTIFS($B$5:$B$504,"&gt;="&amp;TODAY(),$B$5:$B$504,"&lt;"&amp;B392)+COUNTIFS($B$5:B392,B392))</f>
        <v/>
      </c>
    </row>
    <row r="393" customFormat="false" ht="15" hidden="false" customHeight="false" outlineLevel="0" collapsed="false">
      <c r="A393" s="32"/>
      <c r="B393" s="27"/>
      <c r="C393" s="29"/>
      <c r="D393" s="32"/>
      <c r="E393" s="32"/>
      <c r="F393" s="32"/>
      <c r="G393" s="31"/>
      <c r="H393" s="31"/>
      <c r="I393" s="33" t="str">
        <f aca="false">IF(G393="","",G393-H393)</f>
        <v/>
      </c>
      <c r="J393" s="33" t="str">
        <f aca="false">IF(A393="","",SUMIFS(Freelancers!$E$5:$E$504,Freelancers!$B$5:$B$504,A393))</f>
        <v/>
      </c>
      <c r="K393" s="33" t="str">
        <f aca="false">IF(A393="","",SUMIFS(Gastos!$D$5:$D$504,Gastos!$E$5:$E$504,A393))</f>
        <v/>
      </c>
      <c r="L393" s="33" t="str">
        <f aca="false">IF(G393="","",G393-N(J393)-N(K393))</f>
        <v/>
      </c>
      <c r="M393" s="34" t="str">
        <f aca="false">IF(G393="","",IF(H393&gt;=G393,"Pago",IF(H393&gt;0,"Parcial","Pendente")))</f>
        <v/>
      </c>
      <c r="N393" s="32"/>
      <c r="O393" s="35" t="str">
        <f aca="true">IF(OR(B393="",B393&lt;TODAY()),"",COUNTIFS($B$5:$B$504,"&gt;="&amp;TODAY(),$B$5:$B$504,"&lt;"&amp;B393)+COUNTIFS($B$5:B393,B393))</f>
        <v/>
      </c>
    </row>
    <row r="394" customFormat="false" ht="15" hidden="false" customHeight="false" outlineLevel="0" collapsed="false">
      <c r="A394" s="32"/>
      <c r="B394" s="27"/>
      <c r="C394" s="29"/>
      <c r="D394" s="32"/>
      <c r="E394" s="32"/>
      <c r="F394" s="32"/>
      <c r="G394" s="31"/>
      <c r="H394" s="31"/>
      <c r="I394" s="33" t="str">
        <f aca="false">IF(G394="","",G394-H394)</f>
        <v/>
      </c>
      <c r="J394" s="33" t="str">
        <f aca="false">IF(A394="","",SUMIFS(Freelancers!$E$5:$E$504,Freelancers!$B$5:$B$504,A394))</f>
        <v/>
      </c>
      <c r="K394" s="33" t="str">
        <f aca="false">IF(A394="","",SUMIFS(Gastos!$D$5:$D$504,Gastos!$E$5:$E$504,A394))</f>
        <v/>
      </c>
      <c r="L394" s="33" t="str">
        <f aca="false">IF(G394="","",G394-N(J394)-N(K394))</f>
        <v/>
      </c>
      <c r="M394" s="34" t="str">
        <f aca="false">IF(G394="","",IF(H394&gt;=G394,"Pago",IF(H394&gt;0,"Parcial","Pendente")))</f>
        <v/>
      </c>
      <c r="N394" s="32"/>
      <c r="O394" s="35" t="str">
        <f aca="true">IF(OR(B394="",B394&lt;TODAY()),"",COUNTIFS($B$5:$B$504,"&gt;="&amp;TODAY(),$B$5:$B$504,"&lt;"&amp;B394)+COUNTIFS($B$5:B394,B394))</f>
        <v/>
      </c>
    </row>
    <row r="395" customFormat="false" ht="15" hidden="false" customHeight="false" outlineLevel="0" collapsed="false">
      <c r="A395" s="32"/>
      <c r="B395" s="27"/>
      <c r="C395" s="29"/>
      <c r="D395" s="32"/>
      <c r="E395" s="32"/>
      <c r="F395" s="32"/>
      <c r="G395" s="31"/>
      <c r="H395" s="31"/>
      <c r="I395" s="33" t="str">
        <f aca="false">IF(G395="","",G395-H395)</f>
        <v/>
      </c>
      <c r="J395" s="33" t="str">
        <f aca="false">IF(A395="","",SUMIFS(Freelancers!$E$5:$E$504,Freelancers!$B$5:$B$504,A395))</f>
        <v/>
      </c>
      <c r="K395" s="33" t="str">
        <f aca="false">IF(A395="","",SUMIFS(Gastos!$D$5:$D$504,Gastos!$E$5:$E$504,A395))</f>
        <v/>
      </c>
      <c r="L395" s="33" t="str">
        <f aca="false">IF(G395="","",G395-N(J395)-N(K395))</f>
        <v/>
      </c>
      <c r="M395" s="34" t="str">
        <f aca="false">IF(G395="","",IF(H395&gt;=G395,"Pago",IF(H395&gt;0,"Parcial","Pendente")))</f>
        <v/>
      </c>
      <c r="N395" s="32"/>
      <c r="O395" s="35" t="str">
        <f aca="true">IF(OR(B395="",B395&lt;TODAY()),"",COUNTIFS($B$5:$B$504,"&gt;="&amp;TODAY(),$B$5:$B$504,"&lt;"&amp;B395)+COUNTIFS($B$5:B395,B395))</f>
        <v/>
      </c>
    </row>
    <row r="396" customFormat="false" ht="15" hidden="false" customHeight="false" outlineLevel="0" collapsed="false">
      <c r="A396" s="32"/>
      <c r="B396" s="27"/>
      <c r="C396" s="29"/>
      <c r="D396" s="32"/>
      <c r="E396" s="32"/>
      <c r="F396" s="32"/>
      <c r="G396" s="31"/>
      <c r="H396" s="31"/>
      <c r="I396" s="33" t="str">
        <f aca="false">IF(G396="","",G396-H396)</f>
        <v/>
      </c>
      <c r="J396" s="33" t="str">
        <f aca="false">IF(A396="","",SUMIFS(Freelancers!$E$5:$E$504,Freelancers!$B$5:$B$504,A396))</f>
        <v/>
      </c>
      <c r="K396" s="33" t="str">
        <f aca="false">IF(A396="","",SUMIFS(Gastos!$D$5:$D$504,Gastos!$E$5:$E$504,A396))</f>
        <v/>
      </c>
      <c r="L396" s="33" t="str">
        <f aca="false">IF(G396="","",G396-N(J396)-N(K396))</f>
        <v/>
      </c>
      <c r="M396" s="34" t="str">
        <f aca="false">IF(G396="","",IF(H396&gt;=G396,"Pago",IF(H396&gt;0,"Parcial","Pendente")))</f>
        <v/>
      </c>
      <c r="N396" s="32"/>
      <c r="O396" s="35" t="str">
        <f aca="true">IF(OR(B396="",B396&lt;TODAY()),"",COUNTIFS($B$5:$B$504,"&gt;="&amp;TODAY(),$B$5:$B$504,"&lt;"&amp;B396)+COUNTIFS($B$5:B396,B396))</f>
        <v/>
      </c>
    </row>
    <row r="397" customFormat="false" ht="15" hidden="false" customHeight="false" outlineLevel="0" collapsed="false">
      <c r="A397" s="32"/>
      <c r="B397" s="27"/>
      <c r="C397" s="29"/>
      <c r="D397" s="32"/>
      <c r="E397" s="32"/>
      <c r="F397" s="32"/>
      <c r="G397" s="31"/>
      <c r="H397" s="31"/>
      <c r="I397" s="33" t="str">
        <f aca="false">IF(G397="","",G397-H397)</f>
        <v/>
      </c>
      <c r="J397" s="33" t="str">
        <f aca="false">IF(A397="","",SUMIFS(Freelancers!$E$5:$E$504,Freelancers!$B$5:$B$504,A397))</f>
        <v/>
      </c>
      <c r="K397" s="33" t="str">
        <f aca="false">IF(A397="","",SUMIFS(Gastos!$D$5:$D$504,Gastos!$E$5:$E$504,A397))</f>
        <v/>
      </c>
      <c r="L397" s="33" t="str">
        <f aca="false">IF(G397="","",G397-N(J397)-N(K397))</f>
        <v/>
      </c>
      <c r="M397" s="34" t="str">
        <f aca="false">IF(G397="","",IF(H397&gt;=G397,"Pago",IF(H397&gt;0,"Parcial","Pendente")))</f>
        <v/>
      </c>
      <c r="N397" s="32"/>
      <c r="O397" s="35" t="str">
        <f aca="true">IF(OR(B397="",B397&lt;TODAY()),"",COUNTIFS($B$5:$B$504,"&gt;="&amp;TODAY(),$B$5:$B$504,"&lt;"&amp;B397)+COUNTIFS($B$5:B397,B397))</f>
        <v/>
      </c>
    </row>
    <row r="398" customFormat="false" ht="15" hidden="false" customHeight="false" outlineLevel="0" collapsed="false">
      <c r="A398" s="32"/>
      <c r="B398" s="27"/>
      <c r="C398" s="29"/>
      <c r="D398" s="32"/>
      <c r="E398" s="32"/>
      <c r="F398" s="32"/>
      <c r="G398" s="31"/>
      <c r="H398" s="31"/>
      <c r="I398" s="33" t="str">
        <f aca="false">IF(G398="","",G398-H398)</f>
        <v/>
      </c>
      <c r="J398" s="33" t="str">
        <f aca="false">IF(A398="","",SUMIFS(Freelancers!$E$5:$E$504,Freelancers!$B$5:$B$504,A398))</f>
        <v/>
      </c>
      <c r="K398" s="33" t="str">
        <f aca="false">IF(A398="","",SUMIFS(Gastos!$D$5:$D$504,Gastos!$E$5:$E$504,A398))</f>
        <v/>
      </c>
      <c r="L398" s="33" t="str">
        <f aca="false">IF(G398="","",G398-N(J398)-N(K398))</f>
        <v/>
      </c>
      <c r="M398" s="34" t="str">
        <f aca="false">IF(G398="","",IF(H398&gt;=G398,"Pago",IF(H398&gt;0,"Parcial","Pendente")))</f>
        <v/>
      </c>
      <c r="N398" s="32"/>
      <c r="O398" s="35" t="str">
        <f aca="true">IF(OR(B398="",B398&lt;TODAY()),"",COUNTIFS($B$5:$B$504,"&gt;="&amp;TODAY(),$B$5:$B$504,"&lt;"&amp;B398)+COUNTIFS($B$5:B398,B398))</f>
        <v/>
      </c>
    </row>
    <row r="399" customFormat="false" ht="15" hidden="false" customHeight="false" outlineLevel="0" collapsed="false">
      <c r="A399" s="32"/>
      <c r="B399" s="27"/>
      <c r="C399" s="29"/>
      <c r="D399" s="32"/>
      <c r="E399" s="32"/>
      <c r="F399" s="32"/>
      <c r="G399" s="31"/>
      <c r="H399" s="31"/>
      <c r="I399" s="33" t="str">
        <f aca="false">IF(G399="","",G399-H399)</f>
        <v/>
      </c>
      <c r="J399" s="33" t="str">
        <f aca="false">IF(A399="","",SUMIFS(Freelancers!$E$5:$E$504,Freelancers!$B$5:$B$504,A399))</f>
        <v/>
      </c>
      <c r="K399" s="33" t="str">
        <f aca="false">IF(A399="","",SUMIFS(Gastos!$D$5:$D$504,Gastos!$E$5:$E$504,A399))</f>
        <v/>
      </c>
      <c r="L399" s="33" t="str">
        <f aca="false">IF(G399="","",G399-N(J399)-N(K399))</f>
        <v/>
      </c>
      <c r="M399" s="34" t="str">
        <f aca="false">IF(G399="","",IF(H399&gt;=G399,"Pago",IF(H399&gt;0,"Parcial","Pendente")))</f>
        <v/>
      </c>
      <c r="N399" s="32"/>
      <c r="O399" s="35" t="str">
        <f aca="true">IF(OR(B399="",B399&lt;TODAY()),"",COUNTIFS($B$5:$B$504,"&gt;="&amp;TODAY(),$B$5:$B$504,"&lt;"&amp;B399)+COUNTIFS($B$5:B399,B399))</f>
        <v/>
      </c>
    </row>
    <row r="400" customFormat="false" ht="15" hidden="false" customHeight="false" outlineLevel="0" collapsed="false">
      <c r="A400" s="32"/>
      <c r="B400" s="27"/>
      <c r="C400" s="29"/>
      <c r="D400" s="32"/>
      <c r="E400" s="32"/>
      <c r="F400" s="32"/>
      <c r="G400" s="31"/>
      <c r="H400" s="31"/>
      <c r="I400" s="33" t="str">
        <f aca="false">IF(G400="","",G400-H400)</f>
        <v/>
      </c>
      <c r="J400" s="33" t="str">
        <f aca="false">IF(A400="","",SUMIFS(Freelancers!$E$5:$E$504,Freelancers!$B$5:$B$504,A400))</f>
        <v/>
      </c>
      <c r="K400" s="33" t="str">
        <f aca="false">IF(A400="","",SUMIFS(Gastos!$D$5:$D$504,Gastos!$E$5:$E$504,A400))</f>
        <v/>
      </c>
      <c r="L400" s="33" t="str">
        <f aca="false">IF(G400="","",G400-N(J400)-N(K400))</f>
        <v/>
      </c>
      <c r="M400" s="34" t="str">
        <f aca="false">IF(G400="","",IF(H400&gt;=G400,"Pago",IF(H400&gt;0,"Parcial","Pendente")))</f>
        <v/>
      </c>
      <c r="N400" s="32"/>
      <c r="O400" s="35" t="str">
        <f aca="true">IF(OR(B400="",B400&lt;TODAY()),"",COUNTIFS($B$5:$B$504,"&gt;="&amp;TODAY(),$B$5:$B$504,"&lt;"&amp;B400)+COUNTIFS($B$5:B400,B400))</f>
        <v/>
      </c>
    </row>
    <row r="401" customFormat="false" ht="15" hidden="false" customHeight="false" outlineLevel="0" collapsed="false">
      <c r="A401" s="32"/>
      <c r="B401" s="27"/>
      <c r="C401" s="29"/>
      <c r="D401" s="32"/>
      <c r="E401" s="32"/>
      <c r="F401" s="32"/>
      <c r="G401" s="31"/>
      <c r="H401" s="31"/>
      <c r="I401" s="33" t="str">
        <f aca="false">IF(G401="","",G401-H401)</f>
        <v/>
      </c>
      <c r="J401" s="33" t="str">
        <f aca="false">IF(A401="","",SUMIFS(Freelancers!$E$5:$E$504,Freelancers!$B$5:$B$504,A401))</f>
        <v/>
      </c>
      <c r="K401" s="33" t="str">
        <f aca="false">IF(A401="","",SUMIFS(Gastos!$D$5:$D$504,Gastos!$E$5:$E$504,A401))</f>
        <v/>
      </c>
      <c r="L401" s="33" t="str">
        <f aca="false">IF(G401="","",G401-N(J401)-N(K401))</f>
        <v/>
      </c>
      <c r="M401" s="34" t="str">
        <f aca="false">IF(G401="","",IF(H401&gt;=G401,"Pago",IF(H401&gt;0,"Parcial","Pendente")))</f>
        <v/>
      </c>
      <c r="N401" s="32"/>
      <c r="O401" s="35" t="str">
        <f aca="true">IF(OR(B401="",B401&lt;TODAY()),"",COUNTIFS($B$5:$B$504,"&gt;="&amp;TODAY(),$B$5:$B$504,"&lt;"&amp;B401)+COUNTIFS($B$5:B401,B401))</f>
        <v/>
      </c>
    </row>
    <row r="402" customFormat="false" ht="15" hidden="false" customHeight="false" outlineLevel="0" collapsed="false">
      <c r="A402" s="32"/>
      <c r="B402" s="27"/>
      <c r="C402" s="29"/>
      <c r="D402" s="32"/>
      <c r="E402" s="32"/>
      <c r="F402" s="32"/>
      <c r="G402" s="31"/>
      <c r="H402" s="31"/>
      <c r="I402" s="33" t="str">
        <f aca="false">IF(G402="","",G402-H402)</f>
        <v/>
      </c>
      <c r="J402" s="33" t="str">
        <f aca="false">IF(A402="","",SUMIFS(Freelancers!$E$5:$E$504,Freelancers!$B$5:$B$504,A402))</f>
        <v/>
      </c>
      <c r="K402" s="33" t="str">
        <f aca="false">IF(A402="","",SUMIFS(Gastos!$D$5:$D$504,Gastos!$E$5:$E$504,A402))</f>
        <v/>
      </c>
      <c r="L402" s="33" t="str">
        <f aca="false">IF(G402="","",G402-N(J402)-N(K402))</f>
        <v/>
      </c>
      <c r="M402" s="34" t="str">
        <f aca="false">IF(G402="","",IF(H402&gt;=G402,"Pago",IF(H402&gt;0,"Parcial","Pendente")))</f>
        <v/>
      </c>
      <c r="N402" s="32"/>
      <c r="O402" s="35" t="str">
        <f aca="true">IF(OR(B402="",B402&lt;TODAY()),"",COUNTIFS($B$5:$B$504,"&gt;="&amp;TODAY(),$B$5:$B$504,"&lt;"&amp;B402)+COUNTIFS($B$5:B402,B402))</f>
        <v/>
      </c>
    </row>
    <row r="403" customFormat="false" ht="15" hidden="false" customHeight="false" outlineLevel="0" collapsed="false">
      <c r="A403" s="32"/>
      <c r="B403" s="27"/>
      <c r="C403" s="29"/>
      <c r="D403" s="32"/>
      <c r="E403" s="32"/>
      <c r="F403" s="32"/>
      <c r="G403" s="31"/>
      <c r="H403" s="31"/>
      <c r="I403" s="33" t="str">
        <f aca="false">IF(G403="","",G403-H403)</f>
        <v/>
      </c>
      <c r="J403" s="33" t="str">
        <f aca="false">IF(A403="","",SUMIFS(Freelancers!$E$5:$E$504,Freelancers!$B$5:$B$504,A403))</f>
        <v/>
      </c>
      <c r="K403" s="33" t="str">
        <f aca="false">IF(A403="","",SUMIFS(Gastos!$D$5:$D$504,Gastos!$E$5:$E$504,A403))</f>
        <v/>
      </c>
      <c r="L403" s="33" t="str">
        <f aca="false">IF(G403="","",G403-N(J403)-N(K403))</f>
        <v/>
      </c>
      <c r="M403" s="34" t="str">
        <f aca="false">IF(G403="","",IF(H403&gt;=G403,"Pago",IF(H403&gt;0,"Parcial","Pendente")))</f>
        <v/>
      </c>
      <c r="N403" s="32"/>
      <c r="O403" s="35" t="str">
        <f aca="true">IF(OR(B403="",B403&lt;TODAY()),"",COUNTIFS($B$5:$B$504,"&gt;="&amp;TODAY(),$B$5:$B$504,"&lt;"&amp;B403)+COUNTIFS($B$5:B403,B403))</f>
        <v/>
      </c>
    </row>
    <row r="404" customFormat="false" ht="15" hidden="false" customHeight="false" outlineLevel="0" collapsed="false">
      <c r="A404" s="32"/>
      <c r="B404" s="27"/>
      <c r="C404" s="29"/>
      <c r="D404" s="32"/>
      <c r="E404" s="32"/>
      <c r="F404" s="32"/>
      <c r="G404" s="31"/>
      <c r="H404" s="31"/>
      <c r="I404" s="33" t="str">
        <f aca="false">IF(G404="","",G404-H404)</f>
        <v/>
      </c>
      <c r="J404" s="33" t="str">
        <f aca="false">IF(A404="","",SUMIFS(Freelancers!$E$5:$E$504,Freelancers!$B$5:$B$504,A404))</f>
        <v/>
      </c>
      <c r="K404" s="33" t="str">
        <f aca="false">IF(A404="","",SUMIFS(Gastos!$D$5:$D$504,Gastos!$E$5:$E$504,A404))</f>
        <v/>
      </c>
      <c r="L404" s="33" t="str">
        <f aca="false">IF(G404="","",G404-N(J404)-N(K404))</f>
        <v/>
      </c>
      <c r="M404" s="34" t="str">
        <f aca="false">IF(G404="","",IF(H404&gt;=G404,"Pago",IF(H404&gt;0,"Parcial","Pendente")))</f>
        <v/>
      </c>
      <c r="N404" s="32"/>
      <c r="O404" s="35" t="str">
        <f aca="true">IF(OR(B404="",B404&lt;TODAY()),"",COUNTIFS($B$5:$B$504,"&gt;="&amp;TODAY(),$B$5:$B$504,"&lt;"&amp;B404)+COUNTIFS($B$5:B404,B404))</f>
        <v/>
      </c>
    </row>
    <row r="405" customFormat="false" ht="15" hidden="false" customHeight="false" outlineLevel="0" collapsed="false">
      <c r="A405" s="32"/>
      <c r="B405" s="27"/>
      <c r="C405" s="29"/>
      <c r="D405" s="32"/>
      <c r="E405" s="32"/>
      <c r="F405" s="32"/>
      <c r="G405" s="31"/>
      <c r="H405" s="31"/>
      <c r="I405" s="33" t="str">
        <f aca="false">IF(G405="","",G405-H405)</f>
        <v/>
      </c>
      <c r="J405" s="33" t="str">
        <f aca="false">IF(A405="","",SUMIFS(Freelancers!$E$5:$E$504,Freelancers!$B$5:$B$504,A405))</f>
        <v/>
      </c>
      <c r="K405" s="33" t="str">
        <f aca="false">IF(A405="","",SUMIFS(Gastos!$D$5:$D$504,Gastos!$E$5:$E$504,A405))</f>
        <v/>
      </c>
      <c r="L405" s="33" t="str">
        <f aca="false">IF(G405="","",G405-N(J405)-N(K405))</f>
        <v/>
      </c>
      <c r="M405" s="34" t="str">
        <f aca="false">IF(G405="","",IF(H405&gt;=G405,"Pago",IF(H405&gt;0,"Parcial","Pendente")))</f>
        <v/>
      </c>
      <c r="N405" s="32"/>
      <c r="O405" s="35" t="str">
        <f aca="true">IF(OR(B405="",B405&lt;TODAY()),"",COUNTIFS($B$5:$B$504,"&gt;="&amp;TODAY(),$B$5:$B$504,"&lt;"&amp;B405)+COUNTIFS($B$5:B405,B405))</f>
        <v/>
      </c>
    </row>
    <row r="406" customFormat="false" ht="15" hidden="false" customHeight="false" outlineLevel="0" collapsed="false">
      <c r="A406" s="32"/>
      <c r="B406" s="27"/>
      <c r="C406" s="29"/>
      <c r="D406" s="32"/>
      <c r="E406" s="32"/>
      <c r="F406" s="32"/>
      <c r="G406" s="31"/>
      <c r="H406" s="31"/>
      <c r="I406" s="33" t="str">
        <f aca="false">IF(G406="","",G406-H406)</f>
        <v/>
      </c>
      <c r="J406" s="33" t="str">
        <f aca="false">IF(A406="","",SUMIFS(Freelancers!$E$5:$E$504,Freelancers!$B$5:$B$504,A406))</f>
        <v/>
      </c>
      <c r="K406" s="33" t="str">
        <f aca="false">IF(A406="","",SUMIFS(Gastos!$D$5:$D$504,Gastos!$E$5:$E$504,A406))</f>
        <v/>
      </c>
      <c r="L406" s="33" t="str">
        <f aca="false">IF(G406="","",G406-N(J406)-N(K406))</f>
        <v/>
      </c>
      <c r="M406" s="34" t="str">
        <f aca="false">IF(G406="","",IF(H406&gt;=G406,"Pago",IF(H406&gt;0,"Parcial","Pendente")))</f>
        <v/>
      </c>
      <c r="N406" s="32"/>
      <c r="O406" s="35" t="str">
        <f aca="true">IF(OR(B406="",B406&lt;TODAY()),"",COUNTIFS($B$5:$B$504,"&gt;="&amp;TODAY(),$B$5:$B$504,"&lt;"&amp;B406)+COUNTIFS($B$5:B406,B406))</f>
        <v/>
      </c>
    </row>
    <row r="407" customFormat="false" ht="15" hidden="false" customHeight="false" outlineLevel="0" collapsed="false">
      <c r="A407" s="32"/>
      <c r="B407" s="27"/>
      <c r="C407" s="29"/>
      <c r="D407" s="32"/>
      <c r="E407" s="32"/>
      <c r="F407" s="32"/>
      <c r="G407" s="31"/>
      <c r="H407" s="31"/>
      <c r="I407" s="33" t="str">
        <f aca="false">IF(G407="","",G407-H407)</f>
        <v/>
      </c>
      <c r="J407" s="33" t="str">
        <f aca="false">IF(A407="","",SUMIFS(Freelancers!$E$5:$E$504,Freelancers!$B$5:$B$504,A407))</f>
        <v/>
      </c>
      <c r="K407" s="33" t="str">
        <f aca="false">IF(A407="","",SUMIFS(Gastos!$D$5:$D$504,Gastos!$E$5:$E$504,A407))</f>
        <v/>
      </c>
      <c r="L407" s="33" t="str">
        <f aca="false">IF(G407="","",G407-N(J407)-N(K407))</f>
        <v/>
      </c>
      <c r="M407" s="34" t="str">
        <f aca="false">IF(G407="","",IF(H407&gt;=G407,"Pago",IF(H407&gt;0,"Parcial","Pendente")))</f>
        <v/>
      </c>
      <c r="N407" s="32"/>
      <c r="O407" s="35" t="str">
        <f aca="true">IF(OR(B407="",B407&lt;TODAY()),"",COUNTIFS($B$5:$B$504,"&gt;="&amp;TODAY(),$B$5:$B$504,"&lt;"&amp;B407)+COUNTIFS($B$5:B407,B407))</f>
        <v/>
      </c>
    </row>
    <row r="408" customFormat="false" ht="15" hidden="false" customHeight="false" outlineLevel="0" collapsed="false">
      <c r="A408" s="32"/>
      <c r="B408" s="27"/>
      <c r="C408" s="29"/>
      <c r="D408" s="32"/>
      <c r="E408" s="32"/>
      <c r="F408" s="32"/>
      <c r="G408" s="31"/>
      <c r="H408" s="31"/>
      <c r="I408" s="33" t="str">
        <f aca="false">IF(G408="","",G408-H408)</f>
        <v/>
      </c>
      <c r="J408" s="33" t="str">
        <f aca="false">IF(A408="","",SUMIFS(Freelancers!$E$5:$E$504,Freelancers!$B$5:$B$504,A408))</f>
        <v/>
      </c>
      <c r="K408" s="33" t="str">
        <f aca="false">IF(A408="","",SUMIFS(Gastos!$D$5:$D$504,Gastos!$E$5:$E$504,A408))</f>
        <v/>
      </c>
      <c r="L408" s="33" t="str">
        <f aca="false">IF(G408="","",G408-N(J408)-N(K408))</f>
        <v/>
      </c>
      <c r="M408" s="34" t="str">
        <f aca="false">IF(G408="","",IF(H408&gt;=G408,"Pago",IF(H408&gt;0,"Parcial","Pendente")))</f>
        <v/>
      </c>
      <c r="N408" s="32"/>
      <c r="O408" s="35" t="str">
        <f aca="true">IF(OR(B408="",B408&lt;TODAY()),"",COUNTIFS($B$5:$B$504,"&gt;="&amp;TODAY(),$B$5:$B$504,"&lt;"&amp;B408)+COUNTIFS($B$5:B408,B408))</f>
        <v/>
      </c>
    </row>
    <row r="409" customFormat="false" ht="15" hidden="false" customHeight="false" outlineLevel="0" collapsed="false">
      <c r="A409" s="32"/>
      <c r="B409" s="27"/>
      <c r="C409" s="29"/>
      <c r="D409" s="32"/>
      <c r="E409" s="32"/>
      <c r="F409" s="32"/>
      <c r="G409" s="31"/>
      <c r="H409" s="31"/>
      <c r="I409" s="33" t="str">
        <f aca="false">IF(G409="","",G409-H409)</f>
        <v/>
      </c>
      <c r="J409" s="33" t="str">
        <f aca="false">IF(A409="","",SUMIFS(Freelancers!$E$5:$E$504,Freelancers!$B$5:$B$504,A409))</f>
        <v/>
      </c>
      <c r="K409" s="33" t="str">
        <f aca="false">IF(A409="","",SUMIFS(Gastos!$D$5:$D$504,Gastos!$E$5:$E$504,A409))</f>
        <v/>
      </c>
      <c r="L409" s="33" t="str">
        <f aca="false">IF(G409="","",G409-N(J409)-N(K409))</f>
        <v/>
      </c>
      <c r="M409" s="34" t="str">
        <f aca="false">IF(G409="","",IF(H409&gt;=G409,"Pago",IF(H409&gt;0,"Parcial","Pendente")))</f>
        <v/>
      </c>
      <c r="N409" s="32"/>
      <c r="O409" s="35" t="str">
        <f aca="true">IF(OR(B409="",B409&lt;TODAY()),"",COUNTIFS($B$5:$B$504,"&gt;="&amp;TODAY(),$B$5:$B$504,"&lt;"&amp;B409)+COUNTIFS($B$5:B409,B409))</f>
        <v/>
      </c>
    </row>
    <row r="410" customFormat="false" ht="15" hidden="false" customHeight="false" outlineLevel="0" collapsed="false">
      <c r="A410" s="32"/>
      <c r="B410" s="27"/>
      <c r="C410" s="29"/>
      <c r="D410" s="32"/>
      <c r="E410" s="32"/>
      <c r="F410" s="32"/>
      <c r="G410" s="31"/>
      <c r="H410" s="31"/>
      <c r="I410" s="33" t="str">
        <f aca="false">IF(G410="","",G410-H410)</f>
        <v/>
      </c>
      <c r="J410" s="33" t="str">
        <f aca="false">IF(A410="","",SUMIFS(Freelancers!$E$5:$E$504,Freelancers!$B$5:$B$504,A410))</f>
        <v/>
      </c>
      <c r="K410" s="33" t="str">
        <f aca="false">IF(A410="","",SUMIFS(Gastos!$D$5:$D$504,Gastos!$E$5:$E$504,A410))</f>
        <v/>
      </c>
      <c r="L410" s="33" t="str">
        <f aca="false">IF(G410="","",G410-N(J410)-N(K410))</f>
        <v/>
      </c>
      <c r="M410" s="34" t="str">
        <f aca="false">IF(G410="","",IF(H410&gt;=G410,"Pago",IF(H410&gt;0,"Parcial","Pendente")))</f>
        <v/>
      </c>
      <c r="N410" s="32"/>
      <c r="O410" s="35" t="str">
        <f aca="true">IF(OR(B410="",B410&lt;TODAY()),"",COUNTIFS($B$5:$B$504,"&gt;="&amp;TODAY(),$B$5:$B$504,"&lt;"&amp;B410)+COUNTIFS($B$5:B410,B410))</f>
        <v/>
      </c>
    </row>
    <row r="411" customFormat="false" ht="15" hidden="false" customHeight="false" outlineLevel="0" collapsed="false">
      <c r="A411" s="32"/>
      <c r="B411" s="27"/>
      <c r="C411" s="29"/>
      <c r="D411" s="32"/>
      <c r="E411" s="32"/>
      <c r="F411" s="32"/>
      <c r="G411" s="31"/>
      <c r="H411" s="31"/>
      <c r="I411" s="33" t="str">
        <f aca="false">IF(G411="","",G411-H411)</f>
        <v/>
      </c>
      <c r="J411" s="33" t="str">
        <f aca="false">IF(A411="","",SUMIFS(Freelancers!$E$5:$E$504,Freelancers!$B$5:$B$504,A411))</f>
        <v/>
      </c>
      <c r="K411" s="33" t="str">
        <f aca="false">IF(A411="","",SUMIFS(Gastos!$D$5:$D$504,Gastos!$E$5:$E$504,A411))</f>
        <v/>
      </c>
      <c r="L411" s="33" t="str">
        <f aca="false">IF(G411="","",G411-N(J411)-N(K411))</f>
        <v/>
      </c>
      <c r="M411" s="34" t="str">
        <f aca="false">IF(G411="","",IF(H411&gt;=G411,"Pago",IF(H411&gt;0,"Parcial","Pendente")))</f>
        <v/>
      </c>
      <c r="N411" s="32"/>
      <c r="O411" s="35" t="str">
        <f aca="true">IF(OR(B411="",B411&lt;TODAY()),"",COUNTIFS($B$5:$B$504,"&gt;="&amp;TODAY(),$B$5:$B$504,"&lt;"&amp;B411)+COUNTIFS($B$5:B411,B411))</f>
        <v/>
      </c>
    </row>
    <row r="412" customFormat="false" ht="15" hidden="false" customHeight="false" outlineLevel="0" collapsed="false">
      <c r="A412" s="32"/>
      <c r="B412" s="27"/>
      <c r="C412" s="29"/>
      <c r="D412" s="32"/>
      <c r="E412" s="32"/>
      <c r="F412" s="32"/>
      <c r="G412" s="31"/>
      <c r="H412" s="31"/>
      <c r="I412" s="33" t="str">
        <f aca="false">IF(G412="","",G412-H412)</f>
        <v/>
      </c>
      <c r="J412" s="33" t="str">
        <f aca="false">IF(A412="","",SUMIFS(Freelancers!$E$5:$E$504,Freelancers!$B$5:$B$504,A412))</f>
        <v/>
      </c>
      <c r="K412" s="33" t="str">
        <f aca="false">IF(A412="","",SUMIFS(Gastos!$D$5:$D$504,Gastos!$E$5:$E$504,A412))</f>
        <v/>
      </c>
      <c r="L412" s="33" t="str">
        <f aca="false">IF(G412="","",G412-N(J412)-N(K412))</f>
        <v/>
      </c>
      <c r="M412" s="34" t="str">
        <f aca="false">IF(G412="","",IF(H412&gt;=G412,"Pago",IF(H412&gt;0,"Parcial","Pendente")))</f>
        <v/>
      </c>
      <c r="N412" s="32"/>
      <c r="O412" s="35" t="str">
        <f aca="true">IF(OR(B412="",B412&lt;TODAY()),"",COUNTIFS($B$5:$B$504,"&gt;="&amp;TODAY(),$B$5:$B$504,"&lt;"&amp;B412)+COUNTIFS($B$5:B412,B412))</f>
        <v/>
      </c>
    </row>
    <row r="413" customFormat="false" ht="15" hidden="false" customHeight="false" outlineLevel="0" collapsed="false">
      <c r="A413" s="32"/>
      <c r="B413" s="27"/>
      <c r="C413" s="29"/>
      <c r="D413" s="32"/>
      <c r="E413" s="32"/>
      <c r="F413" s="32"/>
      <c r="G413" s="31"/>
      <c r="H413" s="31"/>
      <c r="I413" s="33" t="str">
        <f aca="false">IF(G413="","",G413-H413)</f>
        <v/>
      </c>
      <c r="J413" s="33" t="str">
        <f aca="false">IF(A413="","",SUMIFS(Freelancers!$E$5:$E$504,Freelancers!$B$5:$B$504,A413))</f>
        <v/>
      </c>
      <c r="K413" s="33" t="str">
        <f aca="false">IF(A413="","",SUMIFS(Gastos!$D$5:$D$504,Gastos!$E$5:$E$504,A413))</f>
        <v/>
      </c>
      <c r="L413" s="33" t="str">
        <f aca="false">IF(G413="","",G413-N(J413)-N(K413))</f>
        <v/>
      </c>
      <c r="M413" s="34" t="str">
        <f aca="false">IF(G413="","",IF(H413&gt;=G413,"Pago",IF(H413&gt;0,"Parcial","Pendente")))</f>
        <v/>
      </c>
      <c r="N413" s="32"/>
      <c r="O413" s="35" t="str">
        <f aca="true">IF(OR(B413="",B413&lt;TODAY()),"",COUNTIFS($B$5:$B$504,"&gt;="&amp;TODAY(),$B$5:$B$504,"&lt;"&amp;B413)+COUNTIFS($B$5:B413,B413))</f>
        <v/>
      </c>
    </row>
    <row r="414" customFormat="false" ht="15" hidden="false" customHeight="false" outlineLevel="0" collapsed="false">
      <c r="A414" s="32"/>
      <c r="B414" s="27"/>
      <c r="C414" s="29"/>
      <c r="D414" s="32"/>
      <c r="E414" s="32"/>
      <c r="F414" s="32"/>
      <c r="G414" s="31"/>
      <c r="H414" s="31"/>
      <c r="I414" s="33" t="str">
        <f aca="false">IF(G414="","",G414-H414)</f>
        <v/>
      </c>
      <c r="J414" s="33" t="str">
        <f aca="false">IF(A414="","",SUMIFS(Freelancers!$E$5:$E$504,Freelancers!$B$5:$B$504,A414))</f>
        <v/>
      </c>
      <c r="K414" s="33" t="str">
        <f aca="false">IF(A414="","",SUMIFS(Gastos!$D$5:$D$504,Gastos!$E$5:$E$504,A414))</f>
        <v/>
      </c>
      <c r="L414" s="33" t="str">
        <f aca="false">IF(G414="","",G414-N(J414)-N(K414))</f>
        <v/>
      </c>
      <c r="M414" s="34" t="str">
        <f aca="false">IF(G414="","",IF(H414&gt;=G414,"Pago",IF(H414&gt;0,"Parcial","Pendente")))</f>
        <v/>
      </c>
      <c r="N414" s="32"/>
      <c r="O414" s="35" t="str">
        <f aca="true">IF(OR(B414="",B414&lt;TODAY()),"",COUNTIFS($B$5:$B$504,"&gt;="&amp;TODAY(),$B$5:$B$504,"&lt;"&amp;B414)+COUNTIFS($B$5:B414,B414))</f>
        <v/>
      </c>
    </row>
    <row r="415" customFormat="false" ht="15" hidden="false" customHeight="false" outlineLevel="0" collapsed="false">
      <c r="A415" s="32"/>
      <c r="B415" s="27"/>
      <c r="C415" s="29"/>
      <c r="D415" s="32"/>
      <c r="E415" s="32"/>
      <c r="F415" s="32"/>
      <c r="G415" s="31"/>
      <c r="H415" s="31"/>
      <c r="I415" s="33" t="str">
        <f aca="false">IF(G415="","",G415-H415)</f>
        <v/>
      </c>
      <c r="J415" s="33" t="str">
        <f aca="false">IF(A415="","",SUMIFS(Freelancers!$E$5:$E$504,Freelancers!$B$5:$B$504,A415))</f>
        <v/>
      </c>
      <c r="K415" s="33" t="str">
        <f aca="false">IF(A415="","",SUMIFS(Gastos!$D$5:$D$504,Gastos!$E$5:$E$504,A415))</f>
        <v/>
      </c>
      <c r="L415" s="33" t="str">
        <f aca="false">IF(G415="","",G415-N(J415)-N(K415))</f>
        <v/>
      </c>
      <c r="M415" s="34" t="str">
        <f aca="false">IF(G415="","",IF(H415&gt;=G415,"Pago",IF(H415&gt;0,"Parcial","Pendente")))</f>
        <v/>
      </c>
      <c r="N415" s="32"/>
      <c r="O415" s="35" t="str">
        <f aca="true">IF(OR(B415="",B415&lt;TODAY()),"",COUNTIFS($B$5:$B$504,"&gt;="&amp;TODAY(),$B$5:$B$504,"&lt;"&amp;B415)+COUNTIFS($B$5:B415,B415))</f>
        <v/>
      </c>
    </row>
    <row r="416" customFormat="false" ht="15" hidden="false" customHeight="false" outlineLevel="0" collapsed="false">
      <c r="A416" s="32"/>
      <c r="B416" s="27"/>
      <c r="C416" s="29"/>
      <c r="D416" s="32"/>
      <c r="E416" s="32"/>
      <c r="F416" s="32"/>
      <c r="G416" s="31"/>
      <c r="H416" s="31"/>
      <c r="I416" s="33" t="str">
        <f aca="false">IF(G416="","",G416-H416)</f>
        <v/>
      </c>
      <c r="J416" s="33" t="str">
        <f aca="false">IF(A416="","",SUMIFS(Freelancers!$E$5:$E$504,Freelancers!$B$5:$B$504,A416))</f>
        <v/>
      </c>
      <c r="K416" s="33" t="str">
        <f aca="false">IF(A416="","",SUMIFS(Gastos!$D$5:$D$504,Gastos!$E$5:$E$504,A416))</f>
        <v/>
      </c>
      <c r="L416" s="33" t="str">
        <f aca="false">IF(G416="","",G416-N(J416)-N(K416))</f>
        <v/>
      </c>
      <c r="M416" s="34" t="str">
        <f aca="false">IF(G416="","",IF(H416&gt;=G416,"Pago",IF(H416&gt;0,"Parcial","Pendente")))</f>
        <v/>
      </c>
      <c r="N416" s="32"/>
      <c r="O416" s="35" t="str">
        <f aca="true">IF(OR(B416="",B416&lt;TODAY()),"",COUNTIFS($B$5:$B$504,"&gt;="&amp;TODAY(),$B$5:$B$504,"&lt;"&amp;B416)+COUNTIFS($B$5:B416,B416))</f>
        <v/>
      </c>
    </row>
    <row r="417" customFormat="false" ht="15" hidden="false" customHeight="false" outlineLevel="0" collapsed="false">
      <c r="A417" s="32"/>
      <c r="B417" s="27"/>
      <c r="C417" s="29"/>
      <c r="D417" s="32"/>
      <c r="E417" s="32"/>
      <c r="F417" s="32"/>
      <c r="G417" s="31"/>
      <c r="H417" s="31"/>
      <c r="I417" s="33" t="str">
        <f aca="false">IF(G417="","",G417-H417)</f>
        <v/>
      </c>
      <c r="J417" s="33" t="str">
        <f aca="false">IF(A417="","",SUMIFS(Freelancers!$E$5:$E$504,Freelancers!$B$5:$B$504,A417))</f>
        <v/>
      </c>
      <c r="K417" s="33" t="str">
        <f aca="false">IF(A417="","",SUMIFS(Gastos!$D$5:$D$504,Gastos!$E$5:$E$504,A417))</f>
        <v/>
      </c>
      <c r="L417" s="33" t="str">
        <f aca="false">IF(G417="","",G417-N(J417)-N(K417))</f>
        <v/>
      </c>
      <c r="M417" s="34" t="str">
        <f aca="false">IF(G417="","",IF(H417&gt;=G417,"Pago",IF(H417&gt;0,"Parcial","Pendente")))</f>
        <v/>
      </c>
      <c r="N417" s="32"/>
      <c r="O417" s="35" t="str">
        <f aca="true">IF(OR(B417="",B417&lt;TODAY()),"",COUNTIFS($B$5:$B$504,"&gt;="&amp;TODAY(),$B$5:$B$504,"&lt;"&amp;B417)+COUNTIFS($B$5:B417,B417))</f>
        <v/>
      </c>
    </row>
    <row r="418" customFormat="false" ht="15" hidden="false" customHeight="false" outlineLevel="0" collapsed="false">
      <c r="A418" s="32"/>
      <c r="B418" s="27"/>
      <c r="C418" s="29"/>
      <c r="D418" s="32"/>
      <c r="E418" s="32"/>
      <c r="F418" s="32"/>
      <c r="G418" s="31"/>
      <c r="H418" s="31"/>
      <c r="I418" s="33" t="str">
        <f aca="false">IF(G418="","",G418-H418)</f>
        <v/>
      </c>
      <c r="J418" s="33" t="str">
        <f aca="false">IF(A418="","",SUMIFS(Freelancers!$E$5:$E$504,Freelancers!$B$5:$B$504,A418))</f>
        <v/>
      </c>
      <c r="K418" s="33" t="str">
        <f aca="false">IF(A418="","",SUMIFS(Gastos!$D$5:$D$504,Gastos!$E$5:$E$504,A418))</f>
        <v/>
      </c>
      <c r="L418" s="33" t="str">
        <f aca="false">IF(G418="","",G418-N(J418)-N(K418))</f>
        <v/>
      </c>
      <c r="M418" s="34" t="str">
        <f aca="false">IF(G418="","",IF(H418&gt;=G418,"Pago",IF(H418&gt;0,"Parcial","Pendente")))</f>
        <v/>
      </c>
      <c r="N418" s="32"/>
      <c r="O418" s="35" t="str">
        <f aca="true">IF(OR(B418="",B418&lt;TODAY()),"",COUNTIFS($B$5:$B$504,"&gt;="&amp;TODAY(),$B$5:$B$504,"&lt;"&amp;B418)+COUNTIFS($B$5:B418,B418))</f>
        <v/>
      </c>
    </row>
    <row r="419" customFormat="false" ht="15" hidden="false" customHeight="false" outlineLevel="0" collapsed="false">
      <c r="A419" s="32"/>
      <c r="B419" s="27"/>
      <c r="C419" s="29"/>
      <c r="D419" s="32"/>
      <c r="E419" s="32"/>
      <c r="F419" s="32"/>
      <c r="G419" s="31"/>
      <c r="H419" s="31"/>
      <c r="I419" s="33" t="str">
        <f aca="false">IF(G419="","",G419-H419)</f>
        <v/>
      </c>
      <c r="J419" s="33" t="str">
        <f aca="false">IF(A419="","",SUMIFS(Freelancers!$E$5:$E$504,Freelancers!$B$5:$B$504,A419))</f>
        <v/>
      </c>
      <c r="K419" s="33" t="str">
        <f aca="false">IF(A419="","",SUMIFS(Gastos!$D$5:$D$504,Gastos!$E$5:$E$504,A419))</f>
        <v/>
      </c>
      <c r="L419" s="33" t="str">
        <f aca="false">IF(G419="","",G419-N(J419)-N(K419))</f>
        <v/>
      </c>
      <c r="M419" s="34" t="str">
        <f aca="false">IF(G419="","",IF(H419&gt;=G419,"Pago",IF(H419&gt;0,"Parcial","Pendente")))</f>
        <v/>
      </c>
      <c r="N419" s="32"/>
      <c r="O419" s="35" t="str">
        <f aca="true">IF(OR(B419="",B419&lt;TODAY()),"",COUNTIFS($B$5:$B$504,"&gt;="&amp;TODAY(),$B$5:$B$504,"&lt;"&amp;B419)+COUNTIFS($B$5:B419,B419))</f>
        <v/>
      </c>
    </row>
    <row r="420" customFormat="false" ht="15" hidden="false" customHeight="false" outlineLevel="0" collapsed="false">
      <c r="A420" s="32"/>
      <c r="B420" s="27"/>
      <c r="C420" s="29"/>
      <c r="D420" s="32"/>
      <c r="E420" s="32"/>
      <c r="F420" s="32"/>
      <c r="G420" s="31"/>
      <c r="H420" s="31"/>
      <c r="I420" s="33" t="str">
        <f aca="false">IF(G420="","",G420-H420)</f>
        <v/>
      </c>
      <c r="J420" s="33" t="str">
        <f aca="false">IF(A420="","",SUMIFS(Freelancers!$E$5:$E$504,Freelancers!$B$5:$B$504,A420))</f>
        <v/>
      </c>
      <c r="K420" s="33" t="str">
        <f aca="false">IF(A420="","",SUMIFS(Gastos!$D$5:$D$504,Gastos!$E$5:$E$504,A420))</f>
        <v/>
      </c>
      <c r="L420" s="33" t="str">
        <f aca="false">IF(G420="","",G420-N(J420)-N(K420))</f>
        <v/>
      </c>
      <c r="M420" s="34" t="str">
        <f aca="false">IF(G420="","",IF(H420&gt;=G420,"Pago",IF(H420&gt;0,"Parcial","Pendente")))</f>
        <v/>
      </c>
      <c r="N420" s="32"/>
      <c r="O420" s="35" t="str">
        <f aca="true">IF(OR(B420="",B420&lt;TODAY()),"",COUNTIFS($B$5:$B$504,"&gt;="&amp;TODAY(),$B$5:$B$504,"&lt;"&amp;B420)+COUNTIFS($B$5:B420,B420))</f>
        <v/>
      </c>
    </row>
    <row r="421" customFormat="false" ht="15" hidden="false" customHeight="false" outlineLevel="0" collapsed="false">
      <c r="A421" s="32"/>
      <c r="B421" s="27"/>
      <c r="C421" s="29"/>
      <c r="D421" s="32"/>
      <c r="E421" s="32"/>
      <c r="F421" s="32"/>
      <c r="G421" s="31"/>
      <c r="H421" s="31"/>
      <c r="I421" s="33" t="str">
        <f aca="false">IF(G421="","",G421-H421)</f>
        <v/>
      </c>
      <c r="J421" s="33" t="str">
        <f aca="false">IF(A421="","",SUMIFS(Freelancers!$E$5:$E$504,Freelancers!$B$5:$B$504,A421))</f>
        <v/>
      </c>
      <c r="K421" s="33" t="str">
        <f aca="false">IF(A421="","",SUMIFS(Gastos!$D$5:$D$504,Gastos!$E$5:$E$504,A421))</f>
        <v/>
      </c>
      <c r="L421" s="33" t="str">
        <f aca="false">IF(G421="","",G421-N(J421)-N(K421))</f>
        <v/>
      </c>
      <c r="M421" s="34" t="str">
        <f aca="false">IF(G421="","",IF(H421&gt;=G421,"Pago",IF(H421&gt;0,"Parcial","Pendente")))</f>
        <v/>
      </c>
      <c r="N421" s="32"/>
      <c r="O421" s="35" t="str">
        <f aca="true">IF(OR(B421="",B421&lt;TODAY()),"",COUNTIFS($B$5:$B$504,"&gt;="&amp;TODAY(),$B$5:$B$504,"&lt;"&amp;B421)+COUNTIFS($B$5:B421,B421))</f>
        <v/>
      </c>
    </row>
    <row r="422" customFormat="false" ht="15" hidden="false" customHeight="false" outlineLevel="0" collapsed="false">
      <c r="A422" s="32"/>
      <c r="B422" s="27"/>
      <c r="C422" s="29"/>
      <c r="D422" s="32"/>
      <c r="E422" s="32"/>
      <c r="F422" s="32"/>
      <c r="G422" s="31"/>
      <c r="H422" s="31"/>
      <c r="I422" s="33" t="str">
        <f aca="false">IF(G422="","",G422-H422)</f>
        <v/>
      </c>
      <c r="J422" s="33" t="str">
        <f aca="false">IF(A422="","",SUMIFS(Freelancers!$E$5:$E$504,Freelancers!$B$5:$B$504,A422))</f>
        <v/>
      </c>
      <c r="K422" s="33" t="str">
        <f aca="false">IF(A422="","",SUMIFS(Gastos!$D$5:$D$504,Gastos!$E$5:$E$504,A422))</f>
        <v/>
      </c>
      <c r="L422" s="33" t="str">
        <f aca="false">IF(G422="","",G422-N(J422)-N(K422))</f>
        <v/>
      </c>
      <c r="M422" s="34" t="str">
        <f aca="false">IF(G422="","",IF(H422&gt;=G422,"Pago",IF(H422&gt;0,"Parcial","Pendente")))</f>
        <v/>
      </c>
      <c r="N422" s="32"/>
      <c r="O422" s="35" t="str">
        <f aca="true">IF(OR(B422="",B422&lt;TODAY()),"",COUNTIFS($B$5:$B$504,"&gt;="&amp;TODAY(),$B$5:$B$504,"&lt;"&amp;B422)+COUNTIFS($B$5:B422,B422))</f>
        <v/>
      </c>
    </row>
    <row r="423" customFormat="false" ht="15" hidden="false" customHeight="false" outlineLevel="0" collapsed="false">
      <c r="A423" s="32"/>
      <c r="B423" s="27"/>
      <c r="C423" s="29"/>
      <c r="D423" s="32"/>
      <c r="E423" s="32"/>
      <c r="F423" s="32"/>
      <c r="G423" s="31"/>
      <c r="H423" s="31"/>
      <c r="I423" s="33" t="str">
        <f aca="false">IF(G423="","",G423-H423)</f>
        <v/>
      </c>
      <c r="J423" s="33" t="str">
        <f aca="false">IF(A423="","",SUMIFS(Freelancers!$E$5:$E$504,Freelancers!$B$5:$B$504,A423))</f>
        <v/>
      </c>
      <c r="K423" s="33" t="str">
        <f aca="false">IF(A423="","",SUMIFS(Gastos!$D$5:$D$504,Gastos!$E$5:$E$504,A423))</f>
        <v/>
      </c>
      <c r="L423" s="33" t="str">
        <f aca="false">IF(G423="","",G423-N(J423)-N(K423))</f>
        <v/>
      </c>
      <c r="M423" s="34" t="str">
        <f aca="false">IF(G423="","",IF(H423&gt;=G423,"Pago",IF(H423&gt;0,"Parcial","Pendente")))</f>
        <v/>
      </c>
      <c r="N423" s="32"/>
      <c r="O423" s="35" t="str">
        <f aca="true">IF(OR(B423="",B423&lt;TODAY()),"",COUNTIFS($B$5:$B$504,"&gt;="&amp;TODAY(),$B$5:$B$504,"&lt;"&amp;B423)+COUNTIFS($B$5:B423,B423))</f>
        <v/>
      </c>
    </row>
    <row r="424" customFormat="false" ht="15" hidden="false" customHeight="false" outlineLevel="0" collapsed="false">
      <c r="A424" s="32"/>
      <c r="B424" s="27"/>
      <c r="C424" s="29"/>
      <c r="D424" s="32"/>
      <c r="E424" s="32"/>
      <c r="F424" s="32"/>
      <c r="G424" s="31"/>
      <c r="H424" s="31"/>
      <c r="I424" s="33" t="str">
        <f aca="false">IF(G424="","",G424-H424)</f>
        <v/>
      </c>
      <c r="J424" s="33" t="str">
        <f aca="false">IF(A424="","",SUMIFS(Freelancers!$E$5:$E$504,Freelancers!$B$5:$B$504,A424))</f>
        <v/>
      </c>
      <c r="K424" s="33" t="str">
        <f aca="false">IF(A424="","",SUMIFS(Gastos!$D$5:$D$504,Gastos!$E$5:$E$504,A424))</f>
        <v/>
      </c>
      <c r="L424" s="33" t="str">
        <f aca="false">IF(G424="","",G424-N(J424)-N(K424))</f>
        <v/>
      </c>
      <c r="M424" s="34" t="str">
        <f aca="false">IF(G424="","",IF(H424&gt;=G424,"Pago",IF(H424&gt;0,"Parcial","Pendente")))</f>
        <v/>
      </c>
      <c r="N424" s="32"/>
      <c r="O424" s="35" t="str">
        <f aca="true">IF(OR(B424="",B424&lt;TODAY()),"",COUNTIFS($B$5:$B$504,"&gt;="&amp;TODAY(),$B$5:$B$504,"&lt;"&amp;B424)+COUNTIFS($B$5:B424,B424))</f>
        <v/>
      </c>
    </row>
    <row r="425" customFormat="false" ht="15" hidden="false" customHeight="false" outlineLevel="0" collapsed="false">
      <c r="A425" s="32"/>
      <c r="B425" s="27"/>
      <c r="C425" s="29"/>
      <c r="D425" s="32"/>
      <c r="E425" s="32"/>
      <c r="F425" s="32"/>
      <c r="G425" s="31"/>
      <c r="H425" s="31"/>
      <c r="I425" s="33" t="str">
        <f aca="false">IF(G425="","",G425-H425)</f>
        <v/>
      </c>
      <c r="J425" s="33" t="str">
        <f aca="false">IF(A425="","",SUMIFS(Freelancers!$E$5:$E$504,Freelancers!$B$5:$B$504,A425))</f>
        <v/>
      </c>
      <c r="K425" s="33" t="str">
        <f aca="false">IF(A425="","",SUMIFS(Gastos!$D$5:$D$504,Gastos!$E$5:$E$504,A425))</f>
        <v/>
      </c>
      <c r="L425" s="33" t="str">
        <f aca="false">IF(G425="","",G425-N(J425)-N(K425))</f>
        <v/>
      </c>
      <c r="M425" s="34" t="str">
        <f aca="false">IF(G425="","",IF(H425&gt;=G425,"Pago",IF(H425&gt;0,"Parcial","Pendente")))</f>
        <v/>
      </c>
      <c r="N425" s="32"/>
      <c r="O425" s="35" t="str">
        <f aca="true">IF(OR(B425="",B425&lt;TODAY()),"",COUNTIFS($B$5:$B$504,"&gt;="&amp;TODAY(),$B$5:$B$504,"&lt;"&amp;B425)+COUNTIFS($B$5:B425,B425))</f>
        <v/>
      </c>
    </row>
    <row r="426" customFormat="false" ht="15" hidden="false" customHeight="false" outlineLevel="0" collapsed="false">
      <c r="A426" s="32"/>
      <c r="B426" s="27"/>
      <c r="C426" s="29"/>
      <c r="D426" s="32"/>
      <c r="E426" s="32"/>
      <c r="F426" s="32"/>
      <c r="G426" s="31"/>
      <c r="H426" s="31"/>
      <c r="I426" s="33" t="str">
        <f aca="false">IF(G426="","",G426-H426)</f>
        <v/>
      </c>
      <c r="J426" s="33" t="str">
        <f aca="false">IF(A426="","",SUMIFS(Freelancers!$E$5:$E$504,Freelancers!$B$5:$B$504,A426))</f>
        <v/>
      </c>
      <c r="K426" s="33" t="str">
        <f aca="false">IF(A426="","",SUMIFS(Gastos!$D$5:$D$504,Gastos!$E$5:$E$504,A426))</f>
        <v/>
      </c>
      <c r="L426" s="33" t="str">
        <f aca="false">IF(G426="","",G426-N(J426)-N(K426))</f>
        <v/>
      </c>
      <c r="M426" s="34" t="str">
        <f aca="false">IF(G426="","",IF(H426&gt;=G426,"Pago",IF(H426&gt;0,"Parcial","Pendente")))</f>
        <v/>
      </c>
      <c r="N426" s="32"/>
      <c r="O426" s="35" t="str">
        <f aca="true">IF(OR(B426="",B426&lt;TODAY()),"",COUNTIFS($B$5:$B$504,"&gt;="&amp;TODAY(),$B$5:$B$504,"&lt;"&amp;B426)+COUNTIFS($B$5:B426,B426))</f>
        <v/>
      </c>
    </row>
    <row r="427" customFormat="false" ht="15" hidden="false" customHeight="false" outlineLevel="0" collapsed="false">
      <c r="A427" s="32"/>
      <c r="B427" s="27"/>
      <c r="C427" s="29"/>
      <c r="D427" s="32"/>
      <c r="E427" s="32"/>
      <c r="F427" s="32"/>
      <c r="G427" s="31"/>
      <c r="H427" s="31"/>
      <c r="I427" s="33" t="str">
        <f aca="false">IF(G427="","",G427-H427)</f>
        <v/>
      </c>
      <c r="J427" s="33" t="str">
        <f aca="false">IF(A427="","",SUMIFS(Freelancers!$E$5:$E$504,Freelancers!$B$5:$B$504,A427))</f>
        <v/>
      </c>
      <c r="K427" s="33" t="str">
        <f aca="false">IF(A427="","",SUMIFS(Gastos!$D$5:$D$504,Gastos!$E$5:$E$504,A427))</f>
        <v/>
      </c>
      <c r="L427" s="33" t="str">
        <f aca="false">IF(G427="","",G427-N(J427)-N(K427))</f>
        <v/>
      </c>
      <c r="M427" s="34" t="str">
        <f aca="false">IF(G427="","",IF(H427&gt;=G427,"Pago",IF(H427&gt;0,"Parcial","Pendente")))</f>
        <v/>
      </c>
      <c r="N427" s="32"/>
      <c r="O427" s="35" t="str">
        <f aca="true">IF(OR(B427="",B427&lt;TODAY()),"",COUNTIFS($B$5:$B$504,"&gt;="&amp;TODAY(),$B$5:$B$504,"&lt;"&amp;B427)+COUNTIFS($B$5:B427,B427))</f>
        <v/>
      </c>
    </row>
    <row r="428" customFormat="false" ht="15" hidden="false" customHeight="false" outlineLevel="0" collapsed="false">
      <c r="A428" s="32"/>
      <c r="B428" s="27"/>
      <c r="C428" s="29"/>
      <c r="D428" s="32"/>
      <c r="E428" s="32"/>
      <c r="F428" s="32"/>
      <c r="G428" s="31"/>
      <c r="H428" s="31"/>
      <c r="I428" s="33" t="str">
        <f aca="false">IF(G428="","",G428-H428)</f>
        <v/>
      </c>
      <c r="J428" s="33" t="str">
        <f aca="false">IF(A428="","",SUMIFS(Freelancers!$E$5:$E$504,Freelancers!$B$5:$B$504,A428))</f>
        <v/>
      </c>
      <c r="K428" s="33" t="str">
        <f aca="false">IF(A428="","",SUMIFS(Gastos!$D$5:$D$504,Gastos!$E$5:$E$504,A428))</f>
        <v/>
      </c>
      <c r="L428" s="33" t="str">
        <f aca="false">IF(G428="","",G428-N(J428)-N(K428))</f>
        <v/>
      </c>
      <c r="M428" s="34" t="str">
        <f aca="false">IF(G428="","",IF(H428&gt;=G428,"Pago",IF(H428&gt;0,"Parcial","Pendente")))</f>
        <v/>
      </c>
      <c r="N428" s="32"/>
      <c r="O428" s="35" t="str">
        <f aca="true">IF(OR(B428="",B428&lt;TODAY()),"",COUNTIFS($B$5:$B$504,"&gt;="&amp;TODAY(),$B$5:$B$504,"&lt;"&amp;B428)+COUNTIFS($B$5:B428,B428))</f>
        <v/>
      </c>
    </row>
    <row r="429" customFormat="false" ht="15" hidden="false" customHeight="false" outlineLevel="0" collapsed="false">
      <c r="A429" s="32"/>
      <c r="B429" s="27"/>
      <c r="C429" s="29"/>
      <c r="D429" s="32"/>
      <c r="E429" s="32"/>
      <c r="F429" s="32"/>
      <c r="G429" s="31"/>
      <c r="H429" s="31"/>
      <c r="I429" s="33" t="str">
        <f aca="false">IF(G429="","",G429-H429)</f>
        <v/>
      </c>
      <c r="J429" s="33" t="str">
        <f aca="false">IF(A429="","",SUMIFS(Freelancers!$E$5:$E$504,Freelancers!$B$5:$B$504,A429))</f>
        <v/>
      </c>
      <c r="K429" s="33" t="str">
        <f aca="false">IF(A429="","",SUMIFS(Gastos!$D$5:$D$504,Gastos!$E$5:$E$504,A429))</f>
        <v/>
      </c>
      <c r="L429" s="33" t="str">
        <f aca="false">IF(G429="","",G429-N(J429)-N(K429))</f>
        <v/>
      </c>
      <c r="M429" s="34" t="str">
        <f aca="false">IF(G429="","",IF(H429&gt;=G429,"Pago",IF(H429&gt;0,"Parcial","Pendente")))</f>
        <v/>
      </c>
      <c r="N429" s="32"/>
      <c r="O429" s="35" t="str">
        <f aca="true">IF(OR(B429="",B429&lt;TODAY()),"",COUNTIFS($B$5:$B$504,"&gt;="&amp;TODAY(),$B$5:$B$504,"&lt;"&amp;B429)+COUNTIFS($B$5:B429,B429))</f>
        <v/>
      </c>
    </row>
    <row r="430" customFormat="false" ht="15" hidden="false" customHeight="false" outlineLevel="0" collapsed="false">
      <c r="A430" s="32"/>
      <c r="B430" s="27"/>
      <c r="C430" s="29"/>
      <c r="D430" s="32"/>
      <c r="E430" s="32"/>
      <c r="F430" s="32"/>
      <c r="G430" s="31"/>
      <c r="H430" s="31"/>
      <c r="I430" s="33" t="str">
        <f aca="false">IF(G430="","",G430-H430)</f>
        <v/>
      </c>
      <c r="J430" s="33" t="str">
        <f aca="false">IF(A430="","",SUMIFS(Freelancers!$E$5:$E$504,Freelancers!$B$5:$B$504,A430))</f>
        <v/>
      </c>
      <c r="K430" s="33" t="str">
        <f aca="false">IF(A430="","",SUMIFS(Gastos!$D$5:$D$504,Gastos!$E$5:$E$504,A430))</f>
        <v/>
      </c>
      <c r="L430" s="33" t="str">
        <f aca="false">IF(G430="","",G430-N(J430)-N(K430))</f>
        <v/>
      </c>
      <c r="M430" s="34" t="str">
        <f aca="false">IF(G430="","",IF(H430&gt;=G430,"Pago",IF(H430&gt;0,"Parcial","Pendente")))</f>
        <v/>
      </c>
      <c r="N430" s="32"/>
      <c r="O430" s="35" t="str">
        <f aca="true">IF(OR(B430="",B430&lt;TODAY()),"",COUNTIFS($B$5:$B$504,"&gt;="&amp;TODAY(),$B$5:$B$504,"&lt;"&amp;B430)+COUNTIFS($B$5:B430,B430))</f>
        <v/>
      </c>
    </row>
    <row r="431" customFormat="false" ht="15" hidden="false" customHeight="false" outlineLevel="0" collapsed="false">
      <c r="A431" s="32"/>
      <c r="B431" s="27"/>
      <c r="C431" s="29"/>
      <c r="D431" s="32"/>
      <c r="E431" s="32"/>
      <c r="F431" s="32"/>
      <c r="G431" s="31"/>
      <c r="H431" s="31"/>
      <c r="I431" s="33" t="str">
        <f aca="false">IF(G431="","",G431-H431)</f>
        <v/>
      </c>
      <c r="J431" s="33" t="str">
        <f aca="false">IF(A431="","",SUMIFS(Freelancers!$E$5:$E$504,Freelancers!$B$5:$B$504,A431))</f>
        <v/>
      </c>
      <c r="K431" s="33" t="str">
        <f aca="false">IF(A431="","",SUMIFS(Gastos!$D$5:$D$504,Gastos!$E$5:$E$504,A431))</f>
        <v/>
      </c>
      <c r="L431" s="33" t="str">
        <f aca="false">IF(G431="","",G431-N(J431)-N(K431))</f>
        <v/>
      </c>
      <c r="M431" s="34" t="str">
        <f aca="false">IF(G431="","",IF(H431&gt;=G431,"Pago",IF(H431&gt;0,"Parcial","Pendente")))</f>
        <v/>
      </c>
      <c r="N431" s="32"/>
      <c r="O431" s="35" t="str">
        <f aca="true">IF(OR(B431="",B431&lt;TODAY()),"",COUNTIFS($B$5:$B$504,"&gt;="&amp;TODAY(),$B$5:$B$504,"&lt;"&amp;B431)+COUNTIFS($B$5:B431,B431))</f>
        <v/>
      </c>
    </row>
    <row r="432" customFormat="false" ht="15" hidden="false" customHeight="false" outlineLevel="0" collapsed="false">
      <c r="A432" s="32"/>
      <c r="B432" s="27"/>
      <c r="C432" s="29"/>
      <c r="D432" s="32"/>
      <c r="E432" s="32"/>
      <c r="F432" s="32"/>
      <c r="G432" s="31"/>
      <c r="H432" s="31"/>
      <c r="I432" s="33" t="str">
        <f aca="false">IF(G432="","",G432-H432)</f>
        <v/>
      </c>
      <c r="J432" s="33" t="str">
        <f aca="false">IF(A432="","",SUMIFS(Freelancers!$E$5:$E$504,Freelancers!$B$5:$B$504,A432))</f>
        <v/>
      </c>
      <c r="K432" s="33" t="str">
        <f aca="false">IF(A432="","",SUMIFS(Gastos!$D$5:$D$504,Gastos!$E$5:$E$504,A432))</f>
        <v/>
      </c>
      <c r="L432" s="33" t="str">
        <f aca="false">IF(G432="","",G432-N(J432)-N(K432))</f>
        <v/>
      </c>
      <c r="M432" s="34" t="str">
        <f aca="false">IF(G432="","",IF(H432&gt;=G432,"Pago",IF(H432&gt;0,"Parcial","Pendente")))</f>
        <v/>
      </c>
      <c r="N432" s="32"/>
      <c r="O432" s="35" t="str">
        <f aca="true">IF(OR(B432="",B432&lt;TODAY()),"",COUNTIFS($B$5:$B$504,"&gt;="&amp;TODAY(),$B$5:$B$504,"&lt;"&amp;B432)+COUNTIFS($B$5:B432,B432))</f>
        <v/>
      </c>
    </row>
    <row r="433" customFormat="false" ht="15" hidden="false" customHeight="false" outlineLevel="0" collapsed="false">
      <c r="A433" s="32"/>
      <c r="B433" s="27"/>
      <c r="C433" s="29"/>
      <c r="D433" s="32"/>
      <c r="E433" s="32"/>
      <c r="F433" s="32"/>
      <c r="G433" s="31"/>
      <c r="H433" s="31"/>
      <c r="I433" s="33" t="str">
        <f aca="false">IF(G433="","",G433-H433)</f>
        <v/>
      </c>
      <c r="J433" s="33" t="str">
        <f aca="false">IF(A433="","",SUMIFS(Freelancers!$E$5:$E$504,Freelancers!$B$5:$B$504,A433))</f>
        <v/>
      </c>
      <c r="K433" s="33" t="str">
        <f aca="false">IF(A433="","",SUMIFS(Gastos!$D$5:$D$504,Gastos!$E$5:$E$504,A433))</f>
        <v/>
      </c>
      <c r="L433" s="33" t="str">
        <f aca="false">IF(G433="","",G433-N(J433)-N(K433))</f>
        <v/>
      </c>
      <c r="M433" s="34" t="str">
        <f aca="false">IF(G433="","",IF(H433&gt;=G433,"Pago",IF(H433&gt;0,"Parcial","Pendente")))</f>
        <v/>
      </c>
      <c r="N433" s="32"/>
      <c r="O433" s="35" t="str">
        <f aca="true">IF(OR(B433="",B433&lt;TODAY()),"",COUNTIFS($B$5:$B$504,"&gt;="&amp;TODAY(),$B$5:$B$504,"&lt;"&amp;B433)+COUNTIFS($B$5:B433,B433))</f>
        <v/>
      </c>
    </row>
    <row r="434" customFormat="false" ht="15" hidden="false" customHeight="false" outlineLevel="0" collapsed="false">
      <c r="A434" s="32"/>
      <c r="B434" s="27"/>
      <c r="C434" s="29"/>
      <c r="D434" s="32"/>
      <c r="E434" s="32"/>
      <c r="F434" s="32"/>
      <c r="G434" s="31"/>
      <c r="H434" s="31"/>
      <c r="I434" s="33" t="str">
        <f aca="false">IF(G434="","",G434-H434)</f>
        <v/>
      </c>
      <c r="J434" s="33" t="str">
        <f aca="false">IF(A434="","",SUMIFS(Freelancers!$E$5:$E$504,Freelancers!$B$5:$B$504,A434))</f>
        <v/>
      </c>
      <c r="K434" s="33" t="str">
        <f aca="false">IF(A434="","",SUMIFS(Gastos!$D$5:$D$504,Gastos!$E$5:$E$504,A434))</f>
        <v/>
      </c>
      <c r="L434" s="33" t="str">
        <f aca="false">IF(G434="","",G434-N(J434)-N(K434))</f>
        <v/>
      </c>
      <c r="M434" s="34" t="str">
        <f aca="false">IF(G434="","",IF(H434&gt;=G434,"Pago",IF(H434&gt;0,"Parcial","Pendente")))</f>
        <v/>
      </c>
      <c r="N434" s="32"/>
      <c r="O434" s="35" t="str">
        <f aca="true">IF(OR(B434="",B434&lt;TODAY()),"",COUNTIFS($B$5:$B$504,"&gt;="&amp;TODAY(),$B$5:$B$504,"&lt;"&amp;B434)+COUNTIFS($B$5:B434,B434))</f>
        <v/>
      </c>
    </row>
    <row r="435" customFormat="false" ht="15" hidden="false" customHeight="false" outlineLevel="0" collapsed="false">
      <c r="A435" s="32"/>
      <c r="B435" s="27"/>
      <c r="C435" s="29"/>
      <c r="D435" s="32"/>
      <c r="E435" s="32"/>
      <c r="F435" s="32"/>
      <c r="G435" s="31"/>
      <c r="H435" s="31"/>
      <c r="I435" s="33" t="str">
        <f aca="false">IF(G435="","",G435-H435)</f>
        <v/>
      </c>
      <c r="J435" s="33" t="str">
        <f aca="false">IF(A435="","",SUMIFS(Freelancers!$E$5:$E$504,Freelancers!$B$5:$B$504,A435))</f>
        <v/>
      </c>
      <c r="K435" s="33" t="str">
        <f aca="false">IF(A435="","",SUMIFS(Gastos!$D$5:$D$504,Gastos!$E$5:$E$504,A435))</f>
        <v/>
      </c>
      <c r="L435" s="33" t="str">
        <f aca="false">IF(G435="","",G435-N(J435)-N(K435))</f>
        <v/>
      </c>
      <c r="M435" s="34" t="str">
        <f aca="false">IF(G435="","",IF(H435&gt;=G435,"Pago",IF(H435&gt;0,"Parcial","Pendente")))</f>
        <v/>
      </c>
      <c r="N435" s="32"/>
      <c r="O435" s="35" t="str">
        <f aca="true">IF(OR(B435="",B435&lt;TODAY()),"",COUNTIFS($B$5:$B$504,"&gt;="&amp;TODAY(),$B$5:$B$504,"&lt;"&amp;B435)+COUNTIFS($B$5:B435,B435))</f>
        <v/>
      </c>
    </row>
    <row r="436" customFormat="false" ht="15" hidden="false" customHeight="false" outlineLevel="0" collapsed="false">
      <c r="A436" s="32"/>
      <c r="B436" s="27"/>
      <c r="C436" s="29"/>
      <c r="D436" s="32"/>
      <c r="E436" s="32"/>
      <c r="F436" s="32"/>
      <c r="G436" s="31"/>
      <c r="H436" s="31"/>
      <c r="I436" s="33" t="str">
        <f aca="false">IF(G436="","",G436-H436)</f>
        <v/>
      </c>
      <c r="J436" s="33" t="str">
        <f aca="false">IF(A436="","",SUMIFS(Freelancers!$E$5:$E$504,Freelancers!$B$5:$B$504,A436))</f>
        <v/>
      </c>
      <c r="K436" s="33" t="str">
        <f aca="false">IF(A436="","",SUMIFS(Gastos!$D$5:$D$504,Gastos!$E$5:$E$504,A436))</f>
        <v/>
      </c>
      <c r="L436" s="33" t="str">
        <f aca="false">IF(G436="","",G436-N(J436)-N(K436))</f>
        <v/>
      </c>
      <c r="M436" s="34" t="str">
        <f aca="false">IF(G436="","",IF(H436&gt;=G436,"Pago",IF(H436&gt;0,"Parcial","Pendente")))</f>
        <v/>
      </c>
      <c r="N436" s="32"/>
      <c r="O436" s="35" t="str">
        <f aca="true">IF(OR(B436="",B436&lt;TODAY()),"",COUNTIFS($B$5:$B$504,"&gt;="&amp;TODAY(),$B$5:$B$504,"&lt;"&amp;B436)+COUNTIFS($B$5:B436,B436))</f>
        <v/>
      </c>
    </row>
    <row r="437" customFormat="false" ht="15" hidden="false" customHeight="false" outlineLevel="0" collapsed="false">
      <c r="A437" s="32"/>
      <c r="B437" s="27"/>
      <c r="C437" s="29"/>
      <c r="D437" s="32"/>
      <c r="E437" s="32"/>
      <c r="F437" s="32"/>
      <c r="G437" s="31"/>
      <c r="H437" s="31"/>
      <c r="I437" s="33" t="str">
        <f aca="false">IF(G437="","",G437-H437)</f>
        <v/>
      </c>
      <c r="J437" s="33" t="str">
        <f aca="false">IF(A437="","",SUMIFS(Freelancers!$E$5:$E$504,Freelancers!$B$5:$B$504,A437))</f>
        <v/>
      </c>
      <c r="K437" s="33" t="str">
        <f aca="false">IF(A437="","",SUMIFS(Gastos!$D$5:$D$504,Gastos!$E$5:$E$504,A437))</f>
        <v/>
      </c>
      <c r="L437" s="33" t="str">
        <f aca="false">IF(G437="","",G437-N(J437)-N(K437))</f>
        <v/>
      </c>
      <c r="M437" s="34" t="str">
        <f aca="false">IF(G437="","",IF(H437&gt;=G437,"Pago",IF(H437&gt;0,"Parcial","Pendente")))</f>
        <v/>
      </c>
      <c r="N437" s="32"/>
      <c r="O437" s="35" t="str">
        <f aca="true">IF(OR(B437="",B437&lt;TODAY()),"",COUNTIFS($B$5:$B$504,"&gt;="&amp;TODAY(),$B$5:$B$504,"&lt;"&amp;B437)+COUNTIFS($B$5:B437,B437))</f>
        <v/>
      </c>
    </row>
    <row r="438" customFormat="false" ht="15" hidden="false" customHeight="false" outlineLevel="0" collapsed="false">
      <c r="A438" s="32"/>
      <c r="B438" s="27"/>
      <c r="C438" s="29"/>
      <c r="D438" s="32"/>
      <c r="E438" s="32"/>
      <c r="F438" s="32"/>
      <c r="G438" s="31"/>
      <c r="H438" s="31"/>
      <c r="I438" s="33" t="str">
        <f aca="false">IF(G438="","",G438-H438)</f>
        <v/>
      </c>
      <c r="J438" s="33" t="str">
        <f aca="false">IF(A438="","",SUMIFS(Freelancers!$E$5:$E$504,Freelancers!$B$5:$B$504,A438))</f>
        <v/>
      </c>
      <c r="K438" s="33" t="str">
        <f aca="false">IF(A438="","",SUMIFS(Gastos!$D$5:$D$504,Gastos!$E$5:$E$504,A438))</f>
        <v/>
      </c>
      <c r="L438" s="33" t="str">
        <f aca="false">IF(G438="","",G438-N(J438)-N(K438))</f>
        <v/>
      </c>
      <c r="M438" s="34" t="str">
        <f aca="false">IF(G438="","",IF(H438&gt;=G438,"Pago",IF(H438&gt;0,"Parcial","Pendente")))</f>
        <v/>
      </c>
      <c r="N438" s="32"/>
      <c r="O438" s="35" t="str">
        <f aca="true">IF(OR(B438="",B438&lt;TODAY()),"",COUNTIFS($B$5:$B$504,"&gt;="&amp;TODAY(),$B$5:$B$504,"&lt;"&amp;B438)+COUNTIFS($B$5:B438,B438))</f>
        <v/>
      </c>
    </row>
    <row r="439" customFormat="false" ht="15" hidden="false" customHeight="false" outlineLevel="0" collapsed="false">
      <c r="A439" s="32"/>
      <c r="B439" s="27"/>
      <c r="C439" s="29"/>
      <c r="D439" s="32"/>
      <c r="E439" s="32"/>
      <c r="F439" s="32"/>
      <c r="G439" s="31"/>
      <c r="H439" s="31"/>
      <c r="I439" s="33" t="str">
        <f aca="false">IF(G439="","",G439-H439)</f>
        <v/>
      </c>
      <c r="J439" s="33" t="str">
        <f aca="false">IF(A439="","",SUMIFS(Freelancers!$E$5:$E$504,Freelancers!$B$5:$B$504,A439))</f>
        <v/>
      </c>
      <c r="K439" s="33" t="str">
        <f aca="false">IF(A439="","",SUMIFS(Gastos!$D$5:$D$504,Gastos!$E$5:$E$504,A439))</f>
        <v/>
      </c>
      <c r="L439" s="33" t="str">
        <f aca="false">IF(G439="","",G439-N(J439)-N(K439))</f>
        <v/>
      </c>
      <c r="M439" s="34" t="str">
        <f aca="false">IF(G439="","",IF(H439&gt;=G439,"Pago",IF(H439&gt;0,"Parcial","Pendente")))</f>
        <v/>
      </c>
      <c r="N439" s="32"/>
      <c r="O439" s="35" t="str">
        <f aca="true">IF(OR(B439="",B439&lt;TODAY()),"",COUNTIFS($B$5:$B$504,"&gt;="&amp;TODAY(),$B$5:$B$504,"&lt;"&amp;B439)+COUNTIFS($B$5:B439,B439))</f>
        <v/>
      </c>
    </row>
    <row r="440" customFormat="false" ht="15" hidden="false" customHeight="false" outlineLevel="0" collapsed="false">
      <c r="A440" s="32"/>
      <c r="B440" s="27"/>
      <c r="C440" s="29"/>
      <c r="D440" s="32"/>
      <c r="E440" s="32"/>
      <c r="F440" s="32"/>
      <c r="G440" s="31"/>
      <c r="H440" s="31"/>
      <c r="I440" s="33" t="str">
        <f aca="false">IF(G440="","",G440-H440)</f>
        <v/>
      </c>
      <c r="J440" s="33" t="str">
        <f aca="false">IF(A440="","",SUMIFS(Freelancers!$E$5:$E$504,Freelancers!$B$5:$B$504,A440))</f>
        <v/>
      </c>
      <c r="K440" s="33" t="str">
        <f aca="false">IF(A440="","",SUMIFS(Gastos!$D$5:$D$504,Gastos!$E$5:$E$504,A440))</f>
        <v/>
      </c>
      <c r="L440" s="33" t="str">
        <f aca="false">IF(G440="","",G440-N(J440)-N(K440))</f>
        <v/>
      </c>
      <c r="M440" s="34" t="str">
        <f aca="false">IF(G440="","",IF(H440&gt;=G440,"Pago",IF(H440&gt;0,"Parcial","Pendente")))</f>
        <v/>
      </c>
      <c r="N440" s="32"/>
      <c r="O440" s="35" t="str">
        <f aca="true">IF(OR(B440="",B440&lt;TODAY()),"",COUNTIFS($B$5:$B$504,"&gt;="&amp;TODAY(),$B$5:$B$504,"&lt;"&amp;B440)+COUNTIFS($B$5:B440,B440))</f>
        <v/>
      </c>
    </row>
    <row r="441" customFormat="false" ht="15" hidden="false" customHeight="false" outlineLevel="0" collapsed="false">
      <c r="A441" s="32"/>
      <c r="B441" s="27"/>
      <c r="C441" s="29"/>
      <c r="D441" s="32"/>
      <c r="E441" s="32"/>
      <c r="F441" s="32"/>
      <c r="G441" s="31"/>
      <c r="H441" s="31"/>
      <c r="I441" s="33" t="str">
        <f aca="false">IF(G441="","",G441-H441)</f>
        <v/>
      </c>
      <c r="J441" s="33" t="str">
        <f aca="false">IF(A441="","",SUMIFS(Freelancers!$E$5:$E$504,Freelancers!$B$5:$B$504,A441))</f>
        <v/>
      </c>
      <c r="K441" s="33" t="str">
        <f aca="false">IF(A441="","",SUMIFS(Gastos!$D$5:$D$504,Gastos!$E$5:$E$504,A441))</f>
        <v/>
      </c>
      <c r="L441" s="33" t="str">
        <f aca="false">IF(G441="","",G441-N(J441)-N(K441))</f>
        <v/>
      </c>
      <c r="M441" s="34" t="str">
        <f aca="false">IF(G441="","",IF(H441&gt;=G441,"Pago",IF(H441&gt;0,"Parcial","Pendente")))</f>
        <v/>
      </c>
      <c r="N441" s="32"/>
      <c r="O441" s="35" t="str">
        <f aca="true">IF(OR(B441="",B441&lt;TODAY()),"",COUNTIFS($B$5:$B$504,"&gt;="&amp;TODAY(),$B$5:$B$504,"&lt;"&amp;B441)+COUNTIFS($B$5:B441,B441))</f>
        <v/>
      </c>
    </row>
    <row r="442" customFormat="false" ht="15" hidden="false" customHeight="false" outlineLevel="0" collapsed="false">
      <c r="A442" s="32"/>
      <c r="B442" s="27"/>
      <c r="C442" s="29"/>
      <c r="D442" s="32"/>
      <c r="E442" s="32"/>
      <c r="F442" s="32"/>
      <c r="G442" s="31"/>
      <c r="H442" s="31"/>
      <c r="I442" s="33" t="str">
        <f aca="false">IF(G442="","",G442-H442)</f>
        <v/>
      </c>
      <c r="J442" s="33" t="str">
        <f aca="false">IF(A442="","",SUMIFS(Freelancers!$E$5:$E$504,Freelancers!$B$5:$B$504,A442))</f>
        <v/>
      </c>
      <c r="K442" s="33" t="str">
        <f aca="false">IF(A442="","",SUMIFS(Gastos!$D$5:$D$504,Gastos!$E$5:$E$504,A442))</f>
        <v/>
      </c>
      <c r="L442" s="33" t="str">
        <f aca="false">IF(G442="","",G442-N(J442)-N(K442))</f>
        <v/>
      </c>
      <c r="M442" s="34" t="str">
        <f aca="false">IF(G442="","",IF(H442&gt;=G442,"Pago",IF(H442&gt;0,"Parcial","Pendente")))</f>
        <v/>
      </c>
      <c r="N442" s="32"/>
      <c r="O442" s="35" t="str">
        <f aca="true">IF(OR(B442="",B442&lt;TODAY()),"",COUNTIFS($B$5:$B$504,"&gt;="&amp;TODAY(),$B$5:$B$504,"&lt;"&amp;B442)+COUNTIFS($B$5:B442,B442))</f>
        <v/>
      </c>
    </row>
    <row r="443" customFormat="false" ht="15" hidden="false" customHeight="false" outlineLevel="0" collapsed="false">
      <c r="A443" s="32"/>
      <c r="B443" s="27"/>
      <c r="C443" s="29"/>
      <c r="D443" s="32"/>
      <c r="E443" s="32"/>
      <c r="F443" s="32"/>
      <c r="G443" s="31"/>
      <c r="H443" s="31"/>
      <c r="I443" s="33" t="str">
        <f aca="false">IF(G443="","",G443-H443)</f>
        <v/>
      </c>
      <c r="J443" s="33" t="str">
        <f aca="false">IF(A443="","",SUMIFS(Freelancers!$E$5:$E$504,Freelancers!$B$5:$B$504,A443))</f>
        <v/>
      </c>
      <c r="K443" s="33" t="str">
        <f aca="false">IF(A443="","",SUMIFS(Gastos!$D$5:$D$504,Gastos!$E$5:$E$504,A443))</f>
        <v/>
      </c>
      <c r="L443" s="33" t="str">
        <f aca="false">IF(G443="","",G443-N(J443)-N(K443))</f>
        <v/>
      </c>
      <c r="M443" s="34" t="str">
        <f aca="false">IF(G443="","",IF(H443&gt;=G443,"Pago",IF(H443&gt;0,"Parcial","Pendente")))</f>
        <v/>
      </c>
      <c r="N443" s="32"/>
      <c r="O443" s="35" t="str">
        <f aca="true">IF(OR(B443="",B443&lt;TODAY()),"",COUNTIFS($B$5:$B$504,"&gt;="&amp;TODAY(),$B$5:$B$504,"&lt;"&amp;B443)+COUNTIFS($B$5:B443,B443))</f>
        <v/>
      </c>
    </row>
    <row r="444" customFormat="false" ht="15" hidden="false" customHeight="false" outlineLevel="0" collapsed="false">
      <c r="A444" s="32"/>
      <c r="B444" s="27"/>
      <c r="C444" s="29"/>
      <c r="D444" s="32"/>
      <c r="E444" s="32"/>
      <c r="F444" s="32"/>
      <c r="G444" s="31"/>
      <c r="H444" s="31"/>
      <c r="I444" s="33" t="str">
        <f aca="false">IF(G444="","",G444-H444)</f>
        <v/>
      </c>
      <c r="J444" s="33" t="str">
        <f aca="false">IF(A444="","",SUMIFS(Freelancers!$E$5:$E$504,Freelancers!$B$5:$B$504,A444))</f>
        <v/>
      </c>
      <c r="K444" s="33" t="str">
        <f aca="false">IF(A444="","",SUMIFS(Gastos!$D$5:$D$504,Gastos!$E$5:$E$504,A444))</f>
        <v/>
      </c>
      <c r="L444" s="33" t="str">
        <f aca="false">IF(G444="","",G444-N(J444)-N(K444))</f>
        <v/>
      </c>
      <c r="M444" s="34" t="str">
        <f aca="false">IF(G444="","",IF(H444&gt;=G444,"Pago",IF(H444&gt;0,"Parcial","Pendente")))</f>
        <v/>
      </c>
      <c r="N444" s="32"/>
      <c r="O444" s="35" t="str">
        <f aca="true">IF(OR(B444="",B444&lt;TODAY()),"",COUNTIFS($B$5:$B$504,"&gt;="&amp;TODAY(),$B$5:$B$504,"&lt;"&amp;B444)+COUNTIFS($B$5:B444,B444))</f>
        <v/>
      </c>
    </row>
    <row r="445" customFormat="false" ht="15" hidden="false" customHeight="false" outlineLevel="0" collapsed="false">
      <c r="A445" s="32"/>
      <c r="B445" s="27"/>
      <c r="C445" s="29"/>
      <c r="D445" s="32"/>
      <c r="E445" s="32"/>
      <c r="F445" s="32"/>
      <c r="G445" s="31"/>
      <c r="H445" s="31"/>
      <c r="I445" s="33" t="str">
        <f aca="false">IF(G445="","",G445-H445)</f>
        <v/>
      </c>
      <c r="J445" s="33" t="str">
        <f aca="false">IF(A445="","",SUMIFS(Freelancers!$E$5:$E$504,Freelancers!$B$5:$B$504,A445))</f>
        <v/>
      </c>
      <c r="K445" s="33" t="str">
        <f aca="false">IF(A445="","",SUMIFS(Gastos!$D$5:$D$504,Gastos!$E$5:$E$504,A445))</f>
        <v/>
      </c>
      <c r="L445" s="33" t="str">
        <f aca="false">IF(G445="","",G445-N(J445)-N(K445))</f>
        <v/>
      </c>
      <c r="M445" s="34" t="str">
        <f aca="false">IF(G445="","",IF(H445&gt;=G445,"Pago",IF(H445&gt;0,"Parcial","Pendente")))</f>
        <v/>
      </c>
      <c r="N445" s="32"/>
      <c r="O445" s="35" t="str">
        <f aca="true">IF(OR(B445="",B445&lt;TODAY()),"",COUNTIFS($B$5:$B$504,"&gt;="&amp;TODAY(),$B$5:$B$504,"&lt;"&amp;B445)+COUNTIFS($B$5:B445,B445))</f>
        <v/>
      </c>
    </row>
    <row r="446" customFormat="false" ht="15" hidden="false" customHeight="false" outlineLevel="0" collapsed="false">
      <c r="A446" s="32"/>
      <c r="B446" s="27"/>
      <c r="C446" s="29"/>
      <c r="D446" s="32"/>
      <c r="E446" s="32"/>
      <c r="F446" s="32"/>
      <c r="G446" s="31"/>
      <c r="H446" s="31"/>
      <c r="I446" s="33" t="str">
        <f aca="false">IF(G446="","",G446-H446)</f>
        <v/>
      </c>
      <c r="J446" s="33" t="str">
        <f aca="false">IF(A446="","",SUMIFS(Freelancers!$E$5:$E$504,Freelancers!$B$5:$B$504,A446))</f>
        <v/>
      </c>
      <c r="K446" s="33" t="str">
        <f aca="false">IF(A446="","",SUMIFS(Gastos!$D$5:$D$504,Gastos!$E$5:$E$504,A446))</f>
        <v/>
      </c>
      <c r="L446" s="33" t="str">
        <f aca="false">IF(G446="","",G446-N(J446)-N(K446))</f>
        <v/>
      </c>
      <c r="M446" s="34" t="str">
        <f aca="false">IF(G446="","",IF(H446&gt;=G446,"Pago",IF(H446&gt;0,"Parcial","Pendente")))</f>
        <v/>
      </c>
      <c r="N446" s="32"/>
      <c r="O446" s="35" t="str">
        <f aca="true">IF(OR(B446="",B446&lt;TODAY()),"",COUNTIFS($B$5:$B$504,"&gt;="&amp;TODAY(),$B$5:$B$504,"&lt;"&amp;B446)+COUNTIFS($B$5:B446,B446))</f>
        <v/>
      </c>
    </row>
    <row r="447" customFormat="false" ht="15" hidden="false" customHeight="false" outlineLevel="0" collapsed="false">
      <c r="A447" s="32"/>
      <c r="B447" s="27"/>
      <c r="C447" s="29"/>
      <c r="D447" s="32"/>
      <c r="E447" s="32"/>
      <c r="F447" s="32"/>
      <c r="G447" s="31"/>
      <c r="H447" s="31"/>
      <c r="I447" s="33" t="str">
        <f aca="false">IF(G447="","",G447-H447)</f>
        <v/>
      </c>
      <c r="J447" s="33" t="str">
        <f aca="false">IF(A447="","",SUMIFS(Freelancers!$E$5:$E$504,Freelancers!$B$5:$B$504,A447))</f>
        <v/>
      </c>
      <c r="K447" s="33" t="str">
        <f aca="false">IF(A447="","",SUMIFS(Gastos!$D$5:$D$504,Gastos!$E$5:$E$504,A447))</f>
        <v/>
      </c>
      <c r="L447" s="33" t="str">
        <f aca="false">IF(G447="","",G447-N(J447)-N(K447))</f>
        <v/>
      </c>
      <c r="M447" s="34" t="str">
        <f aca="false">IF(G447="","",IF(H447&gt;=G447,"Pago",IF(H447&gt;0,"Parcial","Pendente")))</f>
        <v/>
      </c>
      <c r="N447" s="32"/>
      <c r="O447" s="35" t="str">
        <f aca="true">IF(OR(B447="",B447&lt;TODAY()),"",COUNTIFS($B$5:$B$504,"&gt;="&amp;TODAY(),$B$5:$B$504,"&lt;"&amp;B447)+COUNTIFS($B$5:B447,B447))</f>
        <v/>
      </c>
    </row>
    <row r="448" customFormat="false" ht="15" hidden="false" customHeight="false" outlineLevel="0" collapsed="false">
      <c r="A448" s="32"/>
      <c r="B448" s="27"/>
      <c r="C448" s="29"/>
      <c r="D448" s="32"/>
      <c r="E448" s="32"/>
      <c r="F448" s="32"/>
      <c r="G448" s="31"/>
      <c r="H448" s="31"/>
      <c r="I448" s="33" t="str">
        <f aca="false">IF(G448="","",G448-H448)</f>
        <v/>
      </c>
      <c r="J448" s="33" t="str">
        <f aca="false">IF(A448="","",SUMIFS(Freelancers!$E$5:$E$504,Freelancers!$B$5:$B$504,A448))</f>
        <v/>
      </c>
      <c r="K448" s="33" t="str">
        <f aca="false">IF(A448="","",SUMIFS(Gastos!$D$5:$D$504,Gastos!$E$5:$E$504,A448))</f>
        <v/>
      </c>
      <c r="L448" s="33" t="str">
        <f aca="false">IF(G448="","",G448-N(J448)-N(K448))</f>
        <v/>
      </c>
      <c r="M448" s="34" t="str">
        <f aca="false">IF(G448="","",IF(H448&gt;=G448,"Pago",IF(H448&gt;0,"Parcial","Pendente")))</f>
        <v/>
      </c>
      <c r="N448" s="32"/>
      <c r="O448" s="35" t="str">
        <f aca="true">IF(OR(B448="",B448&lt;TODAY()),"",COUNTIFS($B$5:$B$504,"&gt;="&amp;TODAY(),$B$5:$B$504,"&lt;"&amp;B448)+COUNTIFS($B$5:B448,B448))</f>
        <v/>
      </c>
    </row>
    <row r="449" customFormat="false" ht="15" hidden="false" customHeight="false" outlineLevel="0" collapsed="false">
      <c r="A449" s="32"/>
      <c r="B449" s="27"/>
      <c r="C449" s="29"/>
      <c r="D449" s="32"/>
      <c r="E449" s="32"/>
      <c r="F449" s="32"/>
      <c r="G449" s="31"/>
      <c r="H449" s="31"/>
      <c r="I449" s="33" t="str">
        <f aca="false">IF(G449="","",G449-H449)</f>
        <v/>
      </c>
      <c r="J449" s="33" t="str">
        <f aca="false">IF(A449="","",SUMIFS(Freelancers!$E$5:$E$504,Freelancers!$B$5:$B$504,A449))</f>
        <v/>
      </c>
      <c r="K449" s="33" t="str">
        <f aca="false">IF(A449="","",SUMIFS(Gastos!$D$5:$D$504,Gastos!$E$5:$E$504,A449))</f>
        <v/>
      </c>
      <c r="L449" s="33" t="str">
        <f aca="false">IF(G449="","",G449-N(J449)-N(K449))</f>
        <v/>
      </c>
      <c r="M449" s="34" t="str">
        <f aca="false">IF(G449="","",IF(H449&gt;=G449,"Pago",IF(H449&gt;0,"Parcial","Pendente")))</f>
        <v/>
      </c>
      <c r="N449" s="32"/>
      <c r="O449" s="35" t="str">
        <f aca="true">IF(OR(B449="",B449&lt;TODAY()),"",COUNTIFS($B$5:$B$504,"&gt;="&amp;TODAY(),$B$5:$B$504,"&lt;"&amp;B449)+COUNTIFS($B$5:B449,B449))</f>
        <v/>
      </c>
    </row>
    <row r="450" customFormat="false" ht="15" hidden="false" customHeight="false" outlineLevel="0" collapsed="false">
      <c r="A450" s="32"/>
      <c r="B450" s="27"/>
      <c r="C450" s="29"/>
      <c r="D450" s="32"/>
      <c r="E450" s="32"/>
      <c r="F450" s="32"/>
      <c r="G450" s="31"/>
      <c r="H450" s="31"/>
      <c r="I450" s="33" t="str">
        <f aca="false">IF(G450="","",G450-H450)</f>
        <v/>
      </c>
      <c r="J450" s="33" t="str">
        <f aca="false">IF(A450="","",SUMIFS(Freelancers!$E$5:$E$504,Freelancers!$B$5:$B$504,A450))</f>
        <v/>
      </c>
      <c r="K450" s="33" t="str">
        <f aca="false">IF(A450="","",SUMIFS(Gastos!$D$5:$D$504,Gastos!$E$5:$E$504,A450))</f>
        <v/>
      </c>
      <c r="L450" s="33" t="str">
        <f aca="false">IF(G450="","",G450-N(J450)-N(K450))</f>
        <v/>
      </c>
      <c r="M450" s="34" t="str">
        <f aca="false">IF(G450="","",IF(H450&gt;=G450,"Pago",IF(H450&gt;0,"Parcial","Pendente")))</f>
        <v/>
      </c>
      <c r="N450" s="32"/>
      <c r="O450" s="35" t="str">
        <f aca="true">IF(OR(B450="",B450&lt;TODAY()),"",COUNTIFS($B$5:$B$504,"&gt;="&amp;TODAY(),$B$5:$B$504,"&lt;"&amp;B450)+COUNTIFS($B$5:B450,B450))</f>
        <v/>
      </c>
    </row>
    <row r="451" customFormat="false" ht="15" hidden="false" customHeight="false" outlineLevel="0" collapsed="false">
      <c r="A451" s="32"/>
      <c r="B451" s="27"/>
      <c r="C451" s="29"/>
      <c r="D451" s="32"/>
      <c r="E451" s="32"/>
      <c r="F451" s="32"/>
      <c r="G451" s="31"/>
      <c r="H451" s="31"/>
      <c r="I451" s="33" t="str">
        <f aca="false">IF(G451="","",G451-H451)</f>
        <v/>
      </c>
      <c r="J451" s="33" t="str">
        <f aca="false">IF(A451="","",SUMIFS(Freelancers!$E$5:$E$504,Freelancers!$B$5:$B$504,A451))</f>
        <v/>
      </c>
      <c r="K451" s="33" t="str">
        <f aca="false">IF(A451="","",SUMIFS(Gastos!$D$5:$D$504,Gastos!$E$5:$E$504,A451))</f>
        <v/>
      </c>
      <c r="L451" s="33" t="str">
        <f aca="false">IF(G451="","",G451-N(J451)-N(K451))</f>
        <v/>
      </c>
      <c r="M451" s="34" t="str">
        <f aca="false">IF(G451="","",IF(H451&gt;=G451,"Pago",IF(H451&gt;0,"Parcial","Pendente")))</f>
        <v/>
      </c>
      <c r="N451" s="32"/>
      <c r="O451" s="35" t="str">
        <f aca="true">IF(OR(B451="",B451&lt;TODAY()),"",COUNTIFS($B$5:$B$504,"&gt;="&amp;TODAY(),$B$5:$B$504,"&lt;"&amp;B451)+COUNTIFS($B$5:B451,B451))</f>
        <v/>
      </c>
    </row>
    <row r="452" customFormat="false" ht="15" hidden="false" customHeight="false" outlineLevel="0" collapsed="false">
      <c r="A452" s="32"/>
      <c r="B452" s="27"/>
      <c r="C452" s="29"/>
      <c r="D452" s="32"/>
      <c r="E452" s="32"/>
      <c r="F452" s="32"/>
      <c r="G452" s="31"/>
      <c r="H452" s="31"/>
      <c r="I452" s="33" t="str">
        <f aca="false">IF(G452="","",G452-H452)</f>
        <v/>
      </c>
      <c r="J452" s="33" t="str">
        <f aca="false">IF(A452="","",SUMIFS(Freelancers!$E$5:$E$504,Freelancers!$B$5:$B$504,A452))</f>
        <v/>
      </c>
      <c r="K452" s="33" t="str">
        <f aca="false">IF(A452="","",SUMIFS(Gastos!$D$5:$D$504,Gastos!$E$5:$E$504,A452))</f>
        <v/>
      </c>
      <c r="L452" s="33" t="str">
        <f aca="false">IF(G452="","",G452-N(J452)-N(K452))</f>
        <v/>
      </c>
      <c r="M452" s="34" t="str">
        <f aca="false">IF(G452="","",IF(H452&gt;=G452,"Pago",IF(H452&gt;0,"Parcial","Pendente")))</f>
        <v/>
      </c>
      <c r="N452" s="32"/>
      <c r="O452" s="35" t="str">
        <f aca="true">IF(OR(B452="",B452&lt;TODAY()),"",COUNTIFS($B$5:$B$504,"&gt;="&amp;TODAY(),$B$5:$B$504,"&lt;"&amp;B452)+COUNTIFS($B$5:B452,B452))</f>
        <v/>
      </c>
    </row>
    <row r="453" customFormat="false" ht="15" hidden="false" customHeight="false" outlineLevel="0" collapsed="false">
      <c r="A453" s="32"/>
      <c r="B453" s="27"/>
      <c r="C453" s="29"/>
      <c r="D453" s="32"/>
      <c r="E453" s="32"/>
      <c r="F453" s="32"/>
      <c r="G453" s="31"/>
      <c r="H453" s="31"/>
      <c r="I453" s="33" t="str">
        <f aca="false">IF(G453="","",G453-H453)</f>
        <v/>
      </c>
      <c r="J453" s="33" t="str">
        <f aca="false">IF(A453="","",SUMIFS(Freelancers!$E$5:$E$504,Freelancers!$B$5:$B$504,A453))</f>
        <v/>
      </c>
      <c r="K453" s="33" t="str">
        <f aca="false">IF(A453="","",SUMIFS(Gastos!$D$5:$D$504,Gastos!$E$5:$E$504,A453))</f>
        <v/>
      </c>
      <c r="L453" s="33" t="str">
        <f aca="false">IF(G453="","",G453-N(J453)-N(K453))</f>
        <v/>
      </c>
      <c r="M453" s="34" t="str">
        <f aca="false">IF(G453="","",IF(H453&gt;=G453,"Pago",IF(H453&gt;0,"Parcial","Pendente")))</f>
        <v/>
      </c>
      <c r="N453" s="32"/>
      <c r="O453" s="35" t="str">
        <f aca="true">IF(OR(B453="",B453&lt;TODAY()),"",COUNTIFS($B$5:$B$504,"&gt;="&amp;TODAY(),$B$5:$B$504,"&lt;"&amp;B453)+COUNTIFS($B$5:B453,B453))</f>
        <v/>
      </c>
    </row>
    <row r="454" customFormat="false" ht="15" hidden="false" customHeight="false" outlineLevel="0" collapsed="false">
      <c r="A454" s="32"/>
      <c r="B454" s="27"/>
      <c r="C454" s="29"/>
      <c r="D454" s="32"/>
      <c r="E454" s="32"/>
      <c r="F454" s="32"/>
      <c r="G454" s="31"/>
      <c r="H454" s="31"/>
      <c r="I454" s="33" t="str">
        <f aca="false">IF(G454="","",G454-H454)</f>
        <v/>
      </c>
      <c r="J454" s="33" t="str">
        <f aca="false">IF(A454="","",SUMIFS(Freelancers!$E$5:$E$504,Freelancers!$B$5:$B$504,A454))</f>
        <v/>
      </c>
      <c r="K454" s="33" t="str">
        <f aca="false">IF(A454="","",SUMIFS(Gastos!$D$5:$D$504,Gastos!$E$5:$E$504,A454))</f>
        <v/>
      </c>
      <c r="L454" s="33" t="str">
        <f aca="false">IF(G454="","",G454-N(J454)-N(K454))</f>
        <v/>
      </c>
      <c r="M454" s="34" t="str">
        <f aca="false">IF(G454="","",IF(H454&gt;=G454,"Pago",IF(H454&gt;0,"Parcial","Pendente")))</f>
        <v/>
      </c>
      <c r="N454" s="32"/>
      <c r="O454" s="35" t="str">
        <f aca="true">IF(OR(B454="",B454&lt;TODAY()),"",COUNTIFS($B$5:$B$504,"&gt;="&amp;TODAY(),$B$5:$B$504,"&lt;"&amp;B454)+COUNTIFS($B$5:B454,B454))</f>
        <v/>
      </c>
    </row>
    <row r="455" customFormat="false" ht="15" hidden="false" customHeight="false" outlineLevel="0" collapsed="false">
      <c r="A455" s="32"/>
      <c r="B455" s="27"/>
      <c r="C455" s="29"/>
      <c r="D455" s="32"/>
      <c r="E455" s="32"/>
      <c r="F455" s="32"/>
      <c r="G455" s="31"/>
      <c r="H455" s="31"/>
      <c r="I455" s="33" t="str">
        <f aca="false">IF(G455="","",G455-H455)</f>
        <v/>
      </c>
      <c r="J455" s="33" t="str">
        <f aca="false">IF(A455="","",SUMIFS(Freelancers!$E$5:$E$504,Freelancers!$B$5:$B$504,A455))</f>
        <v/>
      </c>
      <c r="K455" s="33" t="str">
        <f aca="false">IF(A455="","",SUMIFS(Gastos!$D$5:$D$504,Gastos!$E$5:$E$504,A455))</f>
        <v/>
      </c>
      <c r="L455" s="33" t="str">
        <f aca="false">IF(G455="","",G455-N(J455)-N(K455))</f>
        <v/>
      </c>
      <c r="M455" s="34" t="str">
        <f aca="false">IF(G455="","",IF(H455&gt;=G455,"Pago",IF(H455&gt;0,"Parcial","Pendente")))</f>
        <v/>
      </c>
      <c r="N455" s="32"/>
      <c r="O455" s="35" t="str">
        <f aca="true">IF(OR(B455="",B455&lt;TODAY()),"",COUNTIFS($B$5:$B$504,"&gt;="&amp;TODAY(),$B$5:$B$504,"&lt;"&amp;B455)+COUNTIFS($B$5:B455,B455))</f>
        <v/>
      </c>
    </row>
    <row r="456" customFormat="false" ht="15" hidden="false" customHeight="false" outlineLevel="0" collapsed="false">
      <c r="A456" s="32"/>
      <c r="B456" s="27"/>
      <c r="C456" s="29"/>
      <c r="D456" s="32"/>
      <c r="E456" s="32"/>
      <c r="F456" s="32"/>
      <c r="G456" s="31"/>
      <c r="H456" s="31"/>
      <c r="I456" s="33" t="str">
        <f aca="false">IF(G456="","",G456-H456)</f>
        <v/>
      </c>
      <c r="J456" s="33" t="str">
        <f aca="false">IF(A456="","",SUMIFS(Freelancers!$E$5:$E$504,Freelancers!$B$5:$B$504,A456))</f>
        <v/>
      </c>
      <c r="K456" s="33" t="str">
        <f aca="false">IF(A456="","",SUMIFS(Gastos!$D$5:$D$504,Gastos!$E$5:$E$504,A456))</f>
        <v/>
      </c>
      <c r="L456" s="33" t="str">
        <f aca="false">IF(G456="","",G456-N(J456)-N(K456))</f>
        <v/>
      </c>
      <c r="M456" s="34" t="str">
        <f aca="false">IF(G456="","",IF(H456&gt;=G456,"Pago",IF(H456&gt;0,"Parcial","Pendente")))</f>
        <v/>
      </c>
      <c r="N456" s="32"/>
      <c r="O456" s="35" t="str">
        <f aca="true">IF(OR(B456="",B456&lt;TODAY()),"",COUNTIFS($B$5:$B$504,"&gt;="&amp;TODAY(),$B$5:$B$504,"&lt;"&amp;B456)+COUNTIFS($B$5:B456,B456))</f>
        <v/>
      </c>
    </row>
    <row r="457" customFormat="false" ht="15" hidden="false" customHeight="false" outlineLevel="0" collapsed="false">
      <c r="A457" s="32"/>
      <c r="B457" s="27"/>
      <c r="C457" s="29"/>
      <c r="D457" s="32"/>
      <c r="E457" s="32"/>
      <c r="F457" s="32"/>
      <c r="G457" s="31"/>
      <c r="H457" s="31"/>
      <c r="I457" s="33" t="str">
        <f aca="false">IF(G457="","",G457-H457)</f>
        <v/>
      </c>
      <c r="J457" s="33" t="str">
        <f aca="false">IF(A457="","",SUMIFS(Freelancers!$E$5:$E$504,Freelancers!$B$5:$B$504,A457))</f>
        <v/>
      </c>
      <c r="K457" s="33" t="str">
        <f aca="false">IF(A457="","",SUMIFS(Gastos!$D$5:$D$504,Gastos!$E$5:$E$504,A457))</f>
        <v/>
      </c>
      <c r="L457" s="33" t="str">
        <f aca="false">IF(G457="","",G457-N(J457)-N(K457))</f>
        <v/>
      </c>
      <c r="M457" s="34" t="str">
        <f aca="false">IF(G457="","",IF(H457&gt;=G457,"Pago",IF(H457&gt;0,"Parcial","Pendente")))</f>
        <v/>
      </c>
      <c r="N457" s="32"/>
      <c r="O457" s="35" t="str">
        <f aca="true">IF(OR(B457="",B457&lt;TODAY()),"",COUNTIFS($B$5:$B$504,"&gt;="&amp;TODAY(),$B$5:$B$504,"&lt;"&amp;B457)+COUNTIFS($B$5:B457,B457))</f>
        <v/>
      </c>
    </row>
    <row r="458" customFormat="false" ht="15" hidden="false" customHeight="false" outlineLevel="0" collapsed="false">
      <c r="A458" s="32"/>
      <c r="B458" s="27"/>
      <c r="C458" s="29"/>
      <c r="D458" s="32"/>
      <c r="E458" s="32"/>
      <c r="F458" s="32"/>
      <c r="G458" s="31"/>
      <c r="H458" s="31"/>
      <c r="I458" s="33" t="str">
        <f aca="false">IF(G458="","",G458-H458)</f>
        <v/>
      </c>
      <c r="J458" s="33" t="str">
        <f aca="false">IF(A458="","",SUMIFS(Freelancers!$E$5:$E$504,Freelancers!$B$5:$B$504,A458))</f>
        <v/>
      </c>
      <c r="K458" s="33" t="str">
        <f aca="false">IF(A458="","",SUMIFS(Gastos!$D$5:$D$504,Gastos!$E$5:$E$504,A458))</f>
        <v/>
      </c>
      <c r="L458" s="33" t="str">
        <f aca="false">IF(G458="","",G458-N(J458)-N(K458))</f>
        <v/>
      </c>
      <c r="M458" s="34" t="str">
        <f aca="false">IF(G458="","",IF(H458&gt;=G458,"Pago",IF(H458&gt;0,"Parcial","Pendente")))</f>
        <v/>
      </c>
      <c r="N458" s="32"/>
      <c r="O458" s="35" t="str">
        <f aca="true">IF(OR(B458="",B458&lt;TODAY()),"",COUNTIFS($B$5:$B$504,"&gt;="&amp;TODAY(),$B$5:$B$504,"&lt;"&amp;B458)+COUNTIFS($B$5:B458,B458))</f>
        <v/>
      </c>
    </row>
    <row r="459" customFormat="false" ht="15" hidden="false" customHeight="false" outlineLevel="0" collapsed="false">
      <c r="A459" s="32"/>
      <c r="B459" s="27"/>
      <c r="C459" s="29"/>
      <c r="D459" s="32"/>
      <c r="E459" s="32"/>
      <c r="F459" s="32"/>
      <c r="G459" s="31"/>
      <c r="H459" s="31"/>
      <c r="I459" s="33" t="str">
        <f aca="false">IF(G459="","",G459-H459)</f>
        <v/>
      </c>
      <c r="J459" s="33" t="str">
        <f aca="false">IF(A459="","",SUMIFS(Freelancers!$E$5:$E$504,Freelancers!$B$5:$B$504,A459))</f>
        <v/>
      </c>
      <c r="K459" s="33" t="str">
        <f aca="false">IF(A459="","",SUMIFS(Gastos!$D$5:$D$504,Gastos!$E$5:$E$504,A459))</f>
        <v/>
      </c>
      <c r="L459" s="33" t="str">
        <f aca="false">IF(G459="","",G459-N(J459)-N(K459))</f>
        <v/>
      </c>
      <c r="M459" s="34" t="str">
        <f aca="false">IF(G459="","",IF(H459&gt;=G459,"Pago",IF(H459&gt;0,"Parcial","Pendente")))</f>
        <v/>
      </c>
      <c r="N459" s="32"/>
      <c r="O459" s="35" t="str">
        <f aca="true">IF(OR(B459="",B459&lt;TODAY()),"",COUNTIFS($B$5:$B$504,"&gt;="&amp;TODAY(),$B$5:$B$504,"&lt;"&amp;B459)+COUNTIFS($B$5:B459,B459))</f>
        <v/>
      </c>
    </row>
    <row r="460" customFormat="false" ht="15" hidden="false" customHeight="false" outlineLevel="0" collapsed="false">
      <c r="A460" s="32"/>
      <c r="B460" s="27"/>
      <c r="C460" s="29"/>
      <c r="D460" s="32"/>
      <c r="E460" s="32"/>
      <c r="F460" s="32"/>
      <c r="G460" s="31"/>
      <c r="H460" s="31"/>
      <c r="I460" s="33" t="str">
        <f aca="false">IF(G460="","",G460-H460)</f>
        <v/>
      </c>
      <c r="J460" s="33" t="str">
        <f aca="false">IF(A460="","",SUMIFS(Freelancers!$E$5:$E$504,Freelancers!$B$5:$B$504,A460))</f>
        <v/>
      </c>
      <c r="K460" s="33" t="str">
        <f aca="false">IF(A460="","",SUMIFS(Gastos!$D$5:$D$504,Gastos!$E$5:$E$504,A460))</f>
        <v/>
      </c>
      <c r="L460" s="33" t="str">
        <f aca="false">IF(G460="","",G460-N(J460)-N(K460))</f>
        <v/>
      </c>
      <c r="M460" s="34" t="str">
        <f aca="false">IF(G460="","",IF(H460&gt;=G460,"Pago",IF(H460&gt;0,"Parcial","Pendente")))</f>
        <v/>
      </c>
      <c r="N460" s="32"/>
      <c r="O460" s="35" t="str">
        <f aca="true">IF(OR(B460="",B460&lt;TODAY()),"",COUNTIFS($B$5:$B$504,"&gt;="&amp;TODAY(),$B$5:$B$504,"&lt;"&amp;B460)+COUNTIFS($B$5:B460,B460))</f>
        <v/>
      </c>
    </row>
    <row r="461" customFormat="false" ht="15" hidden="false" customHeight="false" outlineLevel="0" collapsed="false">
      <c r="A461" s="32"/>
      <c r="B461" s="27"/>
      <c r="C461" s="29"/>
      <c r="D461" s="32"/>
      <c r="E461" s="32"/>
      <c r="F461" s="32"/>
      <c r="G461" s="31"/>
      <c r="H461" s="31"/>
      <c r="I461" s="33" t="str">
        <f aca="false">IF(G461="","",G461-H461)</f>
        <v/>
      </c>
      <c r="J461" s="33" t="str">
        <f aca="false">IF(A461="","",SUMIFS(Freelancers!$E$5:$E$504,Freelancers!$B$5:$B$504,A461))</f>
        <v/>
      </c>
      <c r="K461" s="33" t="str">
        <f aca="false">IF(A461="","",SUMIFS(Gastos!$D$5:$D$504,Gastos!$E$5:$E$504,A461))</f>
        <v/>
      </c>
      <c r="L461" s="33" t="str">
        <f aca="false">IF(G461="","",G461-N(J461)-N(K461))</f>
        <v/>
      </c>
      <c r="M461" s="34" t="str">
        <f aca="false">IF(G461="","",IF(H461&gt;=G461,"Pago",IF(H461&gt;0,"Parcial","Pendente")))</f>
        <v/>
      </c>
      <c r="N461" s="32"/>
      <c r="O461" s="35" t="str">
        <f aca="true">IF(OR(B461="",B461&lt;TODAY()),"",COUNTIFS($B$5:$B$504,"&gt;="&amp;TODAY(),$B$5:$B$504,"&lt;"&amp;B461)+COUNTIFS($B$5:B461,B461))</f>
        <v/>
      </c>
    </row>
    <row r="462" customFormat="false" ht="15" hidden="false" customHeight="false" outlineLevel="0" collapsed="false">
      <c r="A462" s="32"/>
      <c r="B462" s="27"/>
      <c r="C462" s="29"/>
      <c r="D462" s="32"/>
      <c r="E462" s="32"/>
      <c r="F462" s="32"/>
      <c r="G462" s="31"/>
      <c r="H462" s="31"/>
      <c r="I462" s="33" t="str">
        <f aca="false">IF(G462="","",G462-H462)</f>
        <v/>
      </c>
      <c r="J462" s="33" t="str">
        <f aca="false">IF(A462="","",SUMIFS(Freelancers!$E$5:$E$504,Freelancers!$B$5:$B$504,A462))</f>
        <v/>
      </c>
      <c r="K462" s="33" t="str">
        <f aca="false">IF(A462="","",SUMIFS(Gastos!$D$5:$D$504,Gastos!$E$5:$E$504,A462))</f>
        <v/>
      </c>
      <c r="L462" s="33" t="str">
        <f aca="false">IF(G462="","",G462-N(J462)-N(K462))</f>
        <v/>
      </c>
      <c r="M462" s="34" t="str">
        <f aca="false">IF(G462="","",IF(H462&gt;=G462,"Pago",IF(H462&gt;0,"Parcial","Pendente")))</f>
        <v/>
      </c>
      <c r="N462" s="32"/>
      <c r="O462" s="35" t="str">
        <f aca="true">IF(OR(B462="",B462&lt;TODAY()),"",COUNTIFS($B$5:$B$504,"&gt;="&amp;TODAY(),$B$5:$B$504,"&lt;"&amp;B462)+COUNTIFS($B$5:B462,B462))</f>
        <v/>
      </c>
    </row>
    <row r="463" customFormat="false" ht="15" hidden="false" customHeight="false" outlineLevel="0" collapsed="false">
      <c r="A463" s="32"/>
      <c r="B463" s="27"/>
      <c r="C463" s="29"/>
      <c r="D463" s="32"/>
      <c r="E463" s="32"/>
      <c r="F463" s="32"/>
      <c r="G463" s="31"/>
      <c r="H463" s="31"/>
      <c r="I463" s="33" t="str">
        <f aca="false">IF(G463="","",G463-H463)</f>
        <v/>
      </c>
      <c r="J463" s="33" t="str">
        <f aca="false">IF(A463="","",SUMIFS(Freelancers!$E$5:$E$504,Freelancers!$B$5:$B$504,A463))</f>
        <v/>
      </c>
      <c r="K463" s="33" t="str">
        <f aca="false">IF(A463="","",SUMIFS(Gastos!$D$5:$D$504,Gastos!$E$5:$E$504,A463))</f>
        <v/>
      </c>
      <c r="L463" s="33" t="str">
        <f aca="false">IF(G463="","",G463-N(J463)-N(K463))</f>
        <v/>
      </c>
      <c r="M463" s="34" t="str">
        <f aca="false">IF(G463="","",IF(H463&gt;=G463,"Pago",IF(H463&gt;0,"Parcial","Pendente")))</f>
        <v/>
      </c>
      <c r="N463" s="32"/>
      <c r="O463" s="35" t="str">
        <f aca="true">IF(OR(B463="",B463&lt;TODAY()),"",COUNTIFS($B$5:$B$504,"&gt;="&amp;TODAY(),$B$5:$B$504,"&lt;"&amp;B463)+COUNTIFS($B$5:B463,B463))</f>
        <v/>
      </c>
    </row>
    <row r="464" customFormat="false" ht="15" hidden="false" customHeight="false" outlineLevel="0" collapsed="false">
      <c r="A464" s="32"/>
      <c r="B464" s="27"/>
      <c r="C464" s="29"/>
      <c r="D464" s="32"/>
      <c r="E464" s="32"/>
      <c r="F464" s="32"/>
      <c r="G464" s="31"/>
      <c r="H464" s="31"/>
      <c r="I464" s="33" t="str">
        <f aca="false">IF(G464="","",G464-H464)</f>
        <v/>
      </c>
      <c r="J464" s="33" t="str">
        <f aca="false">IF(A464="","",SUMIFS(Freelancers!$E$5:$E$504,Freelancers!$B$5:$B$504,A464))</f>
        <v/>
      </c>
      <c r="K464" s="33" t="str">
        <f aca="false">IF(A464="","",SUMIFS(Gastos!$D$5:$D$504,Gastos!$E$5:$E$504,A464))</f>
        <v/>
      </c>
      <c r="L464" s="33" t="str">
        <f aca="false">IF(G464="","",G464-N(J464)-N(K464))</f>
        <v/>
      </c>
      <c r="M464" s="34" t="str">
        <f aca="false">IF(G464="","",IF(H464&gt;=G464,"Pago",IF(H464&gt;0,"Parcial","Pendente")))</f>
        <v/>
      </c>
      <c r="N464" s="32"/>
      <c r="O464" s="35" t="str">
        <f aca="true">IF(OR(B464="",B464&lt;TODAY()),"",COUNTIFS($B$5:$B$504,"&gt;="&amp;TODAY(),$B$5:$B$504,"&lt;"&amp;B464)+COUNTIFS($B$5:B464,B464))</f>
        <v/>
      </c>
    </row>
    <row r="465" customFormat="false" ht="15" hidden="false" customHeight="false" outlineLevel="0" collapsed="false">
      <c r="A465" s="32"/>
      <c r="B465" s="27"/>
      <c r="C465" s="29"/>
      <c r="D465" s="32"/>
      <c r="E465" s="32"/>
      <c r="F465" s="32"/>
      <c r="G465" s="31"/>
      <c r="H465" s="31"/>
      <c r="I465" s="33" t="str">
        <f aca="false">IF(G465="","",G465-H465)</f>
        <v/>
      </c>
      <c r="J465" s="33" t="str">
        <f aca="false">IF(A465="","",SUMIFS(Freelancers!$E$5:$E$504,Freelancers!$B$5:$B$504,A465))</f>
        <v/>
      </c>
      <c r="K465" s="33" t="str">
        <f aca="false">IF(A465="","",SUMIFS(Gastos!$D$5:$D$504,Gastos!$E$5:$E$504,A465))</f>
        <v/>
      </c>
      <c r="L465" s="33" t="str">
        <f aca="false">IF(G465="","",G465-N(J465)-N(K465))</f>
        <v/>
      </c>
      <c r="M465" s="34" t="str">
        <f aca="false">IF(G465="","",IF(H465&gt;=G465,"Pago",IF(H465&gt;0,"Parcial","Pendente")))</f>
        <v/>
      </c>
      <c r="N465" s="32"/>
      <c r="O465" s="35" t="str">
        <f aca="true">IF(OR(B465="",B465&lt;TODAY()),"",COUNTIFS($B$5:$B$504,"&gt;="&amp;TODAY(),$B$5:$B$504,"&lt;"&amp;B465)+COUNTIFS($B$5:B465,B465))</f>
        <v/>
      </c>
    </row>
    <row r="466" customFormat="false" ht="15" hidden="false" customHeight="false" outlineLevel="0" collapsed="false">
      <c r="A466" s="32"/>
      <c r="B466" s="27"/>
      <c r="C466" s="29"/>
      <c r="D466" s="32"/>
      <c r="E466" s="32"/>
      <c r="F466" s="32"/>
      <c r="G466" s="31"/>
      <c r="H466" s="31"/>
      <c r="I466" s="33" t="str">
        <f aca="false">IF(G466="","",G466-H466)</f>
        <v/>
      </c>
      <c r="J466" s="33" t="str">
        <f aca="false">IF(A466="","",SUMIFS(Freelancers!$E$5:$E$504,Freelancers!$B$5:$B$504,A466))</f>
        <v/>
      </c>
      <c r="K466" s="33" t="str">
        <f aca="false">IF(A466="","",SUMIFS(Gastos!$D$5:$D$504,Gastos!$E$5:$E$504,A466))</f>
        <v/>
      </c>
      <c r="L466" s="33" t="str">
        <f aca="false">IF(G466="","",G466-N(J466)-N(K466))</f>
        <v/>
      </c>
      <c r="M466" s="34" t="str">
        <f aca="false">IF(G466="","",IF(H466&gt;=G466,"Pago",IF(H466&gt;0,"Parcial","Pendente")))</f>
        <v/>
      </c>
      <c r="N466" s="32"/>
      <c r="O466" s="35" t="str">
        <f aca="true">IF(OR(B466="",B466&lt;TODAY()),"",COUNTIFS($B$5:$B$504,"&gt;="&amp;TODAY(),$B$5:$B$504,"&lt;"&amp;B466)+COUNTIFS($B$5:B466,B466))</f>
        <v/>
      </c>
    </row>
    <row r="467" customFormat="false" ht="15" hidden="false" customHeight="false" outlineLevel="0" collapsed="false">
      <c r="A467" s="32"/>
      <c r="B467" s="27"/>
      <c r="C467" s="29"/>
      <c r="D467" s="32"/>
      <c r="E467" s="32"/>
      <c r="F467" s="32"/>
      <c r="G467" s="31"/>
      <c r="H467" s="31"/>
      <c r="I467" s="33" t="str">
        <f aca="false">IF(G467="","",G467-H467)</f>
        <v/>
      </c>
      <c r="J467" s="33" t="str">
        <f aca="false">IF(A467="","",SUMIFS(Freelancers!$E$5:$E$504,Freelancers!$B$5:$B$504,A467))</f>
        <v/>
      </c>
      <c r="K467" s="33" t="str">
        <f aca="false">IF(A467="","",SUMIFS(Gastos!$D$5:$D$504,Gastos!$E$5:$E$504,A467))</f>
        <v/>
      </c>
      <c r="L467" s="33" t="str">
        <f aca="false">IF(G467="","",G467-N(J467)-N(K467))</f>
        <v/>
      </c>
      <c r="M467" s="34" t="str">
        <f aca="false">IF(G467="","",IF(H467&gt;=G467,"Pago",IF(H467&gt;0,"Parcial","Pendente")))</f>
        <v/>
      </c>
      <c r="N467" s="32"/>
      <c r="O467" s="35" t="str">
        <f aca="true">IF(OR(B467="",B467&lt;TODAY()),"",COUNTIFS($B$5:$B$504,"&gt;="&amp;TODAY(),$B$5:$B$504,"&lt;"&amp;B467)+COUNTIFS($B$5:B467,B467))</f>
        <v/>
      </c>
    </row>
    <row r="468" customFormat="false" ht="15" hidden="false" customHeight="false" outlineLevel="0" collapsed="false">
      <c r="A468" s="32"/>
      <c r="B468" s="27"/>
      <c r="C468" s="29"/>
      <c r="D468" s="32"/>
      <c r="E468" s="32"/>
      <c r="F468" s="32"/>
      <c r="G468" s="31"/>
      <c r="H468" s="31"/>
      <c r="I468" s="33" t="str">
        <f aca="false">IF(G468="","",G468-H468)</f>
        <v/>
      </c>
      <c r="J468" s="33" t="str">
        <f aca="false">IF(A468="","",SUMIFS(Freelancers!$E$5:$E$504,Freelancers!$B$5:$B$504,A468))</f>
        <v/>
      </c>
      <c r="K468" s="33" t="str">
        <f aca="false">IF(A468="","",SUMIFS(Gastos!$D$5:$D$504,Gastos!$E$5:$E$504,A468))</f>
        <v/>
      </c>
      <c r="L468" s="33" t="str">
        <f aca="false">IF(G468="","",G468-N(J468)-N(K468))</f>
        <v/>
      </c>
      <c r="M468" s="34" t="str">
        <f aca="false">IF(G468="","",IF(H468&gt;=G468,"Pago",IF(H468&gt;0,"Parcial","Pendente")))</f>
        <v/>
      </c>
      <c r="N468" s="32"/>
      <c r="O468" s="35" t="str">
        <f aca="true">IF(OR(B468="",B468&lt;TODAY()),"",COUNTIFS($B$5:$B$504,"&gt;="&amp;TODAY(),$B$5:$B$504,"&lt;"&amp;B468)+COUNTIFS($B$5:B468,B468))</f>
        <v/>
      </c>
    </row>
    <row r="469" customFormat="false" ht="15" hidden="false" customHeight="false" outlineLevel="0" collapsed="false">
      <c r="A469" s="32"/>
      <c r="B469" s="27"/>
      <c r="C469" s="29"/>
      <c r="D469" s="32"/>
      <c r="E469" s="32"/>
      <c r="F469" s="32"/>
      <c r="G469" s="31"/>
      <c r="H469" s="31"/>
      <c r="I469" s="33" t="str">
        <f aca="false">IF(G469="","",G469-H469)</f>
        <v/>
      </c>
      <c r="J469" s="33" t="str">
        <f aca="false">IF(A469="","",SUMIFS(Freelancers!$E$5:$E$504,Freelancers!$B$5:$B$504,A469))</f>
        <v/>
      </c>
      <c r="K469" s="33" t="str">
        <f aca="false">IF(A469="","",SUMIFS(Gastos!$D$5:$D$504,Gastos!$E$5:$E$504,A469))</f>
        <v/>
      </c>
      <c r="L469" s="33" t="str">
        <f aca="false">IF(G469="","",G469-N(J469)-N(K469))</f>
        <v/>
      </c>
      <c r="M469" s="34" t="str">
        <f aca="false">IF(G469="","",IF(H469&gt;=G469,"Pago",IF(H469&gt;0,"Parcial","Pendente")))</f>
        <v/>
      </c>
      <c r="N469" s="32"/>
      <c r="O469" s="35" t="str">
        <f aca="true">IF(OR(B469="",B469&lt;TODAY()),"",COUNTIFS($B$5:$B$504,"&gt;="&amp;TODAY(),$B$5:$B$504,"&lt;"&amp;B469)+COUNTIFS($B$5:B469,B469))</f>
        <v/>
      </c>
    </row>
    <row r="470" customFormat="false" ht="15" hidden="false" customHeight="false" outlineLevel="0" collapsed="false">
      <c r="A470" s="32"/>
      <c r="B470" s="27"/>
      <c r="C470" s="29"/>
      <c r="D470" s="32"/>
      <c r="E470" s="32"/>
      <c r="F470" s="32"/>
      <c r="G470" s="31"/>
      <c r="H470" s="31"/>
      <c r="I470" s="33" t="str">
        <f aca="false">IF(G470="","",G470-H470)</f>
        <v/>
      </c>
      <c r="J470" s="33" t="str">
        <f aca="false">IF(A470="","",SUMIFS(Freelancers!$E$5:$E$504,Freelancers!$B$5:$B$504,A470))</f>
        <v/>
      </c>
      <c r="K470" s="33" t="str">
        <f aca="false">IF(A470="","",SUMIFS(Gastos!$D$5:$D$504,Gastos!$E$5:$E$504,A470))</f>
        <v/>
      </c>
      <c r="L470" s="33" t="str">
        <f aca="false">IF(G470="","",G470-N(J470)-N(K470))</f>
        <v/>
      </c>
      <c r="M470" s="34" t="str">
        <f aca="false">IF(G470="","",IF(H470&gt;=G470,"Pago",IF(H470&gt;0,"Parcial","Pendente")))</f>
        <v/>
      </c>
      <c r="N470" s="32"/>
      <c r="O470" s="35" t="str">
        <f aca="true">IF(OR(B470="",B470&lt;TODAY()),"",COUNTIFS($B$5:$B$504,"&gt;="&amp;TODAY(),$B$5:$B$504,"&lt;"&amp;B470)+COUNTIFS($B$5:B470,B470))</f>
        <v/>
      </c>
    </row>
    <row r="471" customFormat="false" ht="15" hidden="false" customHeight="false" outlineLevel="0" collapsed="false">
      <c r="A471" s="32"/>
      <c r="B471" s="27"/>
      <c r="C471" s="29"/>
      <c r="D471" s="32"/>
      <c r="E471" s="32"/>
      <c r="F471" s="32"/>
      <c r="G471" s="31"/>
      <c r="H471" s="31"/>
      <c r="I471" s="33" t="str">
        <f aca="false">IF(G471="","",G471-H471)</f>
        <v/>
      </c>
      <c r="J471" s="33" t="str">
        <f aca="false">IF(A471="","",SUMIFS(Freelancers!$E$5:$E$504,Freelancers!$B$5:$B$504,A471))</f>
        <v/>
      </c>
      <c r="K471" s="33" t="str">
        <f aca="false">IF(A471="","",SUMIFS(Gastos!$D$5:$D$504,Gastos!$E$5:$E$504,A471))</f>
        <v/>
      </c>
      <c r="L471" s="33" t="str">
        <f aca="false">IF(G471="","",G471-N(J471)-N(K471))</f>
        <v/>
      </c>
      <c r="M471" s="34" t="str">
        <f aca="false">IF(G471="","",IF(H471&gt;=G471,"Pago",IF(H471&gt;0,"Parcial","Pendente")))</f>
        <v/>
      </c>
      <c r="N471" s="32"/>
      <c r="O471" s="35" t="str">
        <f aca="true">IF(OR(B471="",B471&lt;TODAY()),"",COUNTIFS($B$5:$B$504,"&gt;="&amp;TODAY(),$B$5:$B$504,"&lt;"&amp;B471)+COUNTIFS($B$5:B471,B471))</f>
        <v/>
      </c>
    </row>
    <row r="472" customFormat="false" ht="15" hidden="false" customHeight="false" outlineLevel="0" collapsed="false">
      <c r="A472" s="32"/>
      <c r="B472" s="27"/>
      <c r="C472" s="29"/>
      <c r="D472" s="32"/>
      <c r="E472" s="32"/>
      <c r="F472" s="32"/>
      <c r="G472" s="31"/>
      <c r="H472" s="31"/>
      <c r="I472" s="33" t="str">
        <f aca="false">IF(G472="","",G472-H472)</f>
        <v/>
      </c>
      <c r="J472" s="33" t="str">
        <f aca="false">IF(A472="","",SUMIFS(Freelancers!$E$5:$E$504,Freelancers!$B$5:$B$504,A472))</f>
        <v/>
      </c>
      <c r="K472" s="33" t="str">
        <f aca="false">IF(A472="","",SUMIFS(Gastos!$D$5:$D$504,Gastos!$E$5:$E$504,A472))</f>
        <v/>
      </c>
      <c r="L472" s="33" t="str">
        <f aca="false">IF(G472="","",G472-N(J472)-N(K472))</f>
        <v/>
      </c>
      <c r="M472" s="34" t="str">
        <f aca="false">IF(G472="","",IF(H472&gt;=G472,"Pago",IF(H472&gt;0,"Parcial","Pendente")))</f>
        <v/>
      </c>
      <c r="N472" s="32"/>
      <c r="O472" s="35" t="str">
        <f aca="true">IF(OR(B472="",B472&lt;TODAY()),"",COUNTIFS($B$5:$B$504,"&gt;="&amp;TODAY(),$B$5:$B$504,"&lt;"&amp;B472)+COUNTIFS($B$5:B472,B472))</f>
        <v/>
      </c>
    </row>
    <row r="473" customFormat="false" ht="15" hidden="false" customHeight="false" outlineLevel="0" collapsed="false">
      <c r="A473" s="32"/>
      <c r="B473" s="27"/>
      <c r="C473" s="29"/>
      <c r="D473" s="32"/>
      <c r="E473" s="32"/>
      <c r="F473" s="32"/>
      <c r="G473" s="31"/>
      <c r="H473" s="31"/>
      <c r="I473" s="33" t="str">
        <f aca="false">IF(G473="","",G473-H473)</f>
        <v/>
      </c>
      <c r="J473" s="33" t="str">
        <f aca="false">IF(A473="","",SUMIFS(Freelancers!$E$5:$E$504,Freelancers!$B$5:$B$504,A473))</f>
        <v/>
      </c>
      <c r="K473" s="33" t="str">
        <f aca="false">IF(A473="","",SUMIFS(Gastos!$D$5:$D$504,Gastos!$E$5:$E$504,A473))</f>
        <v/>
      </c>
      <c r="L473" s="33" t="str">
        <f aca="false">IF(G473="","",G473-N(J473)-N(K473))</f>
        <v/>
      </c>
      <c r="M473" s="34" t="str">
        <f aca="false">IF(G473="","",IF(H473&gt;=G473,"Pago",IF(H473&gt;0,"Parcial","Pendente")))</f>
        <v/>
      </c>
      <c r="N473" s="32"/>
      <c r="O473" s="35" t="str">
        <f aca="true">IF(OR(B473="",B473&lt;TODAY()),"",COUNTIFS($B$5:$B$504,"&gt;="&amp;TODAY(),$B$5:$B$504,"&lt;"&amp;B473)+COUNTIFS($B$5:B473,B473))</f>
        <v/>
      </c>
    </row>
    <row r="474" customFormat="false" ht="15" hidden="false" customHeight="false" outlineLevel="0" collapsed="false">
      <c r="A474" s="32"/>
      <c r="B474" s="27"/>
      <c r="C474" s="29"/>
      <c r="D474" s="32"/>
      <c r="E474" s="32"/>
      <c r="F474" s="32"/>
      <c r="G474" s="31"/>
      <c r="H474" s="31"/>
      <c r="I474" s="33" t="str">
        <f aca="false">IF(G474="","",G474-H474)</f>
        <v/>
      </c>
      <c r="J474" s="33" t="str">
        <f aca="false">IF(A474="","",SUMIFS(Freelancers!$E$5:$E$504,Freelancers!$B$5:$B$504,A474))</f>
        <v/>
      </c>
      <c r="K474" s="33" t="str">
        <f aca="false">IF(A474="","",SUMIFS(Gastos!$D$5:$D$504,Gastos!$E$5:$E$504,A474))</f>
        <v/>
      </c>
      <c r="L474" s="33" t="str">
        <f aca="false">IF(G474="","",G474-N(J474)-N(K474))</f>
        <v/>
      </c>
      <c r="M474" s="34" t="str">
        <f aca="false">IF(G474="","",IF(H474&gt;=G474,"Pago",IF(H474&gt;0,"Parcial","Pendente")))</f>
        <v/>
      </c>
      <c r="N474" s="32"/>
      <c r="O474" s="35" t="str">
        <f aca="true">IF(OR(B474="",B474&lt;TODAY()),"",COUNTIFS($B$5:$B$504,"&gt;="&amp;TODAY(),$B$5:$B$504,"&lt;"&amp;B474)+COUNTIFS($B$5:B474,B474))</f>
        <v/>
      </c>
    </row>
    <row r="475" customFormat="false" ht="15" hidden="false" customHeight="false" outlineLevel="0" collapsed="false">
      <c r="A475" s="32"/>
      <c r="B475" s="27"/>
      <c r="C475" s="29"/>
      <c r="D475" s="32"/>
      <c r="E475" s="32"/>
      <c r="F475" s="32"/>
      <c r="G475" s="31"/>
      <c r="H475" s="31"/>
      <c r="I475" s="33" t="str">
        <f aca="false">IF(G475="","",G475-H475)</f>
        <v/>
      </c>
      <c r="J475" s="33" t="str">
        <f aca="false">IF(A475="","",SUMIFS(Freelancers!$E$5:$E$504,Freelancers!$B$5:$B$504,A475))</f>
        <v/>
      </c>
      <c r="K475" s="33" t="str">
        <f aca="false">IF(A475="","",SUMIFS(Gastos!$D$5:$D$504,Gastos!$E$5:$E$504,A475))</f>
        <v/>
      </c>
      <c r="L475" s="33" t="str">
        <f aca="false">IF(G475="","",G475-N(J475)-N(K475))</f>
        <v/>
      </c>
      <c r="M475" s="34" t="str">
        <f aca="false">IF(G475="","",IF(H475&gt;=G475,"Pago",IF(H475&gt;0,"Parcial","Pendente")))</f>
        <v/>
      </c>
      <c r="N475" s="32"/>
      <c r="O475" s="35" t="str">
        <f aca="true">IF(OR(B475="",B475&lt;TODAY()),"",COUNTIFS($B$5:$B$504,"&gt;="&amp;TODAY(),$B$5:$B$504,"&lt;"&amp;B475)+COUNTIFS($B$5:B475,B475))</f>
        <v/>
      </c>
    </row>
    <row r="476" customFormat="false" ht="15" hidden="false" customHeight="false" outlineLevel="0" collapsed="false">
      <c r="A476" s="32"/>
      <c r="B476" s="27"/>
      <c r="C476" s="29"/>
      <c r="D476" s="32"/>
      <c r="E476" s="32"/>
      <c r="F476" s="32"/>
      <c r="G476" s="31"/>
      <c r="H476" s="31"/>
      <c r="I476" s="33" t="str">
        <f aca="false">IF(G476="","",G476-H476)</f>
        <v/>
      </c>
      <c r="J476" s="33" t="str">
        <f aca="false">IF(A476="","",SUMIFS(Freelancers!$E$5:$E$504,Freelancers!$B$5:$B$504,A476))</f>
        <v/>
      </c>
      <c r="K476" s="33" t="str">
        <f aca="false">IF(A476="","",SUMIFS(Gastos!$D$5:$D$504,Gastos!$E$5:$E$504,A476))</f>
        <v/>
      </c>
      <c r="L476" s="33" t="str">
        <f aca="false">IF(G476="","",G476-N(J476)-N(K476))</f>
        <v/>
      </c>
      <c r="M476" s="34" t="str">
        <f aca="false">IF(G476="","",IF(H476&gt;=G476,"Pago",IF(H476&gt;0,"Parcial","Pendente")))</f>
        <v/>
      </c>
      <c r="N476" s="32"/>
      <c r="O476" s="35" t="str">
        <f aca="true">IF(OR(B476="",B476&lt;TODAY()),"",COUNTIFS($B$5:$B$504,"&gt;="&amp;TODAY(),$B$5:$B$504,"&lt;"&amp;B476)+COUNTIFS($B$5:B476,B476))</f>
        <v/>
      </c>
    </row>
    <row r="477" customFormat="false" ht="15" hidden="false" customHeight="false" outlineLevel="0" collapsed="false">
      <c r="A477" s="32"/>
      <c r="B477" s="27"/>
      <c r="C477" s="29"/>
      <c r="D477" s="32"/>
      <c r="E477" s="32"/>
      <c r="F477" s="32"/>
      <c r="G477" s="31"/>
      <c r="H477" s="31"/>
      <c r="I477" s="33" t="str">
        <f aca="false">IF(G477="","",G477-H477)</f>
        <v/>
      </c>
      <c r="J477" s="33" t="str">
        <f aca="false">IF(A477="","",SUMIFS(Freelancers!$E$5:$E$504,Freelancers!$B$5:$B$504,A477))</f>
        <v/>
      </c>
      <c r="K477" s="33" t="str">
        <f aca="false">IF(A477="","",SUMIFS(Gastos!$D$5:$D$504,Gastos!$E$5:$E$504,A477))</f>
        <v/>
      </c>
      <c r="L477" s="33" t="str">
        <f aca="false">IF(G477="","",G477-N(J477)-N(K477))</f>
        <v/>
      </c>
      <c r="M477" s="34" t="str">
        <f aca="false">IF(G477="","",IF(H477&gt;=G477,"Pago",IF(H477&gt;0,"Parcial","Pendente")))</f>
        <v/>
      </c>
      <c r="N477" s="32"/>
      <c r="O477" s="35" t="str">
        <f aca="true">IF(OR(B477="",B477&lt;TODAY()),"",COUNTIFS($B$5:$B$504,"&gt;="&amp;TODAY(),$B$5:$B$504,"&lt;"&amp;B477)+COUNTIFS($B$5:B477,B477))</f>
        <v/>
      </c>
    </row>
    <row r="478" customFormat="false" ht="15" hidden="false" customHeight="false" outlineLevel="0" collapsed="false">
      <c r="A478" s="32"/>
      <c r="B478" s="27"/>
      <c r="C478" s="29"/>
      <c r="D478" s="32"/>
      <c r="E478" s="32"/>
      <c r="F478" s="32"/>
      <c r="G478" s="31"/>
      <c r="H478" s="31"/>
      <c r="I478" s="33" t="str">
        <f aca="false">IF(G478="","",G478-H478)</f>
        <v/>
      </c>
      <c r="J478" s="33" t="str">
        <f aca="false">IF(A478="","",SUMIFS(Freelancers!$E$5:$E$504,Freelancers!$B$5:$B$504,A478))</f>
        <v/>
      </c>
      <c r="K478" s="33" t="str">
        <f aca="false">IF(A478="","",SUMIFS(Gastos!$D$5:$D$504,Gastos!$E$5:$E$504,A478))</f>
        <v/>
      </c>
      <c r="L478" s="33" t="str">
        <f aca="false">IF(G478="","",G478-N(J478)-N(K478))</f>
        <v/>
      </c>
      <c r="M478" s="34" t="str">
        <f aca="false">IF(G478="","",IF(H478&gt;=G478,"Pago",IF(H478&gt;0,"Parcial","Pendente")))</f>
        <v/>
      </c>
      <c r="N478" s="32"/>
      <c r="O478" s="35" t="str">
        <f aca="true">IF(OR(B478="",B478&lt;TODAY()),"",COUNTIFS($B$5:$B$504,"&gt;="&amp;TODAY(),$B$5:$B$504,"&lt;"&amp;B478)+COUNTIFS($B$5:B478,B478))</f>
        <v/>
      </c>
    </row>
    <row r="479" customFormat="false" ht="15" hidden="false" customHeight="false" outlineLevel="0" collapsed="false">
      <c r="A479" s="32"/>
      <c r="B479" s="27"/>
      <c r="C479" s="29"/>
      <c r="D479" s="32"/>
      <c r="E479" s="32"/>
      <c r="F479" s="32"/>
      <c r="G479" s="31"/>
      <c r="H479" s="31"/>
      <c r="I479" s="33" t="str">
        <f aca="false">IF(G479="","",G479-H479)</f>
        <v/>
      </c>
      <c r="J479" s="33" t="str">
        <f aca="false">IF(A479="","",SUMIFS(Freelancers!$E$5:$E$504,Freelancers!$B$5:$B$504,A479))</f>
        <v/>
      </c>
      <c r="K479" s="33" t="str">
        <f aca="false">IF(A479="","",SUMIFS(Gastos!$D$5:$D$504,Gastos!$E$5:$E$504,A479))</f>
        <v/>
      </c>
      <c r="L479" s="33" t="str">
        <f aca="false">IF(G479="","",G479-N(J479)-N(K479))</f>
        <v/>
      </c>
      <c r="M479" s="34" t="str">
        <f aca="false">IF(G479="","",IF(H479&gt;=G479,"Pago",IF(H479&gt;0,"Parcial","Pendente")))</f>
        <v/>
      </c>
      <c r="N479" s="32"/>
      <c r="O479" s="35" t="str">
        <f aca="true">IF(OR(B479="",B479&lt;TODAY()),"",COUNTIFS($B$5:$B$504,"&gt;="&amp;TODAY(),$B$5:$B$504,"&lt;"&amp;B479)+COUNTIFS($B$5:B479,B479))</f>
        <v/>
      </c>
    </row>
    <row r="480" customFormat="false" ht="15" hidden="false" customHeight="false" outlineLevel="0" collapsed="false">
      <c r="A480" s="32"/>
      <c r="B480" s="27"/>
      <c r="C480" s="29"/>
      <c r="D480" s="32"/>
      <c r="E480" s="32"/>
      <c r="F480" s="32"/>
      <c r="G480" s="31"/>
      <c r="H480" s="31"/>
      <c r="I480" s="33" t="str">
        <f aca="false">IF(G480="","",G480-H480)</f>
        <v/>
      </c>
      <c r="J480" s="33" t="str">
        <f aca="false">IF(A480="","",SUMIFS(Freelancers!$E$5:$E$504,Freelancers!$B$5:$B$504,A480))</f>
        <v/>
      </c>
      <c r="K480" s="33" t="str">
        <f aca="false">IF(A480="","",SUMIFS(Gastos!$D$5:$D$504,Gastos!$E$5:$E$504,A480))</f>
        <v/>
      </c>
      <c r="L480" s="33" t="str">
        <f aca="false">IF(G480="","",G480-N(J480)-N(K480))</f>
        <v/>
      </c>
      <c r="M480" s="34" t="str">
        <f aca="false">IF(G480="","",IF(H480&gt;=G480,"Pago",IF(H480&gt;0,"Parcial","Pendente")))</f>
        <v/>
      </c>
      <c r="N480" s="32"/>
      <c r="O480" s="35" t="str">
        <f aca="true">IF(OR(B480="",B480&lt;TODAY()),"",COUNTIFS($B$5:$B$504,"&gt;="&amp;TODAY(),$B$5:$B$504,"&lt;"&amp;B480)+COUNTIFS($B$5:B480,B480))</f>
        <v/>
      </c>
    </row>
    <row r="481" customFormat="false" ht="15" hidden="false" customHeight="false" outlineLevel="0" collapsed="false">
      <c r="A481" s="32"/>
      <c r="B481" s="27"/>
      <c r="C481" s="29"/>
      <c r="D481" s="32"/>
      <c r="E481" s="32"/>
      <c r="F481" s="32"/>
      <c r="G481" s="31"/>
      <c r="H481" s="31"/>
      <c r="I481" s="33" t="str">
        <f aca="false">IF(G481="","",G481-H481)</f>
        <v/>
      </c>
      <c r="J481" s="33" t="str">
        <f aca="false">IF(A481="","",SUMIFS(Freelancers!$E$5:$E$504,Freelancers!$B$5:$B$504,A481))</f>
        <v/>
      </c>
      <c r="K481" s="33" t="str">
        <f aca="false">IF(A481="","",SUMIFS(Gastos!$D$5:$D$504,Gastos!$E$5:$E$504,A481))</f>
        <v/>
      </c>
      <c r="L481" s="33" t="str">
        <f aca="false">IF(G481="","",G481-N(J481)-N(K481))</f>
        <v/>
      </c>
      <c r="M481" s="34" t="str">
        <f aca="false">IF(G481="","",IF(H481&gt;=G481,"Pago",IF(H481&gt;0,"Parcial","Pendente")))</f>
        <v/>
      </c>
      <c r="N481" s="32"/>
      <c r="O481" s="35" t="str">
        <f aca="true">IF(OR(B481="",B481&lt;TODAY()),"",COUNTIFS($B$5:$B$504,"&gt;="&amp;TODAY(),$B$5:$B$504,"&lt;"&amp;B481)+COUNTIFS($B$5:B481,B481))</f>
        <v/>
      </c>
    </row>
    <row r="482" customFormat="false" ht="15" hidden="false" customHeight="false" outlineLevel="0" collapsed="false">
      <c r="A482" s="32"/>
      <c r="B482" s="27"/>
      <c r="C482" s="29"/>
      <c r="D482" s="32"/>
      <c r="E482" s="32"/>
      <c r="F482" s="32"/>
      <c r="G482" s="31"/>
      <c r="H482" s="31"/>
      <c r="I482" s="33" t="str">
        <f aca="false">IF(G482="","",G482-H482)</f>
        <v/>
      </c>
      <c r="J482" s="33" t="str">
        <f aca="false">IF(A482="","",SUMIFS(Freelancers!$E$5:$E$504,Freelancers!$B$5:$B$504,A482))</f>
        <v/>
      </c>
      <c r="K482" s="33" t="str">
        <f aca="false">IF(A482="","",SUMIFS(Gastos!$D$5:$D$504,Gastos!$E$5:$E$504,A482))</f>
        <v/>
      </c>
      <c r="L482" s="33" t="str">
        <f aca="false">IF(G482="","",G482-N(J482)-N(K482))</f>
        <v/>
      </c>
      <c r="M482" s="34" t="str">
        <f aca="false">IF(G482="","",IF(H482&gt;=G482,"Pago",IF(H482&gt;0,"Parcial","Pendente")))</f>
        <v/>
      </c>
      <c r="N482" s="32"/>
      <c r="O482" s="35" t="str">
        <f aca="true">IF(OR(B482="",B482&lt;TODAY()),"",COUNTIFS($B$5:$B$504,"&gt;="&amp;TODAY(),$B$5:$B$504,"&lt;"&amp;B482)+COUNTIFS($B$5:B482,B482))</f>
        <v/>
      </c>
    </row>
    <row r="483" customFormat="false" ht="15" hidden="false" customHeight="false" outlineLevel="0" collapsed="false">
      <c r="A483" s="32"/>
      <c r="B483" s="27"/>
      <c r="C483" s="29"/>
      <c r="D483" s="32"/>
      <c r="E483" s="32"/>
      <c r="F483" s="32"/>
      <c r="G483" s="31"/>
      <c r="H483" s="31"/>
      <c r="I483" s="33" t="str">
        <f aca="false">IF(G483="","",G483-H483)</f>
        <v/>
      </c>
      <c r="J483" s="33" t="str">
        <f aca="false">IF(A483="","",SUMIFS(Freelancers!$E$5:$E$504,Freelancers!$B$5:$B$504,A483))</f>
        <v/>
      </c>
      <c r="K483" s="33" t="str">
        <f aca="false">IF(A483="","",SUMIFS(Gastos!$D$5:$D$504,Gastos!$E$5:$E$504,A483))</f>
        <v/>
      </c>
      <c r="L483" s="33" t="str">
        <f aca="false">IF(G483="","",G483-N(J483)-N(K483))</f>
        <v/>
      </c>
      <c r="M483" s="34" t="str">
        <f aca="false">IF(G483="","",IF(H483&gt;=G483,"Pago",IF(H483&gt;0,"Parcial","Pendente")))</f>
        <v/>
      </c>
      <c r="N483" s="32"/>
      <c r="O483" s="35" t="str">
        <f aca="true">IF(OR(B483="",B483&lt;TODAY()),"",COUNTIFS($B$5:$B$504,"&gt;="&amp;TODAY(),$B$5:$B$504,"&lt;"&amp;B483)+COUNTIFS($B$5:B483,B483))</f>
        <v/>
      </c>
    </row>
    <row r="484" customFormat="false" ht="15" hidden="false" customHeight="false" outlineLevel="0" collapsed="false">
      <c r="A484" s="32"/>
      <c r="B484" s="27"/>
      <c r="C484" s="29"/>
      <c r="D484" s="32"/>
      <c r="E484" s="32"/>
      <c r="F484" s="32"/>
      <c r="G484" s="31"/>
      <c r="H484" s="31"/>
      <c r="I484" s="33" t="str">
        <f aca="false">IF(G484="","",G484-H484)</f>
        <v/>
      </c>
      <c r="J484" s="33" t="str">
        <f aca="false">IF(A484="","",SUMIFS(Freelancers!$E$5:$E$504,Freelancers!$B$5:$B$504,A484))</f>
        <v/>
      </c>
      <c r="K484" s="33" t="str">
        <f aca="false">IF(A484="","",SUMIFS(Gastos!$D$5:$D$504,Gastos!$E$5:$E$504,A484))</f>
        <v/>
      </c>
      <c r="L484" s="33" t="str">
        <f aca="false">IF(G484="","",G484-N(J484)-N(K484))</f>
        <v/>
      </c>
      <c r="M484" s="34" t="str">
        <f aca="false">IF(G484="","",IF(H484&gt;=G484,"Pago",IF(H484&gt;0,"Parcial","Pendente")))</f>
        <v/>
      </c>
      <c r="N484" s="32"/>
      <c r="O484" s="35" t="str">
        <f aca="true">IF(OR(B484="",B484&lt;TODAY()),"",COUNTIFS($B$5:$B$504,"&gt;="&amp;TODAY(),$B$5:$B$504,"&lt;"&amp;B484)+COUNTIFS($B$5:B484,B484))</f>
        <v/>
      </c>
    </row>
    <row r="485" customFormat="false" ht="15" hidden="false" customHeight="false" outlineLevel="0" collapsed="false">
      <c r="A485" s="32"/>
      <c r="B485" s="27"/>
      <c r="C485" s="29"/>
      <c r="D485" s="32"/>
      <c r="E485" s="32"/>
      <c r="F485" s="32"/>
      <c r="G485" s="31"/>
      <c r="H485" s="31"/>
      <c r="I485" s="33" t="str">
        <f aca="false">IF(G485="","",G485-H485)</f>
        <v/>
      </c>
      <c r="J485" s="33" t="str">
        <f aca="false">IF(A485="","",SUMIFS(Freelancers!$E$5:$E$504,Freelancers!$B$5:$B$504,A485))</f>
        <v/>
      </c>
      <c r="K485" s="33" t="str">
        <f aca="false">IF(A485="","",SUMIFS(Gastos!$D$5:$D$504,Gastos!$E$5:$E$504,A485))</f>
        <v/>
      </c>
      <c r="L485" s="33" t="str">
        <f aca="false">IF(G485="","",G485-N(J485)-N(K485))</f>
        <v/>
      </c>
      <c r="M485" s="34" t="str">
        <f aca="false">IF(G485="","",IF(H485&gt;=G485,"Pago",IF(H485&gt;0,"Parcial","Pendente")))</f>
        <v/>
      </c>
      <c r="N485" s="32"/>
      <c r="O485" s="35" t="str">
        <f aca="true">IF(OR(B485="",B485&lt;TODAY()),"",COUNTIFS($B$5:$B$504,"&gt;="&amp;TODAY(),$B$5:$B$504,"&lt;"&amp;B485)+COUNTIFS($B$5:B485,B485))</f>
        <v/>
      </c>
    </row>
    <row r="486" customFormat="false" ht="15" hidden="false" customHeight="false" outlineLevel="0" collapsed="false">
      <c r="A486" s="32"/>
      <c r="B486" s="27"/>
      <c r="C486" s="29"/>
      <c r="D486" s="32"/>
      <c r="E486" s="32"/>
      <c r="F486" s="32"/>
      <c r="G486" s="31"/>
      <c r="H486" s="31"/>
      <c r="I486" s="33" t="str">
        <f aca="false">IF(G486="","",G486-H486)</f>
        <v/>
      </c>
      <c r="J486" s="33" t="str">
        <f aca="false">IF(A486="","",SUMIFS(Freelancers!$E$5:$E$504,Freelancers!$B$5:$B$504,A486))</f>
        <v/>
      </c>
      <c r="K486" s="33" t="str">
        <f aca="false">IF(A486="","",SUMIFS(Gastos!$D$5:$D$504,Gastos!$E$5:$E$504,A486))</f>
        <v/>
      </c>
      <c r="L486" s="33" t="str">
        <f aca="false">IF(G486="","",G486-N(J486)-N(K486))</f>
        <v/>
      </c>
      <c r="M486" s="34" t="str">
        <f aca="false">IF(G486="","",IF(H486&gt;=G486,"Pago",IF(H486&gt;0,"Parcial","Pendente")))</f>
        <v/>
      </c>
      <c r="N486" s="32"/>
      <c r="O486" s="35" t="str">
        <f aca="true">IF(OR(B486="",B486&lt;TODAY()),"",COUNTIFS($B$5:$B$504,"&gt;="&amp;TODAY(),$B$5:$B$504,"&lt;"&amp;B486)+COUNTIFS($B$5:B486,B486))</f>
        <v/>
      </c>
    </row>
    <row r="487" customFormat="false" ht="15" hidden="false" customHeight="false" outlineLevel="0" collapsed="false">
      <c r="A487" s="32"/>
      <c r="B487" s="27"/>
      <c r="C487" s="29"/>
      <c r="D487" s="32"/>
      <c r="E487" s="32"/>
      <c r="F487" s="32"/>
      <c r="G487" s="31"/>
      <c r="H487" s="31"/>
      <c r="I487" s="33" t="str">
        <f aca="false">IF(G487="","",G487-H487)</f>
        <v/>
      </c>
      <c r="J487" s="33" t="str">
        <f aca="false">IF(A487="","",SUMIFS(Freelancers!$E$5:$E$504,Freelancers!$B$5:$B$504,A487))</f>
        <v/>
      </c>
      <c r="K487" s="33" t="str">
        <f aca="false">IF(A487="","",SUMIFS(Gastos!$D$5:$D$504,Gastos!$E$5:$E$504,A487))</f>
        <v/>
      </c>
      <c r="L487" s="33" t="str">
        <f aca="false">IF(G487="","",G487-N(J487)-N(K487))</f>
        <v/>
      </c>
      <c r="M487" s="34" t="str">
        <f aca="false">IF(G487="","",IF(H487&gt;=G487,"Pago",IF(H487&gt;0,"Parcial","Pendente")))</f>
        <v/>
      </c>
      <c r="N487" s="32"/>
      <c r="O487" s="35" t="str">
        <f aca="true">IF(OR(B487="",B487&lt;TODAY()),"",COUNTIFS($B$5:$B$504,"&gt;="&amp;TODAY(),$B$5:$B$504,"&lt;"&amp;B487)+COUNTIFS($B$5:B487,B487))</f>
        <v/>
      </c>
    </row>
    <row r="488" customFormat="false" ht="15" hidden="false" customHeight="false" outlineLevel="0" collapsed="false">
      <c r="A488" s="32"/>
      <c r="B488" s="27"/>
      <c r="C488" s="29"/>
      <c r="D488" s="32"/>
      <c r="E488" s="32"/>
      <c r="F488" s="32"/>
      <c r="G488" s="31"/>
      <c r="H488" s="31"/>
      <c r="I488" s="33" t="str">
        <f aca="false">IF(G488="","",G488-H488)</f>
        <v/>
      </c>
      <c r="J488" s="33" t="str">
        <f aca="false">IF(A488="","",SUMIFS(Freelancers!$E$5:$E$504,Freelancers!$B$5:$B$504,A488))</f>
        <v/>
      </c>
      <c r="K488" s="33" t="str">
        <f aca="false">IF(A488="","",SUMIFS(Gastos!$D$5:$D$504,Gastos!$E$5:$E$504,A488))</f>
        <v/>
      </c>
      <c r="L488" s="33" t="str">
        <f aca="false">IF(G488="","",G488-N(J488)-N(K488))</f>
        <v/>
      </c>
      <c r="M488" s="34" t="str">
        <f aca="false">IF(G488="","",IF(H488&gt;=G488,"Pago",IF(H488&gt;0,"Parcial","Pendente")))</f>
        <v/>
      </c>
      <c r="N488" s="32"/>
      <c r="O488" s="35" t="str">
        <f aca="true">IF(OR(B488="",B488&lt;TODAY()),"",COUNTIFS($B$5:$B$504,"&gt;="&amp;TODAY(),$B$5:$B$504,"&lt;"&amp;B488)+COUNTIFS($B$5:B488,B488))</f>
        <v/>
      </c>
    </row>
    <row r="489" customFormat="false" ht="15" hidden="false" customHeight="false" outlineLevel="0" collapsed="false">
      <c r="A489" s="32"/>
      <c r="B489" s="27"/>
      <c r="C489" s="29"/>
      <c r="D489" s="32"/>
      <c r="E489" s="32"/>
      <c r="F489" s="32"/>
      <c r="G489" s="31"/>
      <c r="H489" s="31"/>
      <c r="I489" s="33" t="str">
        <f aca="false">IF(G489="","",G489-H489)</f>
        <v/>
      </c>
      <c r="J489" s="33" t="str">
        <f aca="false">IF(A489="","",SUMIFS(Freelancers!$E$5:$E$504,Freelancers!$B$5:$B$504,A489))</f>
        <v/>
      </c>
      <c r="K489" s="33" t="str">
        <f aca="false">IF(A489="","",SUMIFS(Gastos!$D$5:$D$504,Gastos!$E$5:$E$504,A489))</f>
        <v/>
      </c>
      <c r="L489" s="33" t="str">
        <f aca="false">IF(G489="","",G489-N(J489)-N(K489))</f>
        <v/>
      </c>
      <c r="M489" s="34" t="str">
        <f aca="false">IF(G489="","",IF(H489&gt;=G489,"Pago",IF(H489&gt;0,"Parcial","Pendente")))</f>
        <v/>
      </c>
      <c r="N489" s="32"/>
      <c r="O489" s="35" t="str">
        <f aca="true">IF(OR(B489="",B489&lt;TODAY()),"",COUNTIFS($B$5:$B$504,"&gt;="&amp;TODAY(),$B$5:$B$504,"&lt;"&amp;B489)+COUNTIFS($B$5:B489,B489))</f>
        <v/>
      </c>
    </row>
    <row r="490" customFormat="false" ht="15" hidden="false" customHeight="false" outlineLevel="0" collapsed="false">
      <c r="A490" s="32"/>
      <c r="B490" s="27"/>
      <c r="C490" s="29"/>
      <c r="D490" s="32"/>
      <c r="E490" s="32"/>
      <c r="F490" s="32"/>
      <c r="G490" s="31"/>
      <c r="H490" s="31"/>
      <c r="I490" s="33" t="str">
        <f aca="false">IF(G490="","",G490-H490)</f>
        <v/>
      </c>
      <c r="J490" s="33" t="str">
        <f aca="false">IF(A490="","",SUMIFS(Freelancers!$E$5:$E$504,Freelancers!$B$5:$B$504,A490))</f>
        <v/>
      </c>
      <c r="K490" s="33" t="str">
        <f aca="false">IF(A490="","",SUMIFS(Gastos!$D$5:$D$504,Gastos!$E$5:$E$504,A490))</f>
        <v/>
      </c>
      <c r="L490" s="33" t="str">
        <f aca="false">IF(G490="","",G490-N(J490)-N(K490))</f>
        <v/>
      </c>
      <c r="M490" s="34" t="str">
        <f aca="false">IF(G490="","",IF(H490&gt;=G490,"Pago",IF(H490&gt;0,"Parcial","Pendente")))</f>
        <v/>
      </c>
      <c r="N490" s="32"/>
      <c r="O490" s="35" t="str">
        <f aca="true">IF(OR(B490="",B490&lt;TODAY()),"",COUNTIFS($B$5:$B$504,"&gt;="&amp;TODAY(),$B$5:$B$504,"&lt;"&amp;B490)+COUNTIFS($B$5:B490,B490))</f>
        <v/>
      </c>
    </row>
    <row r="491" customFormat="false" ht="15" hidden="false" customHeight="false" outlineLevel="0" collapsed="false">
      <c r="A491" s="32"/>
      <c r="B491" s="27"/>
      <c r="C491" s="29"/>
      <c r="D491" s="32"/>
      <c r="E491" s="32"/>
      <c r="F491" s="32"/>
      <c r="G491" s="31"/>
      <c r="H491" s="31"/>
      <c r="I491" s="33" t="str">
        <f aca="false">IF(G491="","",G491-H491)</f>
        <v/>
      </c>
      <c r="J491" s="33" t="str">
        <f aca="false">IF(A491="","",SUMIFS(Freelancers!$E$5:$E$504,Freelancers!$B$5:$B$504,A491))</f>
        <v/>
      </c>
      <c r="K491" s="33" t="str">
        <f aca="false">IF(A491="","",SUMIFS(Gastos!$D$5:$D$504,Gastos!$E$5:$E$504,A491))</f>
        <v/>
      </c>
      <c r="L491" s="33" t="str">
        <f aca="false">IF(G491="","",G491-N(J491)-N(K491))</f>
        <v/>
      </c>
      <c r="M491" s="34" t="str">
        <f aca="false">IF(G491="","",IF(H491&gt;=G491,"Pago",IF(H491&gt;0,"Parcial","Pendente")))</f>
        <v/>
      </c>
      <c r="N491" s="32"/>
      <c r="O491" s="35" t="str">
        <f aca="true">IF(OR(B491="",B491&lt;TODAY()),"",COUNTIFS($B$5:$B$504,"&gt;="&amp;TODAY(),$B$5:$B$504,"&lt;"&amp;B491)+COUNTIFS($B$5:B491,B491))</f>
        <v/>
      </c>
    </row>
    <row r="492" customFormat="false" ht="15" hidden="false" customHeight="false" outlineLevel="0" collapsed="false">
      <c r="A492" s="32"/>
      <c r="B492" s="27"/>
      <c r="C492" s="29"/>
      <c r="D492" s="32"/>
      <c r="E492" s="32"/>
      <c r="F492" s="32"/>
      <c r="G492" s="31"/>
      <c r="H492" s="31"/>
      <c r="I492" s="33" t="str">
        <f aca="false">IF(G492="","",G492-H492)</f>
        <v/>
      </c>
      <c r="J492" s="33" t="str">
        <f aca="false">IF(A492="","",SUMIFS(Freelancers!$E$5:$E$504,Freelancers!$B$5:$B$504,A492))</f>
        <v/>
      </c>
      <c r="K492" s="33" t="str">
        <f aca="false">IF(A492="","",SUMIFS(Gastos!$D$5:$D$504,Gastos!$E$5:$E$504,A492))</f>
        <v/>
      </c>
      <c r="L492" s="33" t="str">
        <f aca="false">IF(G492="","",G492-N(J492)-N(K492))</f>
        <v/>
      </c>
      <c r="M492" s="34" t="str">
        <f aca="false">IF(G492="","",IF(H492&gt;=G492,"Pago",IF(H492&gt;0,"Parcial","Pendente")))</f>
        <v/>
      </c>
      <c r="N492" s="32"/>
      <c r="O492" s="35" t="str">
        <f aca="true">IF(OR(B492="",B492&lt;TODAY()),"",COUNTIFS($B$5:$B$504,"&gt;="&amp;TODAY(),$B$5:$B$504,"&lt;"&amp;B492)+COUNTIFS($B$5:B492,B492))</f>
        <v/>
      </c>
    </row>
    <row r="493" customFormat="false" ht="15" hidden="false" customHeight="false" outlineLevel="0" collapsed="false">
      <c r="A493" s="32"/>
      <c r="B493" s="27"/>
      <c r="C493" s="29"/>
      <c r="D493" s="32"/>
      <c r="E493" s="32"/>
      <c r="F493" s="32"/>
      <c r="G493" s="31"/>
      <c r="H493" s="31"/>
      <c r="I493" s="33" t="str">
        <f aca="false">IF(G493="","",G493-H493)</f>
        <v/>
      </c>
      <c r="J493" s="33" t="str">
        <f aca="false">IF(A493="","",SUMIFS(Freelancers!$E$5:$E$504,Freelancers!$B$5:$B$504,A493))</f>
        <v/>
      </c>
      <c r="K493" s="33" t="str">
        <f aca="false">IF(A493="","",SUMIFS(Gastos!$D$5:$D$504,Gastos!$E$5:$E$504,A493))</f>
        <v/>
      </c>
      <c r="L493" s="33" t="str">
        <f aca="false">IF(G493="","",G493-N(J493)-N(K493))</f>
        <v/>
      </c>
      <c r="M493" s="34" t="str">
        <f aca="false">IF(G493="","",IF(H493&gt;=G493,"Pago",IF(H493&gt;0,"Parcial","Pendente")))</f>
        <v/>
      </c>
      <c r="N493" s="32"/>
      <c r="O493" s="35" t="str">
        <f aca="true">IF(OR(B493="",B493&lt;TODAY()),"",COUNTIFS($B$5:$B$504,"&gt;="&amp;TODAY(),$B$5:$B$504,"&lt;"&amp;B493)+COUNTIFS($B$5:B493,B493))</f>
        <v/>
      </c>
    </row>
    <row r="494" customFormat="false" ht="15" hidden="false" customHeight="false" outlineLevel="0" collapsed="false">
      <c r="A494" s="32"/>
      <c r="B494" s="27"/>
      <c r="C494" s="29"/>
      <c r="D494" s="32"/>
      <c r="E494" s="32"/>
      <c r="F494" s="32"/>
      <c r="G494" s="31"/>
      <c r="H494" s="31"/>
      <c r="I494" s="33" t="str">
        <f aca="false">IF(G494="","",G494-H494)</f>
        <v/>
      </c>
      <c r="J494" s="33" t="str">
        <f aca="false">IF(A494="","",SUMIFS(Freelancers!$E$5:$E$504,Freelancers!$B$5:$B$504,A494))</f>
        <v/>
      </c>
      <c r="K494" s="33" t="str">
        <f aca="false">IF(A494="","",SUMIFS(Gastos!$D$5:$D$504,Gastos!$E$5:$E$504,A494))</f>
        <v/>
      </c>
      <c r="L494" s="33" t="str">
        <f aca="false">IF(G494="","",G494-N(J494)-N(K494))</f>
        <v/>
      </c>
      <c r="M494" s="34" t="str">
        <f aca="false">IF(G494="","",IF(H494&gt;=G494,"Pago",IF(H494&gt;0,"Parcial","Pendente")))</f>
        <v/>
      </c>
      <c r="N494" s="32"/>
      <c r="O494" s="35" t="str">
        <f aca="true">IF(OR(B494="",B494&lt;TODAY()),"",COUNTIFS($B$5:$B$504,"&gt;="&amp;TODAY(),$B$5:$B$504,"&lt;"&amp;B494)+COUNTIFS($B$5:B494,B494))</f>
        <v/>
      </c>
    </row>
    <row r="495" customFormat="false" ht="15" hidden="false" customHeight="false" outlineLevel="0" collapsed="false">
      <c r="A495" s="32"/>
      <c r="B495" s="27"/>
      <c r="C495" s="29"/>
      <c r="D495" s="32"/>
      <c r="E495" s="32"/>
      <c r="F495" s="32"/>
      <c r="G495" s="31"/>
      <c r="H495" s="31"/>
      <c r="I495" s="33" t="str">
        <f aca="false">IF(G495="","",G495-H495)</f>
        <v/>
      </c>
      <c r="J495" s="33" t="str">
        <f aca="false">IF(A495="","",SUMIFS(Freelancers!$E$5:$E$504,Freelancers!$B$5:$B$504,A495))</f>
        <v/>
      </c>
      <c r="K495" s="33" t="str">
        <f aca="false">IF(A495="","",SUMIFS(Gastos!$D$5:$D$504,Gastos!$E$5:$E$504,A495))</f>
        <v/>
      </c>
      <c r="L495" s="33" t="str">
        <f aca="false">IF(G495="","",G495-N(J495)-N(K495))</f>
        <v/>
      </c>
      <c r="M495" s="34" t="str">
        <f aca="false">IF(G495="","",IF(H495&gt;=G495,"Pago",IF(H495&gt;0,"Parcial","Pendente")))</f>
        <v/>
      </c>
      <c r="N495" s="32"/>
      <c r="O495" s="35" t="str">
        <f aca="true">IF(OR(B495="",B495&lt;TODAY()),"",COUNTIFS($B$5:$B$504,"&gt;="&amp;TODAY(),$B$5:$B$504,"&lt;"&amp;B495)+COUNTIFS($B$5:B495,B495))</f>
        <v/>
      </c>
    </row>
    <row r="496" customFormat="false" ht="15" hidden="false" customHeight="false" outlineLevel="0" collapsed="false">
      <c r="A496" s="32"/>
      <c r="B496" s="27"/>
      <c r="C496" s="29"/>
      <c r="D496" s="32"/>
      <c r="E496" s="32"/>
      <c r="F496" s="32"/>
      <c r="G496" s="31"/>
      <c r="H496" s="31"/>
      <c r="I496" s="33" t="str">
        <f aca="false">IF(G496="","",G496-H496)</f>
        <v/>
      </c>
      <c r="J496" s="33" t="str">
        <f aca="false">IF(A496="","",SUMIFS(Freelancers!$E$5:$E$504,Freelancers!$B$5:$B$504,A496))</f>
        <v/>
      </c>
      <c r="K496" s="33" t="str">
        <f aca="false">IF(A496="","",SUMIFS(Gastos!$D$5:$D$504,Gastos!$E$5:$E$504,A496))</f>
        <v/>
      </c>
      <c r="L496" s="33" t="str">
        <f aca="false">IF(G496="","",G496-N(J496)-N(K496))</f>
        <v/>
      </c>
      <c r="M496" s="34" t="str">
        <f aca="false">IF(G496="","",IF(H496&gt;=G496,"Pago",IF(H496&gt;0,"Parcial","Pendente")))</f>
        <v/>
      </c>
      <c r="N496" s="32"/>
      <c r="O496" s="35" t="str">
        <f aca="true">IF(OR(B496="",B496&lt;TODAY()),"",COUNTIFS($B$5:$B$504,"&gt;="&amp;TODAY(),$B$5:$B$504,"&lt;"&amp;B496)+COUNTIFS($B$5:B496,B496))</f>
        <v/>
      </c>
    </row>
    <row r="497" customFormat="false" ht="15" hidden="false" customHeight="false" outlineLevel="0" collapsed="false">
      <c r="A497" s="32"/>
      <c r="B497" s="27"/>
      <c r="C497" s="29"/>
      <c r="D497" s="32"/>
      <c r="E497" s="32"/>
      <c r="F497" s="32"/>
      <c r="G497" s="31"/>
      <c r="H497" s="31"/>
      <c r="I497" s="33" t="str">
        <f aca="false">IF(G497="","",G497-H497)</f>
        <v/>
      </c>
      <c r="J497" s="33" t="str">
        <f aca="false">IF(A497="","",SUMIFS(Freelancers!$E$5:$E$504,Freelancers!$B$5:$B$504,A497))</f>
        <v/>
      </c>
      <c r="K497" s="33" t="str">
        <f aca="false">IF(A497="","",SUMIFS(Gastos!$D$5:$D$504,Gastos!$E$5:$E$504,A497))</f>
        <v/>
      </c>
      <c r="L497" s="33" t="str">
        <f aca="false">IF(G497="","",G497-N(J497)-N(K497))</f>
        <v/>
      </c>
      <c r="M497" s="34" t="str">
        <f aca="false">IF(G497="","",IF(H497&gt;=G497,"Pago",IF(H497&gt;0,"Parcial","Pendente")))</f>
        <v/>
      </c>
      <c r="N497" s="32"/>
      <c r="O497" s="35" t="str">
        <f aca="true">IF(OR(B497="",B497&lt;TODAY()),"",COUNTIFS($B$5:$B$504,"&gt;="&amp;TODAY(),$B$5:$B$504,"&lt;"&amp;B497)+COUNTIFS($B$5:B497,B497))</f>
        <v/>
      </c>
    </row>
    <row r="498" customFormat="false" ht="15" hidden="false" customHeight="false" outlineLevel="0" collapsed="false">
      <c r="A498" s="32"/>
      <c r="B498" s="27"/>
      <c r="C498" s="29"/>
      <c r="D498" s="32"/>
      <c r="E498" s="32"/>
      <c r="F498" s="32"/>
      <c r="G498" s="31"/>
      <c r="H498" s="31"/>
      <c r="I498" s="33" t="str">
        <f aca="false">IF(G498="","",G498-H498)</f>
        <v/>
      </c>
      <c r="J498" s="33" t="str">
        <f aca="false">IF(A498="","",SUMIFS(Freelancers!$E$5:$E$504,Freelancers!$B$5:$B$504,A498))</f>
        <v/>
      </c>
      <c r="K498" s="33" t="str">
        <f aca="false">IF(A498="","",SUMIFS(Gastos!$D$5:$D$504,Gastos!$E$5:$E$504,A498))</f>
        <v/>
      </c>
      <c r="L498" s="33" t="str">
        <f aca="false">IF(G498="","",G498-N(J498)-N(K498))</f>
        <v/>
      </c>
      <c r="M498" s="34" t="str">
        <f aca="false">IF(G498="","",IF(H498&gt;=G498,"Pago",IF(H498&gt;0,"Parcial","Pendente")))</f>
        <v/>
      </c>
      <c r="N498" s="32"/>
      <c r="O498" s="35" t="str">
        <f aca="true">IF(OR(B498="",B498&lt;TODAY()),"",COUNTIFS($B$5:$B$504,"&gt;="&amp;TODAY(),$B$5:$B$504,"&lt;"&amp;B498)+COUNTIFS($B$5:B498,B498))</f>
        <v/>
      </c>
    </row>
    <row r="499" customFormat="false" ht="15" hidden="false" customHeight="false" outlineLevel="0" collapsed="false">
      <c r="A499" s="32"/>
      <c r="B499" s="27"/>
      <c r="C499" s="29"/>
      <c r="D499" s="32"/>
      <c r="E499" s="32"/>
      <c r="F499" s="32"/>
      <c r="G499" s="31"/>
      <c r="H499" s="31"/>
      <c r="I499" s="33" t="str">
        <f aca="false">IF(G499="","",G499-H499)</f>
        <v/>
      </c>
      <c r="J499" s="33" t="str">
        <f aca="false">IF(A499="","",SUMIFS(Freelancers!$E$5:$E$504,Freelancers!$B$5:$B$504,A499))</f>
        <v/>
      </c>
      <c r="K499" s="33" t="str">
        <f aca="false">IF(A499="","",SUMIFS(Gastos!$D$5:$D$504,Gastos!$E$5:$E$504,A499))</f>
        <v/>
      </c>
      <c r="L499" s="33" t="str">
        <f aca="false">IF(G499="","",G499-N(J499)-N(K499))</f>
        <v/>
      </c>
      <c r="M499" s="34" t="str">
        <f aca="false">IF(G499="","",IF(H499&gt;=G499,"Pago",IF(H499&gt;0,"Parcial","Pendente")))</f>
        <v/>
      </c>
      <c r="N499" s="32"/>
      <c r="O499" s="35" t="str">
        <f aca="true">IF(OR(B499="",B499&lt;TODAY()),"",COUNTIFS($B$5:$B$504,"&gt;="&amp;TODAY(),$B$5:$B$504,"&lt;"&amp;B499)+COUNTIFS($B$5:B499,B499))</f>
        <v/>
      </c>
    </row>
    <row r="500" customFormat="false" ht="15" hidden="false" customHeight="false" outlineLevel="0" collapsed="false">
      <c r="A500" s="32"/>
      <c r="B500" s="27"/>
      <c r="C500" s="29"/>
      <c r="D500" s="32"/>
      <c r="E500" s="32"/>
      <c r="F500" s="32"/>
      <c r="G500" s="31"/>
      <c r="H500" s="31"/>
      <c r="I500" s="33" t="str">
        <f aca="false">IF(G500="","",G500-H500)</f>
        <v/>
      </c>
      <c r="J500" s="33" t="str">
        <f aca="false">IF(A500="","",SUMIFS(Freelancers!$E$5:$E$504,Freelancers!$B$5:$B$504,A500))</f>
        <v/>
      </c>
      <c r="K500" s="33" t="str">
        <f aca="false">IF(A500="","",SUMIFS(Gastos!$D$5:$D$504,Gastos!$E$5:$E$504,A500))</f>
        <v/>
      </c>
      <c r="L500" s="33" t="str">
        <f aca="false">IF(G500="","",G500-N(J500)-N(K500))</f>
        <v/>
      </c>
      <c r="M500" s="34" t="str">
        <f aca="false">IF(G500="","",IF(H500&gt;=G500,"Pago",IF(H500&gt;0,"Parcial","Pendente")))</f>
        <v/>
      </c>
      <c r="N500" s="32"/>
      <c r="O500" s="35" t="str">
        <f aca="true">IF(OR(B500="",B500&lt;TODAY()),"",COUNTIFS($B$5:$B$504,"&gt;="&amp;TODAY(),$B$5:$B$504,"&lt;"&amp;B500)+COUNTIFS($B$5:B500,B500))</f>
        <v/>
      </c>
    </row>
    <row r="501" customFormat="false" ht="15" hidden="false" customHeight="false" outlineLevel="0" collapsed="false">
      <c r="A501" s="32"/>
      <c r="B501" s="27"/>
      <c r="C501" s="29"/>
      <c r="D501" s="32"/>
      <c r="E501" s="32"/>
      <c r="F501" s="32"/>
      <c r="G501" s="31"/>
      <c r="H501" s="31"/>
      <c r="I501" s="33" t="str">
        <f aca="false">IF(G501="","",G501-H501)</f>
        <v/>
      </c>
      <c r="J501" s="33" t="str">
        <f aca="false">IF(A501="","",SUMIFS(Freelancers!$E$5:$E$504,Freelancers!$B$5:$B$504,A501))</f>
        <v/>
      </c>
      <c r="K501" s="33" t="str">
        <f aca="false">IF(A501="","",SUMIFS(Gastos!$D$5:$D$504,Gastos!$E$5:$E$504,A501))</f>
        <v/>
      </c>
      <c r="L501" s="33" t="str">
        <f aca="false">IF(G501="","",G501-N(J501)-N(K501))</f>
        <v/>
      </c>
      <c r="M501" s="34" t="str">
        <f aca="false">IF(G501="","",IF(H501&gt;=G501,"Pago",IF(H501&gt;0,"Parcial","Pendente")))</f>
        <v/>
      </c>
      <c r="N501" s="32"/>
      <c r="O501" s="35" t="str">
        <f aca="true">IF(OR(B501="",B501&lt;TODAY()),"",COUNTIFS($B$5:$B$504,"&gt;="&amp;TODAY(),$B$5:$B$504,"&lt;"&amp;B501)+COUNTIFS($B$5:B501,B501))</f>
        <v/>
      </c>
    </row>
    <row r="502" customFormat="false" ht="15" hidden="false" customHeight="false" outlineLevel="0" collapsed="false">
      <c r="A502" s="32"/>
      <c r="B502" s="27"/>
      <c r="C502" s="29"/>
      <c r="D502" s="32"/>
      <c r="E502" s="32"/>
      <c r="F502" s="32"/>
      <c r="G502" s="31"/>
      <c r="H502" s="31"/>
      <c r="I502" s="33" t="str">
        <f aca="false">IF(G502="","",G502-H502)</f>
        <v/>
      </c>
      <c r="J502" s="33" t="str">
        <f aca="false">IF(A502="","",SUMIFS(Freelancers!$E$5:$E$504,Freelancers!$B$5:$B$504,A502))</f>
        <v/>
      </c>
      <c r="K502" s="33" t="str">
        <f aca="false">IF(A502="","",SUMIFS(Gastos!$D$5:$D$504,Gastos!$E$5:$E$504,A502))</f>
        <v/>
      </c>
      <c r="L502" s="33" t="str">
        <f aca="false">IF(G502="","",G502-N(J502)-N(K502))</f>
        <v/>
      </c>
      <c r="M502" s="34" t="str">
        <f aca="false">IF(G502="","",IF(H502&gt;=G502,"Pago",IF(H502&gt;0,"Parcial","Pendente")))</f>
        <v/>
      </c>
      <c r="N502" s="32"/>
      <c r="O502" s="35" t="str">
        <f aca="true">IF(OR(B502="",B502&lt;TODAY()),"",COUNTIFS($B$5:$B$504,"&gt;="&amp;TODAY(),$B$5:$B$504,"&lt;"&amp;B502)+COUNTIFS($B$5:B502,B502))</f>
        <v/>
      </c>
    </row>
    <row r="503" customFormat="false" ht="15" hidden="false" customHeight="false" outlineLevel="0" collapsed="false">
      <c r="A503" s="32"/>
      <c r="B503" s="27"/>
      <c r="C503" s="29"/>
      <c r="D503" s="32"/>
      <c r="E503" s="32"/>
      <c r="F503" s="32"/>
      <c r="G503" s="31"/>
      <c r="H503" s="31"/>
      <c r="I503" s="33" t="str">
        <f aca="false">IF(G503="","",G503-H503)</f>
        <v/>
      </c>
      <c r="J503" s="33" t="str">
        <f aca="false">IF(A503="","",SUMIFS(Freelancers!$E$5:$E$504,Freelancers!$B$5:$B$504,A503))</f>
        <v/>
      </c>
      <c r="K503" s="33" t="str">
        <f aca="false">IF(A503="","",SUMIFS(Gastos!$D$5:$D$504,Gastos!$E$5:$E$504,A503))</f>
        <v/>
      </c>
      <c r="L503" s="33" t="str">
        <f aca="false">IF(G503="","",G503-N(J503)-N(K503))</f>
        <v/>
      </c>
      <c r="M503" s="34" t="str">
        <f aca="false">IF(G503="","",IF(H503&gt;=G503,"Pago",IF(H503&gt;0,"Parcial","Pendente")))</f>
        <v/>
      </c>
      <c r="N503" s="32"/>
      <c r="O503" s="35" t="str">
        <f aca="true">IF(OR(B503="",B503&lt;TODAY()),"",COUNTIFS($B$5:$B$504,"&gt;="&amp;TODAY(),$B$5:$B$504,"&lt;"&amp;B503)+COUNTIFS($B$5:B503,B503))</f>
        <v/>
      </c>
    </row>
    <row r="504" customFormat="false" ht="15" hidden="false" customHeight="false" outlineLevel="0" collapsed="false">
      <c r="A504" s="32"/>
      <c r="B504" s="27"/>
      <c r="C504" s="29"/>
      <c r="D504" s="32"/>
      <c r="E504" s="32"/>
      <c r="F504" s="32"/>
      <c r="G504" s="31"/>
      <c r="H504" s="31"/>
      <c r="I504" s="33" t="str">
        <f aca="false">IF(G504="","",G504-H504)</f>
        <v/>
      </c>
      <c r="J504" s="33" t="str">
        <f aca="false">IF(A504="","",SUMIFS(Freelancers!$E$5:$E$504,Freelancers!$B$5:$B$504,A504))</f>
        <v/>
      </c>
      <c r="K504" s="33" t="str">
        <f aca="false">IF(A504="","",SUMIFS(Gastos!$D$5:$D$504,Gastos!$E$5:$E$504,A504))</f>
        <v/>
      </c>
      <c r="L504" s="33" t="str">
        <f aca="false">IF(G504="","",G504-N(J504)-N(K504))</f>
        <v/>
      </c>
      <c r="M504" s="34" t="str">
        <f aca="false">IF(G504="","",IF(H504&gt;=G504,"Pago",IF(H504&gt;0,"Parcial","Pendente")))</f>
        <v/>
      </c>
      <c r="N504" s="32"/>
      <c r="O504" s="35" t="str">
        <f aca="true">IF(OR(B504="",B504&lt;TODAY()),"",COUNTIFS($B$5:$B$504,"&gt;="&amp;TODAY(),$B$5:$B$504,"&lt;"&amp;B504)+COUNTIFS($B$5:B504,B504))</f>
        <v/>
      </c>
    </row>
  </sheetData>
  <conditionalFormatting sqref="M5:M504">
    <cfRule type="cellIs" priority="2" operator="equal" aboveAverage="0" equalAverage="0" bottom="0" percent="0" rank="0" text="" dxfId="2">
      <formula>"Pago"</formula>
    </cfRule>
    <cfRule type="cellIs" priority="3" operator="equal" aboveAverage="0" equalAverage="0" bottom="0" percent="0" rank="0" text="" dxfId="3">
      <formula>"Parcial"</formula>
    </cfRule>
    <cfRule type="cellIs" priority="4" operator="equal" aboveAverage="0" equalAverage="0" bottom="0" percent="0" rank="0" text="" dxfId="4">
      <formula>"Pendente"</formula>
    </cfRule>
  </conditionalFormatting>
  <dataValidations count="2">
    <dataValidation allowBlank="true" errorStyle="stop" operator="between" showDropDown="false" showErrorMessage="false" showInputMessage="false" sqref="E5:E504" type="list">
      <formula1>Listas!$A$5:$A$30</formula1>
      <formula2>0</formula2>
    </dataValidation>
    <dataValidation allowBlank="true" errorStyle="stop" operator="between" prompt="Escolha um cliente da aba Clientes ou digite o nome." promptTitle="Dica" showDropDown="false" showErrorMessage="false" showInputMessage="true" sqref="D5:D504" type="list">
      <formula1>Clientes!$A$5:$A$504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69</v>
      </c>
    </row>
    <row r="2" customFormat="false" ht="15" hidden="false" customHeight="false" outlineLevel="0" collapsed="false">
      <c r="A2" s="2" t="s">
        <v>127</v>
      </c>
    </row>
    <row r="4" customFormat="false" ht="31.5" hidden="false" customHeight="true" outlineLevel="0" collapsed="false">
      <c r="A4" s="10" t="s">
        <v>128</v>
      </c>
      <c r="B4" s="10" t="s">
        <v>97</v>
      </c>
      <c r="C4" s="10" t="s">
        <v>83</v>
      </c>
      <c r="D4" s="10" t="s">
        <v>102</v>
      </c>
      <c r="E4" s="10" t="s">
        <v>129</v>
      </c>
      <c r="F4" s="10" t="s">
        <v>130</v>
      </c>
      <c r="G4" s="10" t="s">
        <v>106</v>
      </c>
    </row>
    <row r="5" customFormat="false" ht="15" hidden="false" customHeight="false" outlineLevel="0" collapsed="false">
      <c r="A5" s="27" t="n">
        <v>46042</v>
      </c>
      <c r="B5" s="32" t="s">
        <v>109</v>
      </c>
      <c r="C5" s="32" t="s">
        <v>110</v>
      </c>
      <c r="D5" s="27" t="n">
        <v>46095</v>
      </c>
      <c r="E5" s="31" t="n">
        <v>3500</v>
      </c>
      <c r="F5" s="32" t="s">
        <v>131</v>
      </c>
      <c r="G5" s="32" t="s">
        <v>112</v>
      </c>
    </row>
    <row r="6" customFormat="false" ht="15" hidden="false" customHeight="false" outlineLevel="0" collapsed="false">
      <c r="A6" s="27" t="n">
        <v>46056</v>
      </c>
      <c r="B6" s="32" t="s">
        <v>132</v>
      </c>
      <c r="C6" s="32" t="s">
        <v>110</v>
      </c>
      <c r="D6" s="27" t="n">
        <v>46151</v>
      </c>
      <c r="E6" s="31" t="n">
        <v>3800</v>
      </c>
      <c r="F6" s="32" t="s">
        <v>133</v>
      </c>
      <c r="G6" s="32" t="s">
        <v>134</v>
      </c>
    </row>
    <row r="7" customFormat="false" ht="15" hidden="false" customHeight="false" outlineLevel="0" collapsed="false">
      <c r="A7" s="27" t="n">
        <v>46154</v>
      </c>
      <c r="B7" s="32" t="s">
        <v>114</v>
      </c>
      <c r="C7" s="32" t="s">
        <v>115</v>
      </c>
      <c r="D7" s="27" t="n">
        <v>46193</v>
      </c>
      <c r="E7" s="31" t="n">
        <v>1800</v>
      </c>
      <c r="F7" s="32" t="s">
        <v>131</v>
      </c>
      <c r="G7" s="32" t="s">
        <v>112</v>
      </c>
    </row>
    <row r="8" customFormat="false" ht="15" hidden="false" customHeight="false" outlineLevel="0" collapsed="false">
      <c r="A8" s="27" t="n">
        <v>46201</v>
      </c>
      <c r="B8" s="32" t="s">
        <v>118</v>
      </c>
      <c r="C8" s="32" t="s">
        <v>119</v>
      </c>
      <c r="D8" s="27" t="n">
        <v>46243</v>
      </c>
      <c r="E8" s="31" t="n">
        <v>900</v>
      </c>
      <c r="F8" s="32" t="s">
        <v>131</v>
      </c>
      <c r="G8" s="32" t="s">
        <v>112</v>
      </c>
    </row>
    <row r="9" customFormat="false" ht="15" hidden="false" customHeight="false" outlineLevel="0" collapsed="false">
      <c r="A9" s="27" t="n">
        <v>46218</v>
      </c>
      <c r="B9" s="32" t="s">
        <v>135</v>
      </c>
      <c r="C9" s="32" t="s">
        <v>122</v>
      </c>
      <c r="D9" s="27" t="n">
        <v>46277</v>
      </c>
      <c r="E9" s="31" t="n">
        <v>1100</v>
      </c>
      <c r="F9" s="32" t="s">
        <v>133</v>
      </c>
      <c r="G9" s="32" t="s">
        <v>136</v>
      </c>
    </row>
    <row r="10" customFormat="false" ht="15" hidden="false" customHeight="false" outlineLevel="0" collapsed="false">
      <c r="A10" s="27" t="n">
        <v>46264</v>
      </c>
      <c r="B10" s="32" t="s">
        <v>121</v>
      </c>
      <c r="C10" s="32" t="s">
        <v>122</v>
      </c>
      <c r="D10" s="27" t="n">
        <v>46347</v>
      </c>
      <c r="E10" s="31" t="n">
        <v>1200</v>
      </c>
      <c r="F10" s="32" t="s">
        <v>131</v>
      </c>
      <c r="G10" s="32" t="s">
        <v>112</v>
      </c>
    </row>
    <row r="11" customFormat="false" ht="15" hidden="false" customHeight="false" outlineLevel="0" collapsed="false">
      <c r="A11" s="27" t="n">
        <v>46275</v>
      </c>
      <c r="B11" s="32" t="s">
        <v>125</v>
      </c>
      <c r="C11" s="32" t="s">
        <v>110</v>
      </c>
      <c r="D11" s="27" t="n">
        <v>46361</v>
      </c>
      <c r="E11" s="31" t="n">
        <v>4200</v>
      </c>
      <c r="F11" s="32" t="s">
        <v>131</v>
      </c>
      <c r="G11" s="32" t="s">
        <v>112</v>
      </c>
    </row>
    <row r="12" customFormat="false" ht="15" hidden="false" customHeight="false" outlineLevel="0" collapsed="false">
      <c r="A12" s="27" t="n">
        <v>46297</v>
      </c>
      <c r="B12" s="32" t="s">
        <v>137</v>
      </c>
      <c r="C12" s="32" t="s">
        <v>119</v>
      </c>
      <c r="D12" s="27" t="n">
        <v>46403</v>
      </c>
      <c r="E12" s="31" t="n">
        <v>950</v>
      </c>
      <c r="F12" s="32" t="s">
        <v>138</v>
      </c>
      <c r="G12" s="32" t="s">
        <v>112</v>
      </c>
    </row>
    <row r="13" customFormat="false" ht="15" hidden="false" customHeight="false" outlineLevel="0" collapsed="false">
      <c r="A13" s="27"/>
      <c r="B13" s="32"/>
      <c r="C13" s="32"/>
      <c r="D13" s="27"/>
      <c r="E13" s="31"/>
      <c r="F13" s="32"/>
      <c r="G13" s="32"/>
    </row>
    <row r="14" customFormat="false" ht="15" hidden="false" customHeight="false" outlineLevel="0" collapsed="false">
      <c r="A14" s="27"/>
      <c r="B14" s="32"/>
      <c r="C14" s="32"/>
      <c r="D14" s="27"/>
      <c r="E14" s="31"/>
      <c r="F14" s="32"/>
      <c r="G14" s="32"/>
    </row>
    <row r="15" customFormat="false" ht="15" hidden="false" customHeight="false" outlineLevel="0" collapsed="false">
      <c r="A15" s="27"/>
      <c r="B15" s="32"/>
      <c r="C15" s="32"/>
      <c r="D15" s="27"/>
      <c r="E15" s="31"/>
      <c r="F15" s="32"/>
      <c r="G15" s="32"/>
    </row>
    <row r="16" customFormat="false" ht="15" hidden="false" customHeight="false" outlineLevel="0" collapsed="false">
      <c r="A16" s="27"/>
      <c r="B16" s="32"/>
      <c r="C16" s="32"/>
      <c r="D16" s="27"/>
      <c r="E16" s="31"/>
      <c r="F16" s="32"/>
      <c r="G16" s="32"/>
    </row>
    <row r="17" customFormat="false" ht="15" hidden="false" customHeight="false" outlineLevel="0" collapsed="false">
      <c r="A17" s="27"/>
      <c r="B17" s="32"/>
      <c r="C17" s="32"/>
      <c r="D17" s="27"/>
      <c r="E17" s="31"/>
      <c r="F17" s="32"/>
      <c r="G17" s="32"/>
    </row>
    <row r="18" customFormat="false" ht="15" hidden="false" customHeight="false" outlineLevel="0" collapsed="false">
      <c r="A18" s="27"/>
      <c r="B18" s="32"/>
      <c r="C18" s="32"/>
      <c r="D18" s="27"/>
      <c r="E18" s="31"/>
      <c r="F18" s="32"/>
      <c r="G18" s="32"/>
    </row>
    <row r="19" customFormat="false" ht="15" hidden="false" customHeight="false" outlineLevel="0" collapsed="false">
      <c r="A19" s="27"/>
      <c r="B19" s="32"/>
      <c r="C19" s="32"/>
      <c r="D19" s="27"/>
      <c r="E19" s="31"/>
      <c r="F19" s="32"/>
      <c r="G19" s="32"/>
    </row>
    <row r="20" customFormat="false" ht="15" hidden="false" customHeight="false" outlineLevel="0" collapsed="false">
      <c r="A20" s="27"/>
      <c r="B20" s="32"/>
      <c r="C20" s="32"/>
      <c r="D20" s="27"/>
      <c r="E20" s="31"/>
      <c r="F20" s="32"/>
      <c r="G20" s="32"/>
    </row>
    <row r="21" customFormat="false" ht="15" hidden="false" customHeight="false" outlineLevel="0" collapsed="false">
      <c r="A21" s="27"/>
      <c r="B21" s="32"/>
      <c r="C21" s="32"/>
      <c r="D21" s="27"/>
      <c r="E21" s="31"/>
      <c r="F21" s="32"/>
      <c r="G21" s="32"/>
    </row>
    <row r="22" customFormat="false" ht="15" hidden="false" customHeight="false" outlineLevel="0" collapsed="false">
      <c r="A22" s="27"/>
      <c r="B22" s="32"/>
      <c r="C22" s="32"/>
      <c r="D22" s="27"/>
      <c r="E22" s="31"/>
      <c r="F22" s="32"/>
      <c r="G22" s="32"/>
    </row>
    <row r="23" customFormat="false" ht="15" hidden="false" customHeight="false" outlineLevel="0" collapsed="false">
      <c r="A23" s="27"/>
      <c r="B23" s="32"/>
      <c r="C23" s="32"/>
      <c r="D23" s="27"/>
      <c r="E23" s="31"/>
      <c r="F23" s="32"/>
      <c r="G23" s="32"/>
    </row>
    <row r="24" customFormat="false" ht="15" hidden="false" customHeight="false" outlineLevel="0" collapsed="false">
      <c r="A24" s="27"/>
      <c r="B24" s="32"/>
      <c r="C24" s="32"/>
      <c r="D24" s="27"/>
      <c r="E24" s="31"/>
      <c r="F24" s="32"/>
      <c r="G24" s="32"/>
    </row>
    <row r="25" customFormat="false" ht="15" hidden="false" customHeight="false" outlineLevel="0" collapsed="false">
      <c r="A25" s="27"/>
      <c r="B25" s="32"/>
      <c r="C25" s="32"/>
      <c r="D25" s="27"/>
      <c r="E25" s="31"/>
      <c r="F25" s="32"/>
      <c r="G25" s="32"/>
    </row>
    <row r="26" customFormat="false" ht="15" hidden="false" customHeight="false" outlineLevel="0" collapsed="false">
      <c r="A26" s="27"/>
      <c r="B26" s="32"/>
      <c r="C26" s="32"/>
      <c r="D26" s="27"/>
      <c r="E26" s="31"/>
      <c r="F26" s="32"/>
      <c r="G26" s="32"/>
    </row>
    <row r="27" customFormat="false" ht="15" hidden="false" customHeight="false" outlineLevel="0" collapsed="false">
      <c r="A27" s="27"/>
      <c r="B27" s="32"/>
      <c r="C27" s="32"/>
      <c r="D27" s="27"/>
      <c r="E27" s="31"/>
      <c r="F27" s="32"/>
      <c r="G27" s="32"/>
    </row>
    <row r="28" customFormat="false" ht="15" hidden="false" customHeight="false" outlineLevel="0" collapsed="false">
      <c r="A28" s="27"/>
      <c r="B28" s="32"/>
      <c r="C28" s="32"/>
      <c r="D28" s="27"/>
      <c r="E28" s="31"/>
      <c r="F28" s="32"/>
      <c r="G28" s="32"/>
    </row>
    <row r="29" customFormat="false" ht="15" hidden="false" customHeight="false" outlineLevel="0" collapsed="false">
      <c r="A29" s="27"/>
      <c r="B29" s="32"/>
      <c r="C29" s="32"/>
      <c r="D29" s="27"/>
      <c r="E29" s="31"/>
      <c r="F29" s="32"/>
      <c r="G29" s="32"/>
    </row>
    <row r="30" customFormat="false" ht="15" hidden="false" customHeight="false" outlineLevel="0" collapsed="false">
      <c r="A30" s="27"/>
      <c r="B30" s="32"/>
      <c r="C30" s="32"/>
      <c r="D30" s="27"/>
      <c r="E30" s="31"/>
      <c r="F30" s="32"/>
      <c r="G30" s="32"/>
    </row>
    <row r="31" customFormat="false" ht="15" hidden="false" customHeight="false" outlineLevel="0" collapsed="false">
      <c r="A31" s="27"/>
      <c r="B31" s="32"/>
      <c r="C31" s="32"/>
      <c r="D31" s="27"/>
      <c r="E31" s="31"/>
      <c r="F31" s="32"/>
      <c r="G31" s="32"/>
    </row>
    <row r="32" customFormat="false" ht="15" hidden="false" customHeight="false" outlineLevel="0" collapsed="false">
      <c r="A32" s="27"/>
      <c r="B32" s="32"/>
      <c r="C32" s="32"/>
      <c r="D32" s="27"/>
      <c r="E32" s="31"/>
      <c r="F32" s="32"/>
      <c r="G32" s="32"/>
    </row>
    <row r="33" customFormat="false" ht="15" hidden="false" customHeight="false" outlineLevel="0" collapsed="false">
      <c r="A33" s="27"/>
      <c r="B33" s="32"/>
      <c r="C33" s="32"/>
      <c r="D33" s="27"/>
      <c r="E33" s="31"/>
      <c r="F33" s="32"/>
      <c r="G33" s="32"/>
    </row>
    <row r="34" customFormat="false" ht="15" hidden="false" customHeight="false" outlineLevel="0" collapsed="false">
      <c r="A34" s="27"/>
      <c r="B34" s="32"/>
      <c r="C34" s="32"/>
      <c r="D34" s="27"/>
      <c r="E34" s="31"/>
      <c r="F34" s="32"/>
      <c r="G34" s="32"/>
    </row>
    <row r="35" customFormat="false" ht="15" hidden="false" customHeight="false" outlineLevel="0" collapsed="false">
      <c r="A35" s="27"/>
      <c r="B35" s="32"/>
      <c r="C35" s="32"/>
      <c r="D35" s="27"/>
      <c r="E35" s="31"/>
      <c r="F35" s="32"/>
      <c r="G35" s="32"/>
    </row>
    <row r="36" customFormat="false" ht="15" hidden="false" customHeight="false" outlineLevel="0" collapsed="false">
      <c r="A36" s="27"/>
      <c r="B36" s="32"/>
      <c r="C36" s="32"/>
      <c r="D36" s="27"/>
      <c r="E36" s="31"/>
      <c r="F36" s="32"/>
      <c r="G36" s="32"/>
    </row>
    <row r="37" customFormat="false" ht="15" hidden="false" customHeight="false" outlineLevel="0" collapsed="false">
      <c r="A37" s="27"/>
      <c r="B37" s="32"/>
      <c r="C37" s="32"/>
      <c r="D37" s="27"/>
      <c r="E37" s="31"/>
      <c r="F37" s="32"/>
      <c r="G37" s="32"/>
    </row>
    <row r="38" customFormat="false" ht="15" hidden="false" customHeight="false" outlineLevel="0" collapsed="false">
      <c r="A38" s="27"/>
      <c r="B38" s="32"/>
      <c r="C38" s="32"/>
      <c r="D38" s="27"/>
      <c r="E38" s="31"/>
      <c r="F38" s="32"/>
      <c r="G38" s="32"/>
    </row>
    <row r="39" customFormat="false" ht="15" hidden="false" customHeight="false" outlineLevel="0" collapsed="false">
      <c r="A39" s="27"/>
      <c r="B39" s="32"/>
      <c r="C39" s="32"/>
      <c r="D39" s="27"/>
      <c r="E39" s="31"/>
      <c r="F39" s="32"/>
      <c r="G39" s="32"/>
    </row>
    <row r="40" customFormat="false" ht="15" hidden="false" customHeight="false" outlineLevel="0" collapsed="false">
      <c r="A40" s="27"/>
      <c r="B40" s="32"/>
      <c r="C40" s="32"/>
      <c r="D40" s="27"/>
      <c r="E40" s="31"/>
      <c r="F40" s="32"/>
      <c r="G40" s="32"/>
    </row>
    <row r="41" customFormat="false" ht="15" hidden="false" customHeight="false" outlineLevel="0" collapsed="false">
      <c r="A41" s="27"/>
      <c r="B41" s="32"/>
      <c r="C41" s="32"/>
      <c r="D41" s="27"/>
      <c r="E41" s="31"/>
      <c r="F41" s="32"/>
      <c r="G41" s="32"/>
    </row>
    <row r="42" customFormat="false" ht="15" hidden="false" customHeight="false" outlineLevel="0" collapsed="false">
      <c r="A42" s="27"/>
      <c r="B42" s="32"/>
      <c r="C42" s="32"/>
      <c r="D42" s="27"/>
      <c r="E42" s="31"/>
      <c r="F42" s="32"/>
      <c r="G42" s="32"/>
    </row>
    <row r="43" customFormat="false" ht="15" hidden="false" customHeight="false" outlineLevel="0" collapsed="false">
      <c r="A43" s="27"/>
      <c r="B43" s="32"/>
      <c r="C43" s="32"/>
      <c r="D43" s="27"/>
      <c r="E43" s="31"/>
      <c r="F43" s="32"/>
      <c r="G43" s="32"/>
    </row>
    <row r="44" customFormat="false" ht="15" hidden="false" customHeight="false" outlineLevel="0" collapsed="false">
      <c r="A44" s="27"/>
      <c r="B44" s="32"/>
      <c r="C44" s="32"/>
      <c r="D44" s="27"/>
      <c r="E44" s="31"/>
      <c r="F44" s="32"/>
      <c r="G44" s="32"/>
    </row>
    <row r="45" customFormat="false" ht="15" hidden="false" customHeight="false" outlineLevel="0" collapsed="false">
      <c r="A45" s="27"/>
      <c r="B45" s="32"/>
      <c r="C45" s="32"/>
      <c r="D45" s="27"/>
      <c r="E45" s="31"/>
      <c r="F45" s="32"/>
      <c r="G45" s="32"/>
    </row>
    <row r="46" customFormat="false" ht="15" hidden="false" customHeight="false" outlineLevel="0" collapsed="false">
      <c r="A46" s="27"/>
      <c r="B46" s="32"/>
      <c r="C46" s="32"/>
      <c r="D46" s="27"/>
      <c r="E46" s="31"/>
      <c r="F46" s="32"/>
      <c r="G46" s="32"/>
    </row>
    <row r="47" customFormat="false" ht="15" hidden="false" customHeight="false" outlineLevel="0" collapsed="false">
      <c r="A47" s="27"/>
      <c r="B47" s="32"/>
      <c r="C47" s="32"/>
      <c r="D47" s="27"/>
      <c r="E47" s="31"/>
      <c r="F47" s="32"/>
      <c r="G47" s="32"/>
    </row>
    <row r="48" customFormat="false" ht="15" hidden="false" customHeight="false" outlineLevel="0" collapsed="false">
      <c r="A48" s="27"/>
      <c r="B48" s="32"/>
      <c r="C48" s="32"/>
      <c r="D48" s="27"/>
      <c r="E48" s="31"/>
      <c r="F48" s="32"/>
      <c r="G48" s="32"/>
    </row>
    <row r="49" customFormat="false" ht="15" hidden="false" customHeight="false" outlineLevel="0" collapsed="false">
      <c r="A49" s="27"/>
      <c r="B49" s="32"/>
      <c r="C49" s="32"/>
      <c r="D49" s="27"/>
      <c r="E49" s="31"/>
      <c r="F49" s="32"/>
      <c r="G49" s="32"/>
    </row>
    <row r="50" customFormat="false" ht="15" hidden="false" customHeight="false" outlineLevel="0" collapsed="false">
      <c r="A50" s="27"/>
      <c r="B50" s="32"/>
      <c r="C50" s="32"/>
      <c r="D50" s="27"/>
      <c r="E50" s="31"/>
      <c r="F50" s="32"/>
      <c r="G50" s="32"/>
    </row>
    <row r="51" customFormat="false" ht="15" hidden="false" customHeight="false" outlineLevel="0" collapsed="false">
      <c r="A51" s="27"/>
      <c r="B51" s="32"/>
      <c r="C51" s="32"/>
      <c r="D51" s="27"/>
      <c r="E51" s="31"/>
      <c r="F51" s="32"/>
      <c r="G51" s="32"/>
    </row>
    <row r="52" customFormat="false" ht="15" hidden="false" customHeight="false" outlineLevel="0" collapsed="false">
      <c r="A52" s="27"/>
      <c r="B52" s="32"/>
      <c r="C52" s="32"/>
      <c r="D52" s="27"/>
      <c r="E52" s="31"/>
      <c r="F52" s="32"/>
      <c r="G52" s="32"/>
    </row>
    <row r="53" customFormat="false" ht="15" hidden="false" customHeight="false" outlineLevel="0" collapsed="false">
      <c r="A53" s="27"/>
      <c r="B53" s="32"/>
      <c r="C53" s="32"/>
      <c r="D53" s="27"/>
      <c r="E53" s="31"/>
      <c r="F53" s="32"/>
      <c r="G53" s="32"/>
    </row>
    <row r="54" customFormat="false" ht="15" hidden="false" customHeight="false" outlineLevel="0" collapsed="false">
      <c r="A54" s="27"/>
      <c r="B54" s="32"/>
      <c r="C54" s="32"/>
      <c r="D54" s="27"/>
      <c r="E54" s="31"/>
      <c r="F54" s="32"/>
      <c r="G54" s="32"/>
    </row>
    <row r="55" customFormat="false" ht="15" hidden="false" customHeight="false" outlineLevel="0" collapsed="false">
      <c r="A55" s="27"/>
      <c r="B55" s="32"/>
      <c r="C55" s="32"/>
      <c r="D55" s="27"/>
      <c r="E55" s="31"/>
      <c r="F55" s="32"/>
      <c r="G55" s="32"/>
    </row>
    <row r="56" customFormat="false" ht="15" hidden="false" customHeight="false" outlineLevel="0" collapsed="false">
      <c r="A56" s="27"/>
      <c r="B56" s="32"/>
      <c r="C56" s="32"/>
      <c r="D56" s="27"/>
      <c r="E56" s="31"/>
      <c r="F56" s="32"/>
      <c r="G56" s="32"/>
    </row>
    <row r="57" customFormat="false" ht="15" hidden="false" customHeight="false" outlineLevel="0" collapsed="false">
      <c r="A57" s="27"/>
      <c r="B57" s="32"/>
      <c r="C57" s="32"/>
      <c r="D57" s="27"/>
      <c r="E57" s="31"/>
      <c r="F57" s="32"/>
      <c r="G57" s="32"/>
    </row>
    <row r="58" customFormat="false" ht="15" hidden="false" customHeight="false" outlineLevel="0" collapsed="false">
      <c r="A58" s="27"/>
      <c r="B58" s="32"/>
      <c r="C58" s="32"/>
      <c r="D58" s="27"/>
      <c r="E58" s="31"/>
      <c r="F58" s="32"/>
      <c r="G58" s="32"/>
    </row>
    <row r="59" customFormat="false" ht="15" hidden="false" customHeight="false" outlineLevel="0" collapsed="false">
      <c r="A59" s="27"/>
      <c r="B59" s="32"/>
      <c r="C59" s="32"/>
      <c r="D59" s="27"/>
      <c r="E59" s="31"/>
      <c r="F59" s="32"/>
      <c r="G59" s="32"/>
    </row>
    <row r="60" customFormat="false" ht="15" hidden="false" customHeight="false" outlineLevel="0" collapsed="false">
      <c r="A60" s="27"/>
      <c r="B60" s="32"/>
      <c r="C60" s="32"/>
      <c r="D60" s="27"/>
      <c r="E60" s="31"/>
      <c r="F60" s="32"/>
      <c r="G60" s="32"/>
    </row>
    <row r="61" customFormat="false" ht="15" hidden="false" customHeight="false" outlineLevel="0" collapsed="false">
      <c r="A61" s="27"/>
      <c r="B61" s="32"/>
      <c r="C61" s="32"/>
      <c r="D61" s="27"/>
      <c r="E61" s="31"/>
      <c r="F61" s="32"/>
      <c r="G61" s="32"/>
    </row>
    <row r="62" customFormat="false" ht="15" hidden="false" customHeight="false" outlineLevel="0" collapsed="false">
      <c r="A62" s="27"/>
      <c r="B62" s="32"/>
      <c r="C62" s="32"/>
      <c r="D62" s="27"/>
      <c r="E62" s="31"/>
      <c r="F62" s="32"/>
      <c r="G62" s="32"/>
    </row>
    <row r="63" customFormat="false" ht="15" hidden="false" customHeight="false" outlineLevel="0" collapsed="false">
      <c r="A63" s="27"/>
      <c r="B63" s="32"/>
      <c r="C63" s="32"/>
      <c r="D63" s="27"/>
      <c r="E63" s="31"/>
      <c r="F63" s="32"/>
      <c r="G63" s="32"/>
    </row>
    <row r="64" customFormat="false" ht="15" hidden="false" customHeight="false" outlineLevel="0" collapsed="false">
      <c r="A64" s="27"/>
      <c r="B64" s="32"/>
      <c r="C64" s="32"/>
      <c r="D64" s="27"/>
      <c r="E64" s="31"/>
      <c r="F64" s="32"/>
      <c r="G64" s="32"/>
    </row>
    <row r="65" customFormat="false" ht="15" hidden="false" customHeight="false" outlineLevel="0" collapsed="false">
      <c r="A65" s="27"/>
      <c r="B65" s="32"/>
      <c r="C65" s="32"/>
      <c r="D65" s="27"/>
      <c r="E65" s="31"/>
      <c r="F65" s="32"/>
      <c r="G65" s="32"/>
    </row>
    <row r="66" customFormat="false" ht="15" hidden="false" customHeight="false" outlineLevel="0" collapsed="false">
      <c r="A66" s="27"/>
      <c r="B66" s="32"/>
      <c r="C66" s="32"/>
      <c r="D66" s="27"/>
      <c r="E66" s="31"/>
      <c r="F66" s="32"/>
      <c r="G66" s="32"/>
    </row>
    <row r="67" customFormat="false" ht="15" hidden="false" customHeight="false" outlineLevel="0" collapsed="false">
      <c r="A67" s="27"/>
      <c r="B67" s="32"/>
      <c r="C67" s="32"/>
      <c r="D67" s="27"/>
      <c r="E67" s="31"/>
      <c r="F67" s="32"/>
      <c r="G67" s="32"/>
    </row>
    <row r="68" customFormat="false" ht="15" hidden="false" customHeight="false" outlineLevel="0" collapsed="false">
      <c r="A68" s="27"/>
      <c r="B68" s="32"/>
      <c r="C68" s="32"/>
      <c r="D68" s="27"/>
      <c r="E68" s="31"/>
      <c r="F68" s="32"/>
      <c r="G68" s="32"/>
    </row>
    <row r="69" customFormat="false" ht="15" hidden="false" customHeight="false" outlineLevel="0" collapsed="false">
      <c r="A69" s="27"/>
      <c r="B69" s="32"/>
      <c r="C69" s="32"/>
      <c r="D69" s="27"/>
      <c r="E69" s="31"/>
      <c r="F69" s="32"/>
      <c r="G69" s="32"/>
    </row>
    <row r="70" customFormat="false" ht="15" hidden="false" customHeight="false" outlineLevel="0" collapsed="false">
      <c r="A70" s="27"/>
      <c r="B70" s="32"/>
      <c r="C70" s="32"/>
      <c r="D70" s="27"/>
      <c r="E70" s="31"/>
      <c r="F70" s="32"/>
      <c r="G70" s="32"/>
    </row>
    <row r="71" customFormat="false" ht="15" hidden="false" customHeight="false" outlineLevel="0" collapsed="false">
      <c r="A71" s="27"/>
      <c r="B71" s="32"/>
      <c r="C71" s="32"/>
      <c r="D71" s="27"/>
      <c r="E71" s="31"/>
      <c r="F71" s="32"/>
      <c r="G71" s="32"/>
    </row>
    <row r="72" customFormat="false" ht="15" hidden="false" customHeight="false" outlineLevel="0" collapsed="false">
      <c r="A72" s="27"/>
      <c r="B72" s="32"/>
      <c r="C72" s="32"/>
      <c r="D72" s="27"/>
      <c r="E72" s="31"/>
      <c r="F72" s="32"/>
      <c r="G72" s="32"/>
    </row>
    <row r="73" customFormat="false" ht="15" hidden="false" customHeight="false" outlineLevel="0" collapsed="false">
      <c r="A73" s="27"/>
      <c r="B73" s="32"/>
      <c r="C73" s="32"/>
      <c r="D73" s="27"/>
      <c r="E73" s="31"/>
      <c r="F73" s="32"/>
      <c r="G73" s="32"/>
    </row>
    <row r="74" customFormat="false" ht="15" hidden="false" customHeight="false" outlineLevel="0" collapsed="false">
      <c r="A74" s="27"/>
      <c r="B74" s="32"/>
      <c r="C74" s="32"/>
      <c r="D74" s="27"/>
      <c r="E74" s="31"/>
      <c r="F74" s="32"/>
      <c r="G74" s="32"/>
    </row>
    <row r="75" customFormat="false" ht="15" hidden="false" customHeight="false" outlineLevel="0" collapsed="false">
      <c r="A75" s="27"/>
      <c r="B75" s="32"/>
      <c r="C75" s="32"/>
      <c r="D75" s="27"/>
      <c r="E75" s="31"/>
      <c r="F75" s="32"/>
      <c r="G75" s="32"/>
    </row>
    <row r="76" customFormat="false" ht="15" hidden="false" customHeight="false" outlineLevel="0" collapsed="false">
      <c r="A76" s="27"/>
      <c r="B76" s="32"/>
      <c r="C76" s="32"/>
      <c r="D76" s="27"/>
      <c r="E76" s="31"/>
      <c r="F76" s="32"/>
      <c r="G76" s="32"/>
    </row>
    <row r="77" customFormat="false" ht="15" hidden="false" customHeight="false" outlineLevel="0" collapsed="false">
      <c r="A77" s="27"/>
      <c r="B77" s="32"/>
      <c r="C77" s="32"/>
      <c r="D77" s="27"/>
      <c r="E77" s="31"/>
      <c r="F77" s="32"/>
      <c r="G77" s="32"/>
    </row>
    <row r="78" customFormat="false" ht="15" hidden="false" customHeight="false" outlineLevel="0" collapsed="false">
      <c r="A78" s="27"/>
      <c r="B78" s="32"/>
      <c r="C78" s="32"/>
      <c r="D78" s="27"/>
      <c r="E78" s="31"/>
      <c r="F78" s="32"/>
      <c r="G78" s="32"/>
    </row>
    <row r="79" customFormat="false" ht="15" hidden="false" customHeight="false" outlineLevel="0" collapsed="false">
      <c r="A79" s="27"/>
      <c r="B79" s="32"/>
      <c r="C79" s="32"/>
      <c r="D79" s="27"/>
      <c r="E79" s="31"/>
      <c r="F79" s="32"/>
      <c r="G79" s="32"/>
    </row>
    <row r="80" customFormat="false" ht="15" hidden="false" customHeight="false" outlineLevel="0" collapsed="false">
      <c r="A80" s="27"/>
      <c r="B80" s="32"/>
      <c r="C80" s="32"/>
      <c r="D80" s="27"/>
      <c r="E80" s="31"/>
      <c r="F80" s="32"/>
      <c r="G80" s="32"/>
    </row>
    <row r="81" customFormat="false" ht="15" hidden="false" customHeight="false" outlineLevel="0" collapsed="false">
      <c r="A81" s="27"/>
      <c r="B81" s="32"/>
      <c r="C81" s="32"/>
      <c r="D81" s="27"/>
      <c r="E81" s="31"/>
      <c r="F81" s="32"/>
      <c r="G81" s="32"/>
    </row>
    <row r="82" customFormat="false" ht="15" hidden="false" customHeight="false" outlineLevel="0" collapsed="false">
      <c r="A82" s="27"/>
      <c r="B82" s="32"/>
      <c r="C82" s="32"/>
      <c r="D82" s="27"/>
      <c r="E82" s="31"/>
      <c r="F82" s="32"/>
      <c r="G82" s="32"/>
    </row>
    <row r="83" customFormat="false" ht="15" hidden="false" customHeight="false" outlineLevel="0" collapsed="false">
      <c r="A83" s="27"/>
      <c r="B83" s="32"/>
      <c r="C83" s="32"/>
      <c r="D83" s="27"/>
      <c r="E83" s="31"/>
      <c r="F83" s="32"/>
      <c r="G83" s="32"/>
    </row>
    <row r="84" customFormat="false" ht="15" hidden="false" customHeight="false" outlineLevel="0" collapsed="false">
      <c r="A84" s="27"/>
      <c r="B84" s="32"/>
      <c r="C84" s="32"/>
      <c r="D84" s="27"/>
      <c r="E84" s="31"/>
      <c r="F84" s="32"/>
      <c r="G84" s="32"/>
    </row>
    <row r="85" customFormat="false" ht="15" hidden="false" customHeight="false" outlineLevel="0" collapsed="false">
      <c r="A85" s="27"/>
      <c r="B85" s="32"/>
      <c r="C85" s="32"/>
      <c r="D85" s="27"/>
      <c r="E85" s="31"/>
      <c r="F85" s="32"/>
      <c r="G85" s="32"/>
    </row>
    <row r="86" customFormat="false" ht="15" hidden="false" customHeight="false" outlineLevel="0" collapsed="false">
      <c r="A86" s="27"/>
      <c r="B86" s="32"/>
      <c r="C86" s="32"/>
      <c r="D86" s="27"/>
      <c r="E86" s="31"/>
      <c r="F86" s="32"/>
      <c r="G86" s="32"/>
    </row>
    <row r="87" customFormat="false" ht="15" hidden="false" customHeight="false" outlineLevel="0" collapsed="false">
      <c r="A87" s="27"/>
      <c r="B87" s="32"/>
      <c r="C87" s="32"/>
      <c r="D87" s="27"/>
      <c r="E87" s="31"/>
      <c r="F87" s="32"/>
      <c r="G87" s="32"/>
    </row>
    <row r="88" customFormat="false" ht="15" hidden="false" customHeight="false" outlineLevel="0" collapsed="false">
      <c r="A88" s="27"/>
      <c r="B88" s="32"/>
      <c r="C88" s="32"/>
      <c r="D88" s="27"/>
      <c r="E88" s="31"/>
      <c r="F88" s="32"/>
      <c r="G88" s="32"/>
    </row>
    <row r="89" customFormat="false" ht="15" hidden="false" customHeight="false" outlineLevel="0" collapsed="false">
      <c r="A89" s="27"/>
      <c r="B89" s="32"/>
      <c r="C89" s="32"/>
      <c r="D89" s="27"/>
      <c r="E89" s="31"/>
      <c r="F89" s="32"/>
      <c r="G89" s="32"/>
    </row>
    <row r="90" customFormat="false" ht="15" hidden="false" customHeight="false" outlineLevel="0" collapsed="false">
      <c r="A90" s="27"/>
      <c r="B90" s="32"/>
      <c r="C90" s="32"/>
      <c r="D90" s="27"/>
      <c r="E90" s="31"/>
      <c r="F90" s="32"/>
      <c r="G90" s="32"/>
    </row>
    <row r="91" customFormat="false" ht="15" hidden="false" customHeight="false" outlineLevel="0" collapsed="false">
      <c r="A91" s="27"/>
      <c r="B91" s="32"/>
      <c r="C91" s="32"/>
      <c r="D91" s="27"/>
      <c r="E91" s="31"/>
      <c r="F91" s="32"/>
      <c r="G91" s="32"/>
    </row>
    <row r="92" customFormat="false" ht="15" hidden="false" customHeight="false" outlineLevel="0" collapsed="false">
      <c r="A92" s="27"/>
      <c r="B92" s="32"/>
      <c r="C92" s="32"/>
      <c r="D92" s="27"/>
      <c r="E92" s="31"/>
      <c r="F92" s="32"/>
      <c r="G92" s="32"/>
    </row>
    <row r="93" customFormat="false" ht="15" hidden="false" customHeight="false" outlineLevel="0" collapsed="false">
      <c r="A93" s="27"/>
      <c r="B93" s="32"/>
      <c r="C93" s="32"/>
      <c r="D93" s="27"/>
      <c r="E93" s="31"/>
      <c r="F93" s="32"/>
      <c r="G93" s="32"/>
    </row>
    <row r="94" customFormat="false" ht="15" hidden="false" customHeight="false" outlineLevel="0" collapsed="false">
      <c r="A94" s="27"/>
      <c r="B94" s="32"/>
      <c r="C94" s="32"/>
      <c r="D94" s="27"/>
      <c r="E94" s="31"/>
      <c r="F94" s="32"/>
      <c r="G94" s="32"/>
    </row>
    <row r="95" customFormat="false" ht="15" hidden="false" customHeight="false" outlineLevel="0" collapsed="false">
      <c r="A95" s="27"/>
      <c r="B95" s="32"/>
      <c r="C95" s="32"/>
      <c r="D95" s="27"/>
      <c r="E95" s="31"/>
      <c r="F95" s="32"/>
      <c r="G95" s="32"/>
    </row>
    <row r="96" customFormat="false" ht="15" hidden="false" customHeight="false" outlineLevel="0" collapsed="false">
      <c r="A96" s="27"/>
      <c r="B96" s="32"/>
      <c r="C96" s="32"/>
      <c r="D96" s="27"/>
      <c r="E96" s="31"/>
      <c r="F96" s="32"/>
      <c r="G96" s="32"/>
    </row>
    <row r="97" customFormat="false" ht="15" hidden="false" customHeight="false" outlineLevel="0" collapsed="false">
      <c r="A97" s="27"/>
      <c r="B97" s="32"/>
      <c r="C97" s="32"/>
      <c r="D97" s="27"/>
      <c r="E97" s="31"/>
      <c r="F97" s="32"/>
      <c r="G97" s="32"/>
    </row>
    <row r="98" customFormat="false" ht="15" hidden="false" customHeight="false" outlineLevel="0" collapsed="false">
      <c r="A98" s="27"/>
      <c r="B98" s="32"/>
      <c r="C98" s="32"/>
      <c r="D98" s="27"/>
      <c r="E98" s="31"/>
      <c r="F98" s="32"/>
      <c r="G98" s="32"/>
    </row>
    <row r="99" customFormat="false" ht="15" hidden="false" customHeight="false" outlineLevel="0" collapsed="false">
      <c r="A99" s="27"/>
      <c r="B99" s="32"/>
      <c r="C99" s="32"/>
      <c r="D99" s="27"/>
      <c r="E99" s="31"/>
      <c r="F99" s="32"/>
      <c r="G99" s="32"/>
    </row>
    <row r="100" customFormat="false" ht="15" hidden="false" customHeight="false" outlineLevel="0" collapsed="false">
      <c r="A100" s="27"/>
      <c r="B100" s="32"/>
      <c r="C100" s="32"/>
      <c r="D100" s="27"/>
      <c r="E100" s="31"/>
      <c r="F100" s="32"/>
      <c r="G100" s="32"/>
    </row>
    <row r="101" customFormat="false" ht="15" hidden="false" customHeight="false" outlineLevel="0" collapsed="false">
      <c r="A101" s="27"/>
      <c r="B101" s="32"/>
      <c r="C101" s="32"/>
      <c r="D101" s="27"/>
      <c r="E101" s="31"/>
      <c r="F101" s="32"/>
      <c r="G101" s="32"/>
    </row>
    <row r="102" customFormat="false" ht="15" hidden="false" customHeight="false" outlineLevel="0" collapsed="false">
      <c r="A102" s="27"/>
      <c r="B102" s="32"/>
      <c r="C102" s="32"/>
      <c r="D102" s="27"/>
      <c r="E102" s="31"/>
      <c r="F102" s="32"/>
      <c r="G102" s="32"/>
    </row>
    <row r="103" customFormat="false" ht="15" hidden="false" customHeight="false" outlineLevel="0" collapsed="false">
      <c r="A103" s="27"/>
      <c r="B103" s="32"/>
      <c r="C103" s="32"/>
      <c r="D103" s="27"/>
      <c r="E103" s="31"/>
      <c r="F103" s="32"/>
      <c r="G103" s="32"/>
    </row>
    <row r="104" customFormat="false" ht="15" hidden="false" customHeight="false" outlineLevel="0" collapsed="false">
      <c r="A104" s="27"/>
      <c r="B104" s="32"/>
      <c r="C104" s="32"/>
      <c r="D104" s="27"/>
      <c r="E104" s="31"/>
      <c r="F104" s="32"/>
      <c r="G104" s="32"/>
    </row>
    <row r="105" customFormat="false" ht="15" hidden="false" customHeight="false" outlineLevel="0" collapsed="false">
      <c r="A105" s="27"/>
      <c r="B105" s="32"/>
      <c r="C105" s="32"/>
      <c r="D105" s="27"/>
      <c r="E105" s="31"/>
      <c r="F105" s="32"/>
      <c r="G105" s="32"/>
    </row>
    <row r="106" customFormat="false" ht="15" hidden="false" customHeight="false" outlineLevel="0" collapsed="false">
      <c r="A106" s="27"/>
      <c r="B106" s="32"/>
      <c r="C106" s="32"/>
      <c r="D106" s="27"/>
      <c r="E106" s="31"/>
      <c r="F106" s="32"/>
      <c r="G106" s="32"/>
    </row>
    <row r="107" customFormat="false" ht="15" hidden="false" customHeight="false" outlineLevel="0" collapsed="false">
      <c r="A107" s="27"/>
      <c r="B107" s="32"/>
      <c r="C107" s="32"/>
      <c r="D107" s="27"/>
      <c r="E107" s="31"/>
      <c r="F107" s="32"/>
      <c r="G107" s="32"/>
    </row>
    <row r="108" customFormat="false" ht="15" hidden="false" customHeight="false" outlineLevel="0" collapsed="false">
      <c r="A108" s="27"/>
      <c r="B108" s="32"/>
      <c r="C108" s="32"/>
      <c r="D108" s="27"/>
      <c r="E108" s="31"/>
      <c r="F108" s="32"/>
      <c r="G108" s="32"/>
    </row>
    <row r="109" customFormat="false" ht="15" hidden="false" customHeight="false" outlineLevel="0" collapsed="false">
      <c r="A109" s="27"/>
      <c r="B109" s="32"/>
      <c r="C109" s="32"/>
      <c r="D109" s="27"/>
      <c r="E109" s="31"/>
      <c r="F109" s="32"/>
      <c r="G109" s="32"/>
    </row>
    <row r="110" customFormat="false" ht="15" hidden="false" customHeight="false" outlineLevel="0" collapsed="false">
      <c r="A110" s="27"/>
      <c r="B110" s="32"/>
      <c r="C110" s="32"/>
      <c r="D110" s="27"/>
      <c r="E110" s="31"/>
      <c r="F110" s="32"/>
      <c r="G110" s="32"/>
    </row>
    <row r="111" customFormat="false" ht="15" hidden="false" customHeight="false" outlineLevel="0" collapsed="false">
      <c r="A111" s="27"/>
      <c r="B111" s="32"/>
      <c r="C111" s="32"/>
      <c r="D111" s="27"/>
      <c r="E111" s="31"/>
      <c r="F111" s="32"/>
      <c r="G111" s="32"/>
    </row>
    <row r="112" customFormat="false" ht="15" hidden="false" customHeight="false" outlineLevel="0" collapsed="false">
      <c r="A112" s="27"/>
      <c r="B112" s="32"/>
      <c r="C112" s="32"/>
      <c r="D112" s="27"/>
      <c r="E112" s="31"/>
      <c r="F112" s="32"/>
      <c r="G112" s="32"/>
    </row>
    <row r="113" customFormat="false" ht="15" hidden="false" customHeight="false" outlineLevel="0" collapsed="false">
      <c r="A113" s="27"/>
      <c r="B113" s="32"/>
      <c r="C113" s="32"/>
      <c r="D113" s="27"/>
      <c r="E113" s="31"/>
      <c r="F113" s="32"/>
      <c r="G113" s="32"/>
    </row>
    <row r="114" customFormat="false" ht="15" hidden="false" customHeight="false" outlineLevel="0" collapsed="false">
      <c r="A114" s="27"/>
      <c r="B114" s="32"/>
      <c r="C114" s="32"/>
      <c r="D114" s="27"/>
      <c r="E114" s="31"/>
      <c r="F114" s="32"/>
      <c r="G114" s="32"/>
    </row>
    <row r="115" customFormat="false" ht="15" hidden="false" customHeight="false" outlineLevel="0" collapsed="false">
      <c r="A115" s="27"/>
      <c r="B115" s="32"/>
      <c r="C115" s="32"/>
      <c r="D115" s="27"/>
      <c r="E115" s="31"/>
      <c r="F115" s="32"/>
      <c r="G115" s="32"/>
    </row>
    <row r="116" customFormat="false" ht="15" hidden="false" customHeight="false" outlineLevel="0" collapsed="false">
      <c r="A116" s="27"/>
      <c r="B116" s="32"/>
      <c r="C116" s="32"/>
      <c r="D116" s="27"/>
      <c r="E116" s="31"/>
      <c r="F116" s="32"/>
      <c r="G116" s="32"/>
    </row>
    <row r="117" customFormat="false" ht="15" hidden="false" customHeight="false" outlineLevel="0" collapsed="false">
      <c r="A117" s="27"/>
      <c r="B117" s="32"/>
      <c r="C117" s="32"/>
      <c r="D117" s="27"/>
      <c r="E117" s="31"/>
      <c r="F117" s="32"/>
      <c r="G117" s="32"/>
    </row>
    <row r="118" customFormat="false" ht="15" hidden="false" customHeight="false" outlineLevel="0" collapsed="false">
      <c r="A118" s="27"/>
      <c r="B118" s="32"/>
      <c r="C118" s="32"/>
      <c r="D118" s="27"/>
      <c r="E118" s="31"/>
      <c r="F118" s="32"/>
      <c r="G118" s="32"/>
    </row>
    <row r="119" customFormat="false" ht="15" hidden="false" customHeight="false" outlineLevel="0" collapsed="false">
      <c r="A119" s="27"/>
      <c r="B119" s="32"/>
      <c r="C119" s="32"/>
      <c r="D119" s="27"/>
      <c r="E119" s="31"/>
      <c r="F119" s="32"/>
      <c r="G119" s="32"/>
    </row>
    <row r="120" customFormat="false" ht="15" hidden="false" customHeight="false" outlineLevel="0" collapsed="false">
      <c r="A120" s="27"/>
      <c r="B120" s="32"/>
      <c r="C120" s="32"/>
      <c r="D120" s="27"/>
      <c r="E120" s="31"/>
      <c r="F120" s="32"/>
      <c r="G120" s="32"/>
    </row>
    <row r="121" customFormat="false" ht="15" hidden="false" customHeight="false" outlineLevel="0" collapsed="false">
      <c r="A121" s="27"/>
      <c r="B121" s="32"/>
      <c r="C121" s="32"/>
      <c r="D121" s="27"/>
      <c r="E121" s="31"/>
      <c r="F121" s="32"/>
      <c r="G121" s="32"/>
    </row>
    <row r="122" customFormat="false" ht="15" hidden="false" customHeight="false" outlineLevel="0" collapsed="false">
      <c r="A122" s="27"/>
      <c r="B122" s="32"/>
      <c r="C122" s="32"/>
      <c r="D122" s="27"/>
      <c r="E122" s="31"/>
      <c r="F122" s="32"/>
      <c r="G122" s="32"/>
    </row>
    <row r="123" customFormat="false" ht="15" hidden="false" customHeight="false" outlineLevel="0" collapsed="false">
      <c r="A123" s="27"/>
      <c r="B123" s="32"/>
      <c r="C123" s="32"/>
      <c r="D123" s="27"/>
      <c r="E123" s="31"/>
      <c r="F123" s="32"/>
      <c r="G123" s="32"/>
    </row>
    <row r="124" customFormat="false" ht="15" hidden="false" customHeight="false" outlineLevel="0" collapsed="false">
      <c r="A124" s="27"/>
      <c r="B124" s="32"/>
      <c r="C124" s="32"/>
      <c r="D124" s="27"/>
      <c r="E124" s="31"/>
      <c r="F124" s="32"/>
      <c r="G124" s="32"/>
    </row>
    <row r="125" customFormat="false" ht="15" hidden="false" customHeight="false" outlineLevel="0" collapsed="false">
      <c r="A125" s="27"/>
      <c r="B125" s="32"/>
      <c r="C125" s="32"/>
      <c r="D125" s="27"/>
      <c r="E125" s="31"/>
      <c r="F125" s="32"/>
      <c r="G125" s="32"/>
    </row>
    <row r="126" customFormat="false" ht="15" hidden="false" customHeight="false" outlineLevel="0" collapsed="false">
      <c r="A126" s="27"/>
      <c r="B126" s="32"/>
      <c r="C126" s="32"/>
      <c r="D126" s="27"/>
      <c r="E126" s="31"/>
      <c r="F126" s="32"/>
      <c r="G126" s="32"/>
    </row>
    <row r="127" customFormat="false" ht="15" hidden="false" customHeight="false" outlineLevel="0" collapsed="false">
      <c r="A127" s="27"/>
      <c r="B127" s="32"/>
      <c r="C127" s="32"/>
      <c r="D127" s="27"/>
      <c r="E127" s="31"/>
      <c r="F127" s="32"/>
      <c r="G127" s="32"/>
    </row>
    <row r="128" customFormat="false" ht="15" hidden="false" customHeight="false" outlineLevel="0" collapsed="false">
      <c r="A128" s="27"/>
      <c r="B128" s="32"/>
      <c r="C128" s="32"/>
      <c r="D128" s="27"/>
      <c r="E128" s="31"/>
      <c r="F128" s="32"/>
      <c r="G128" s="32"/>
    </row>
    <row r="129" customFormat="false" ht="15" hidden="false" customHeight="false" outlineLevel="0" collapsed="false">
      <c r="A129" s="27"/>
      <c r="B129" s="32"/>
      <c r="C129" s="32"/>
      <c r="D129" s="27"/>
      <c r="E129" s="31"/>
      <c r="F129" s="32"/>
      <c r="G129" s="32"/>
    </row>
    <row r="130" customFormat="false" ht="15" hidden="false" customHeight="false" outlineLevel="0" collapsed="false">
      <c r="A130" s="27"/>
      <c r="B130" s="32"/>
      <c r="C130" s="32"/>
      <c r="D130" s="27"/>
      <c r="E130" s="31"/>
      <c r="F130" s="32"/>
      <c r="G130" s="32"/>
    </row>
    <row r="131" customFormat="false" ht="15" hidden="false" customHeight="false" outlineLevel="0" collapsed="false">
      <c r="A131" s="27"/>
      <c r="B131" s="32"/>
      <c r="C131" s="32"/>
      <c r="D131" s="27"/>
      <c r="E131" s="31"/>
      <c r="F131" s="32"/>
      <c r="G131" s="32"/>
    </row>
    <row r="132" customFormat="false" ht="15" hidden="false" customHeight="false" outlineLevel="0" collapsed="false">
      <c r="A132" s="27"/>
      <c r="B132" s="32"/>
      <c r="C132" s="32"/>
      <c r="D132" s="27"/>
      <c r="E132" s="31"/>
      <c r="F132" s="32"/>
      <c r="G132" s="32"/>
    </row>
    <row r="133" customFormat="false" ht="15" hidden="false" customHeight="false" outlineLevel="0" collapsed="false">
      <c r="A133" s="27"/>
      <c r="B133" s="32"/>
      <c r="C133" s="32"/>
      <c r="D133" s="27"/>
      <c r="E133" s="31"/>
      <c r="F133" s="32"/>
      <c r="G133" s="32"/>
    </row>
    <row r="134" customFormat="false" ht="15" hidden="false" customHeight="false" outlineLevel="0" collapsed="false">
      <c r="A134" s="27"/>
      <c r="B134" s="32"/>
      <c r="C134" s="32"/>
      <c r="D134" s="27"/>
      <c r="E134" s="31"/>
      <c r="F134" s="32"/>
      <c r="G134" s="32"/>
    </row>
    <row r="135" customFormat="false" ht="15" hidden="false" customHeight="false" outlineLevel="0" collapsed="false">
      <c r="A135" s="27"/>
      <c r="B135" s="32"/>
      <c r="C135" s="32"/>
      <c r="D135" s="27"/>
      <c r="E135" s="31"/>
      <c r="F135" s="32"/>
      <c r="G135" s="32"/>
    </row>
    <row r="136" customFormat="false" ht="15" hidden="false" customHeight="false" outlineLevel="0" collapsed="false">
      <c r="A136" s="27"/>
      <c r="B136" s="32"/>
      <c r="C136" s="32"/>
      <c r="D136" s="27"/>
      <c r="E136" s="31"/>
      <c r="F136" s="32"/>
      <c r="G136" s="32"/>
    </row>
    <row r="137" customFormat="false" ht="15" hidden="false" customHeight="false" outlineLevel="0" collapsed="false">
      <c r="A137" s="27"/>
      <c r="B137" s="32"/>
      <c r="C137" s="32"/>
      <c r="D137" s="27"/>
      <c r="E137" s="31"/>
      <c r="F137" s="32"/>
      <c r="G137" s="32"/>
    </row>
    <row r="138" customFormat="false" ht="15" hidden="false" customHeight="false" outlineLevel="0" collapsed="false">
      <c r="A138" s="27"/>
      <c r="B138" s="32"/>
      <c r="C138" s="32"/>
      <c r="D138" s="27"/>
      <c r="E138" s="31"/>
      <c r="F138" s="32"/>
      <c r="G138" s="32"/>
    </row>
    <row r="139" customFormat="false" ht="15" hidden="false" customHeight="false" outlineLevel="0" collapsed="false">
      <c r="A139" s="27"/>
      <c r="B139" s="32"/>
      <c r="C139" s="32"/>
      <c r="D139" s="27"/>
      <c r="E139" s="31"/>
      <c r="F139" s="32"/>
      <c r="G139" s="32"/>
    </row>
    <row r="140" customFormat="false" ht="15" hidden="false" customHeight="false" outlineLevel="0" collapsed="false">
      <c r="A140" s="27"/>
      <c r="B140" s="32"/>
      <c r="C140" s="32"/>
      <c r="D140" s="27"/>
      <c r="E140" s="31"/>
      <c r="F140" s="32"/>
      <c r="G140" s="32"/>
    </row>
    <row r="141" customFormat="false" ht="15" hidden="false" customHeight="false" outlineLevel="0" collapsed="false">
      <c r="A141" s="27"/>
      <c r="B141" s="32"/>
      <c r="C141" s="32"/>
      <c r="D141" s="27"/>
      <c r="E141" s="31"/>
      <c r="F141" s="32"/>
      <c r="G141" s="32"/>
    </row>
    <row r="142" customFormat="false" ht="15" hidden="false" customHeight="false" outlineLevel="0" collapsed="false">
      <c r="A142" s="27"/>
      <c r="B142" s="32"/>
      <c r="C142" s="32"/>
      <c r="D142" s="27"/>
      <c r="E142" s="31"/>
      <c r="F142" s="32"/>
      <c r="G142" s="32"/>
    </row>
    <row r="143" customFormat="false" ht="15" hidden="false" customHeight="false" outlineLevel="0" collapsed="false">
      <c r="A143" s="27"/>
      <c r="B143" s="32"/>
      <c r="C143" s="32"/>
      <c r="D143" s="27"/>
      <c r="E143" s="31"/>
      <c r="F143" s="32"/>
      <c r="G143" s="32"/>
    </row>
    <row r="144" customFormat="false" ht="15" hidden="false" customHeight="false" outlineLevel="0" collapsed="false">
      <c r="A144" s="27"/>
      <c r="B144" s="32"/>
      <c r="C144" s="32"/>
      <c r="D144" s="27"/>
      <c r="E144" s="31"/>
      <c r="F144" s="32"/>
      <c r="G144" s="32"/>
    </row>
    <row r="145" customFormat="false" ht="15" hidden="false" customHeight="false" outlineLevel="0" collapsed="false">
      <c r="A145" s="27"/>
      <c r="B145" s="32"/>
      <c r="C145" s="32"/>
      <c r="D145" s="27"/>
      <c r="E145" s="31"/>
      <c r="F145" s="32"/>
      <c r="G145" s="32"/>
    </row>
    <row r="146" customFormat="false" ht="15" hidden="false" customHeight="false" outlineLevel="0" collapsed="false">
      <c r="A146" s="27"/>
      <c r="B146" s="32"/>
      <c r="C146" s="32"/>
      <c r="D146" s="27"/>
      <c r="E146" s="31"/>
      <c r="F146" s="32"/>
      <c r="G146" s="32"/>
    </row>
    <row r="147" customFormat="false" ht="15" hidden="false" customHeight="false" outlineLevel="0" collapsed="false">
      <c r="A147" s="27"/>
      <c r="B147" s="32"/>
      <c r="C147" s="32"/>
      <c r="D147" s="27"/>
      <c r="E147" s="31"/>
      <c r="F147" s="32"/>
      <c r="G147" s="32"/>
    </row>
    <row r="148" customFormat="false" ht="15" hidden="false" customHeight="false" outlineLevel="0" collapsed="false">
      <c r="A148" s="27"/>
      <c r="B148" s="32"/>
      <c r="C148" s="32"/>
      <c r="D148" s="27"/>
      <c r="E148" s="31"/>
      <c r="F148" s="32"/>
      <c r="G148" s="32"/>
    </row>
    <row r="149" customFormat="false" ht="15" hidden="false" customHeight="false" outlineLevel="0" collapsed="false">
      <c r="A149" s="27"/>
      <c r="B149" s="32"/>
      <c r="C149" s="32"/>
      <c r="D149" s="27"/>
      <c r="E149" s="31"/>
      <c r="F149" s="32"/>
      <c r="G149" s="32"/>
    </row>
    <row r="150" customFormat="false" ht="15" hidden="false" customHeight="false" outlineLevel="0" collapsed="false">
      <c r="A150" s="27"/>
      <c r="B150" s="32"/>
      <c r="C150" s="32"/>
      <c r="D150" s="27"/>
      <c r="E150" s="31"/>
      <c r="F150" s="32"/>
      <c r="G150" s="32"/>
    </row>
    <row r="151" customFormat="false" ht="15" hidden="false" customHeight="false" outlineLevel="0" collapsed="false">
      <c r="A151" s="27"/>
      <c r="B151" s="32"/>
      <c r="C151" s="32"/>
      <c r="D151" s="27"/>
      <c r="E151" s="31"/>
      <c r="F151" s="32"/>
      <c r="G151" s="32"/>
    </row>
    <row r="152" customFormat="false" ht="15" hidden="false" customHeight="false" outlineLevel="0" collapsed="false">
      <c r="A152" s="27"/>
      <c r="B152" s="32"/>
      <c r="C152" s="32"/>
      <c r="D152" s="27"/>
      <c r="E152" s="31"/>
      <c r="F152" s="32"/>
      <c r="G152" s="32"/>
    </row>
    <row r="153" customFormat="false" ht="15" hidden="false" customHeight="false" outlineLevel="0" collapsed="false">
      <c r="A153" s="27"/>
      <c r="B153" s="32"/>
      <c r="C153" s="32"/>
      <c r="D153" s="27"/>
      <c r="E153" s="31"/>
      <c r="F153" s="32"/>
      <c r="G153" s="32"/>
    </row>
    <row r="154" customFormat="false" ht="15" hidden="false" customHeight="false" outlineLevel="0" collapsed="false">
      <c r="A154" s="27"/>
      <c r="B154" s="32"/>
      <c r="C154" s="32"/>
      <c r="D154" s="27"/>
      <c r="E154" s="31"/>
      <c r="F154" s="32"/>
      <c r="G154" s="32"/>
    </row>
    <row r="155" customFormat="false" ht="15" hidden="false" customHeight="false" outlineLevel="0" collapsed="false">
      <c r="A155" s="27"/>
      <c r="B155" s="32"/>
      <c r="C155" s="32"/>
      <c r="D155" s="27"/>
      <c r="E155" s="31"/>
      <c r="F155" s="32"/>
      <c r="G155" s="32"/>
    </row>
    <row r="156" customFormat="false" ht="15" hidden="false" customHeight="false" outlineLevel="0" collapsed="false">
      <c r="A156" s="27"/>
      <c r="B156" s="32"/>
      <c r="C156" s="32"/>
      <c r="D156" s="27"/>
      <c r="E156" s="31"/>
      <c r="F156" s="32"/>
      <c r="G156" s="32"/>
    </row>
    <row r="157" customFormat="false" ht="15" hidden="false" customHeight="false" outlineLevel="0" collapsed="false">
      <c r="A157" s="27"/>
      <c r="B157" s="32"/>
      <c r="C157" s="32"/>
      <c r="D157" s="27"/>
      <c r="E157" s="31"/>
      <c r="F157" s="32"/>
      <c r="G157" s="32"/>
    </row>
    <row r="158" customFormat="false" ht="15" hidden="false" customHeight="false" outlineLevel="0" collapsed="false">
      <c r="A158" s="27"/>
      <c r="B158" s="32"/>
      <c r="C158" s="32"/>
      <c r="D158" s="27"/>
      <c r="E158" s="31"/>
      <c r="F158" s="32"/>
      <c r="G158" s="32"/>
    </row>
    <row r="159" customFormat="false" ht="15" hidden="false" customHeight="false" outlineLevel="0" collapsed="false">
      <c r="A159" s="27"/>
      <c r="B159" s="32"/>
      <c r="C159" s="32"/>
      <c r="D159" s="27"/>
      <c r="E159" s="31"/>
      <c r="F159" s="32"/>
      <c r="G159" s="32"/>
    </row>
    <row r="160" customFormat="false" ht="15" hidden="false" customHeight="false" outlineLevel="0" collapsed="false">
      <c r="A160" s="27"/>
      <c r="B160" s="32"/>
      <c r="C160" s="32"/>
      <c r="D160" s="27"/>
      <c r="E160" s="31"/>
      <c r="F160" s="32"/>
      <c r="G160" s="32"/>
    </row>
    <row r="161" customFormat="false" ht="15" hidden="false" customHeight="false" outlineLevel="0" collapsed="false">
      <c r="A161" s="27"/>
      <c r="B161" s="32"/>
      <c r="C161" s="32"/>
      <c r="D161" s="27"/>
      <c r="E161" s="31"/>
      <c r="F161" s="32"/>
      <c r="G161" s="32"/>
    </row>
    <row r="162" customFormat="false" ht="15" hidden="false" customHeight="false" outlineLevel="0" collapsed="false">
      <c r="A162" s="27"/>
      <c r="B162" s="32"/>
      <c r="C162" s="32"/>
      <c r="D162" s="27"/>
      <c r="E162" s="31"/>
      <c r="F162" s="32"/>
      <c r="G162" s="32"/>
    </row>
    <row r="163" customFormat="false" ht="15" hidden="false" customHeight="false" outlineLevel="0" collapsed="false">
      <c r="A163" s="27"/>
      <c r="B163" s="32"/>
      <c r="C163" s="32"/>
      <c r="D163" s="27"/>
      <c r="E163" s="31"/>
      <c r="F163" s="32"/>
      <c r="G163" s="32"/>
    </row>
    <row r="164" customFormat="false" ht="15" hidden="false" customHeight="false" outlineLevel="0" collapsed="false">
      <c r="A164" s="27"/>
      <c r="B164" s="32"/>
      <c r="C164" s="32"/>
      <c r="D164" s="27"/>
      <c r="E164" s="31"/>
      <c r="F164" s="32"/>
      <c r="G164" s="32"/>
    </row>
    <row r="165" customFormat="false" ht="15" hidden="false" customHeight="false" outlineLevel="0" collapsed="false">
      <c r="A165" s="27"/>
      <c r="B165" s="32"/>
      <c r="C165" s="32"/>
      <c r="D165" s="27"/>
      <c r="E165" s="31"/>
      <c r="F165" s="32"/>
      <c r="G165" s="32"/>
    </row>
    <row r="166" customFormat="false" ht="15" hidden="false" customHeight="false" outlineLevel="0" collapsed="false">
      <c r="A166" s="27"/>
      <c r="B166" s="32"/>
      <c r="C166" s="32"/>
      <c r="D166" s="27"/>
      <c r="E166" s="31"/>
      <c r="F166" s="32"/>
      <c r="G166" s="32"/>
    </row>
    <row r="167" customFormat="false" ht="15" hidden="false" customHeight="false" outlineLevel="0" collapsed="false">
      <c r="A167" s="27"/>
      <c r="B167" s="32"/>
      <c r="C167" s="32"/>
      <c r="D167" s="27"/>
      <c r="E167" s="31"/>
      <c r="F167" s="32"/>
      <c r="G167" s="32"/>
    </row>
    <row r="168" customFormat="false" ht="15" hidden="false" customHeight="false" outlineLevel="0" collapsed="false">
      <c r="A168" s="27"/>
      <c r="B168" s="32"/>
      <c r="C168" s="32"/>
      <c r="D168" s="27"/>
      <c r="E168" s="31"/>
      <c r="F168" s="32"/>
      <c r="G168" s="32"/>
    </row>
    <row r="169" customFormat="false" ht="15" hidden="false" customHeight="false" outlineLevel="0" collapsed="false">
      <c r="A169" s="27"/>
      <c r="B169" s="32"/>
      <c r="C169" s="32"/>
      <c r="D169" s="27"/>
      <c r="E169" s="31"/>
      <c r="F169" s="32"/>
      <c r="G169" s="32"/>
    </row>
    <row r="170" customFormat="false" ht="15" hidden="false" customHeight="false" outlineLevel="0" collapsed="false">
      <c r="A170" s="27"/>
      <c r="B170" s="32"/>
      <c r="C170" s="32"/>
      <c r="D170" s="27"/>
      <c r="E170" s="31"/>
      <c r="F170" s="32"/>
      <c r="G170" s="32"/>
    </row>
    <row r="171" customFormat="false" ht="15" hidden="false" customHeight="false" outlineLevel="0" collapsed="false">
      <c r="A171" s="27"/>
      <c r="B171" s="32"/>
      <c r="C171" s="32"/>
      <c r="D171" s="27"/>
      <c r="E171" s="31"/>
      <c r="F171" s="32"/>
      <c r="G171" s="32"/>
    </row>
    <row r="172" customFormat="false" ht="15" hidden="false" customHeight="false" outlineLevel="0" collapsed="false">
      <c r="A172" s="27"/>
      <c r="B172" s="32"/>
      <c r="C172" s="32"/>
      <c r="D172" s="27"/>
      <c r="E172" s="31"/>
      <c r="F172" s="32"/>
      <c r="G172" s="32"/>
    </row>
    <row r="173" customFormat="false" ht="15" hidden="false" customHeight="false" outlineLevel="0" collapsed="false">
      <c r="A173" s="27"/>
      <c r="B173" s="32"/>
      <c r="C173" s="32"/>
      <c r="D173" s="27"/>
      <c r="E173" s="31"/>
      <c r="F173" s="32"/>
      <c r="G173" s="32"/>
    </row>
    <row r="174" customFormat="false" ht="15" hidden="false" customHeight="false" outlineLevel="0" collapsed="false">
      <c r="A174" s="27"/>
      <c r="B174" s="32"/>
      <c r="C174" s="32"/>
      <c r="D174" s="27"/>
      <c r="E174" s="31"/>
      <c r="F174" s="32"/>
      <c r="G174" s="32"/>
    </row>
    <row r="175" customFormat="false" ht="15" hidden="false" customHeight="false" outlineLevel="0" collapsed="false">
      <c r="A175" s="27"/>
      <c r="B175" s="32"/>
      <c r="C175" s="32"/>
      <c r="D175" s="27"/>
      <c r="E175" s="31"/>
      <c r="F175" s="32"/>
      <c r="G175" s="32"/>
    </row>
    <row r="176" customFormat="false" ht="15" hidden="false" customHeight="false" outlineLevel="0" collapsed="false">
      <c r="A176" s="27"/>
      <c r="B176" s="32"/>
      <c r="C176" s="32"/>
      <c r="D176" s="27"/>
      <c r="E176" s="31"/>
      <c r="F176" s="32"/>
      <c r="G176" s="32"/>
    </row>
    <row r="177" customFormat="false" ht="15" hidden="false" customHeight="false" outlineLevel="0" collapsed="false">
      <c r="A177" s="27"/>
      <c r="B177" s="32"/>
      <c r="C177" s="32"/>
      <c r="D177" s="27"/>
      <c r="E177" s="31"/>
      <c r="F177" s="32"/>
      <c r="G177" s="32"/>
    </row>
    <row r="178" customFormat="false" ht="15" hidden="false" customHeight="false" outlineLevel="0" collapsed="false">
      <c r="A178" s="27"/>
      <c r="B178" s="32"/>
      <c r="C178" s="32"/>
      <c r="D178" s="27"/>
      <c r="E178" s="31"/>
      <c r="F178" s="32"/>
      <c r="G178" s="32"/>
    </row>
    <row r="179" customFormat="false" ht="15" hidden="false" customHeight="false" outlineLevel="0" collapsed="false">
      <c r="A179" s="27"/>
      <c r="B179" s="32"/>
      <c r="C179" s="32"/>
      <c r="D179" s="27"/>
      <c r="E179" s="31"/>
      <c r="F179" s="32"/>
      <c r="G179" s="32"/>
    </row>
    <row r="180" customFormat="false" ht="15" hidden="false" customHeight="false" outlineLevel="0" collapsed="false">
      <c r="A180" s="27"/>
      <c r="B180" s="32"/>
      <c r="C180" s="32"/>
      <c r="D180" s="27"/>
      <c r="E180" s="31"/>
      <c r="F180" s="32"/>
      <c r="G180" s="32"/>
    </row>
    <row r="181" customFormat="false" ht="15" hidden="false" customHeight="false" outlineLevel="0" collapsed="false">
      <c r="A181" s="27"/>
      <c r="B181" s="32"/>
      <c r="C181" s="32"/>
      <c r="D181" s="27"/>
      <c r="E181" s="31"/>
      <c r="F181" s="32"/>
      <c r="G181" s="32"/>
    </row>
    <row r="182" customFormat="false" ht="15" hidden="false" customHeight="false" outlineLevel="0" collapsed="false">
      <c r="A182" s="27"/>
      <c r="B182" s="32"/>
      <c r="C182" s="32"/>
      <c r="D182" s="27"/>
      <c r="E182" s="31"/>
      <c r="F182" s="32"/>
      <c r="G182" s="32"/>
    </row>
    <row r="183" customFormat="false" ht="15" hidden="false" customHeight="false" outlineLevel="0" collapsed="false">
      <c r="A183" s="27"/>
      <c r="B183" s="32"/>
      <c r="C183" s="32"/>
      <c r="D183" s="27"/>
      <c r="E183" s="31"/>
      <c r="F183" s="32"/>
      <c r="G183" s="32"/>
    </row>
    <row r="184" customFormat="false" ht="15" hidden="false" customHeight="false" outlineLevel="0" collapsed="false">
      <c r="A184" s="27"/>
      <c r="B184" s="32"/>
      <c r="C184" s="32"/>
      <c r="D184" s="27"/>
      <c r="E184" s="31"/>
      <c r="F184" s="32"/>
      <c r="G184" s="32"/>
    </row>
    <row r="185" customFormat="false" ht="15" hidden="false" customHeight="false" outlineLevel="0" collapsed="false">
      <c r="A185" s="27"/>
      <c r="B185" s="32"/>
      <c r="C185" s="32"/>
      <c r="D185" s="27"/>
      <c r="E185" s="31"/>
      <c r="F185" s="32"/>
      <c r="G185" s="32"/>
    </row>
    <row r="186" customFormat="false" ht="15" hidden="false" customHeight="false" outlineLevel="0" collapsed="false">
      <c r="A186" s="27"/>
      <c r="B186" s="32"/>
      <c r="C186" s="32"/>
      <c r="D186" s="27"/>
      <c r="E186" s="31"/>
      <c r="F186" s="32"/>
      <c r="G186" s="32"/>
    </row>
    <row r="187" customFormat="false" ht="15" hidden="false" customHeight="false" outlineLevel="0" collapsed="false">
      <c r="A187" s="27"/>
      <c r="B187" s="32"/>
      <c r="C187" s="32"/>
      <c r="D187" s="27"/>
      <c r="E187" s="31"/>
      <c r="F187" s="32"/>
      <c r="G187" s="32"/>
    </row>
    <row r="188" customFormat="false" ht="15" hidden="false" customHeight="false" outlineLevel="0" collapsed="false">
      <c r="A188" s="27"/>
      <c r="B188" s="32"/>
      <c r="C188" s="32"/>
      <c r="D188" s="27"/>
      <c r="E188" s="31"/>
      <c r="F188" s="32"/>
      <c r="G188" s="32"/>
    </row>
    <row r="189" customFormat="false" ht="15" hidden="false" customHeight="false" outlineLevel="0" collapsed="false">
      <c r="A189" s="27"/>
      <c r="B189" s="32"/>
      <c r="C189" s="32"/>
      <c r="D189" s="27"/>
      <c r="E189" s="31"/>
      <c r="F189" s="32"/>
      <c r="G189" s="32"/>
    </row>
    <row r="190" customFormat="false" ht="15" hidden="false" customHeight="false" outlineLevel="0" collapsed="false">
      <c r="A190" s="27"/>
      <c r="B190" s="32"/>
      <c r="C190" s="32"/>
      <c r="D190" s="27"/>
      <c r="E190" s="31"/>
      <c r="F190" s="32"/>
      <c r="G190" s="32"/>
    </row>
    <row r="191" customFormat="false" ht="15" hidden="false" customHeight="false" outlineLevel="0" collapsed="false">
      <c r="A191" s="27"/>
      <c r="B191" s="32"/>
      <c r="C191" s="32"/>
      <c r="D191" s="27"/>
      <c r="E191" s="31"/>
      <c r="F191" s="32"/>
      <c r="G191" s="32"/>
    </row>
    <row r="192" customFormat="false" ht="15" hidden="false" customHeight="false" outlineLevel="0" collapsed="false">
      <c r="A192" s="27"/>
      <c r="B192" s="32"/>
      <c r="C192" s="32"/>
      <c r="D192" s="27"/>
      <c r="E192" s="31"/>
      <c r="F192" s="32"/>
      <c r="G192" s="32"/>
    </row>
    <row r="193" customFormat="false" ht="15" hidden="false" customHeight="false" outlineLevel="0" collapsed="false">
      <c r="A193" s="27"/>
      <c r="B193" s="32"/>
      <c r="C193" s="32"/>
      <c r="D193" s="27"/>
      <c r="E193" s="31"/>
      <c r="F193" s="32"/>
      <c r="G193" s="32"/>
    </row>
    <row r="194" customFormat="false" ht="15" hidden="false" customHeight="false" outlineLevel="0" collapsed="false">
      <c r="A194" s="27"/>
      <c r="B194" s="32"/>
      <c r="C194" s="32"/>
      <c r="D194" s="27"/>
      <c r="E194" s="31"/>
      <c r="F194" s="32"/>
      <c r="G194" s="32"/>
    </row>
    <row r="195" customFormat="false" ht="15" hidden="false" customHeight="false" outlineLevel="0" collapsed="false">
      <c r="A195" s="27"/>
      <c r="B195" s="32"/>
      <c r="C195" s="32"/>
      <c r="D195" s="27"/>
      <c r="E195" s="31"/>
      <c r="F195" s="32"/>
      <c r="G195" s="32"/>
    </row>
    <row r="196" customFormat="false" ht="15" hidden="false" customHeight="false" outlineLevel="0" collapsed="false">
      <c r="A196" s="27"/>
      <c r="B196" s="32"/>
      <c r="C196" s="32"/>
      <c r="D196" s="27"/>
      <c r="E196" s="31"/>
      <c r="F196" s="32"/>
      <c r="G196" s="32"/>
    </row>
    <row r="197" customFormat="false" ht="15" hidden="false" customHeight="false" outlineLevel="0" collapsed="false">
      <c r="A197" s="27"/>
      <c r="B197" s="32"/>
      <c r="C197" s="32"/>
      <c r="D197" s="27"/>
      <c r="E197" s="31"/>
      <c r="F197" s="32"/>
      <c r="G197" s="32"/>
    </row>
    <row r="198" customFormat="false" ht="15" hidden="false" customHeight="false" outlineLevel="0" collapsed="false">
      <c r="A198" s="27"/>
      <c r="B198" s="32"/>
      <c r="C198" s="32"/>
      <c r="D198" s="27"/>
      <c r="E198" s="31"/>
      <c r="F198" s="32"/>
      <c r="G198" s="32"/>
    </row>
    <row r="199" customFormat="false" ht="15" hidden="false" customHeight="false" outlineLevel="0" collapsed="false">
      <c r="A199" s="27"/>
      <c r="B199" s="32"/>
      <c r="C199" s="32"/>
      <c r="D199" s="27"/>
      <c r="E199" s="31"/>
      <c r="F199" s="32"/>
      <c r="G199" s="32"/>
    </row>
    <row r="200" customFormat="false" ht="15" hidden="false" customHeight="false" outlineLevel="0" collapsed="false">
      <c r="A200" s="27"/>
      <c r="B200" s="32"/>
      <c r="C200" s="32"/>
      <c r="D200" s="27"/>
      <c r="E200" s="31"/>
      <c r="F200" s="32"/>
      <c r="G200" s="32"/>
    </row>
    <row r="201" customFormat="false" ht="15" hidden="false" customHeight="false" outlineLevel="0" collapsed="false">
      <c r="A201" s="27"/>
      <c r="B201" s="32"/>
      <c r="C201" s="32"/>
      <c r="D201" s="27"/>
      <c r="E201" s="31"/>
      <c r="F201" s="32"/>
      <c r="G201" s="32"/>
    </row>
    <row r="202" customFormat="false" ht="15" hidden="false" customHeight="false" outlineLevel="0" collapsed="false">
      <c r="A202" s="27"/>
      <c r="B202" s="32"/>
      <c r="C202" s="32"/>
      <c r="D202" s="27"/>
      <c r="E202" s="31"/>
      <c r="F202" s="32"/>
      <c r="G202" s="32"/>
    </row>
    <row r="203" customFormat="false" ht="15" hidden="false" customHeight="false" outlineLevel="0" collapsed="false">
      <c r="A203" s="27"/>
      <c r="B203" s="32"/>
      <c r="C203" s="32"/>
      <c r="D203" s="27"/>
      <c r="E203" s="31"/>
      <c r="F203" s="32"/>
      <c r="G203" s="32"/>
    </row>
    <row r="204" customFormat="false" ht="15" hidden="false" customHeight="false" outlineLevel="0" collapsed="false">
      <c r="A204" s="27"/>
      <c r="B204" s="32"/>
      <c r="C204" s="32"/>
      <c r="D204" s="27"/>
      <c r="E204" s="31"/>
      <c r="F204" s="32"/>
      <c r="G204" s="32"/>
    </row>
    <row r="205" customFormat="false" ht="15" hidden="false" customHeight="false" outlineLevel="0" collapsed="false">
      <c r="A205" s="27"/>
      <c r="B205" s="32"/>
      <c r="C205" s="32"/>
      <c r="D205" s="27"/>
      <c r="E205" s="31"/>
      <c r="F205" s="32"/>
      <c r="G205" s="32"/>
    </row>
    <row r="206" customFormat="false" ht="15" hidden="false" customHeight="false" outlineLevel="0" collapsed="false">
      <c r="A206" s="27"/>
      <c r="B206" s="32"/>
      <c r="C206" s="32"/>
      <c r="D206" s="27"/>
      <c r="E206" s="31"/>
      <c r="F206" s="32"/>
      <c r="G206" s="32"/>
    </row>
    <row r="207" customFormat="false" ht="15" hidden="false" customHeight="false" outlineLevel="0" collapsed="false">
      <c r="A207" s="27"/>
      <c r="B207" s="32"/>
      <c r="C207" s="32"/>
      <c r="D207" s="27"/>
      <c r="E207" s="31"/>
      <c r="F207" s="32"/>
      <c r="G207" s="32"/>
    </row>
    <row r="208" customFormat="false" ht="15" hidden="false" customHeight="false" outlineLevel="0" collapsed="false">
      <c r="A208" s="27"/>
      <c r="B208" s="32"/>
      <c r="C208" s="32"/>
      <c r="D208" s="27"/>
      <c r="E208" s="31"/>
      <c r="F208" s="32"/>
      <c r="G208" s="32"/>
    </row>
    <row r="209" customFormat="false" ht="15" hidden="false" customHeight="false" outlineLevel="0" collapsed="false">
      <c r="A209" s="27"/>
      <c r="B209" s="32"/>
      <c r="C209" s="32"/>
      <c r="D209" s="27"/>
      <c r="E209" s="31"/>
      <c r="F209" s="32"/>
      <c r="G209" s="32"/>
    </row>
    <row r="210" customFormat="false" ht="15" hidden="false" customHeight="false" outlineLevel="0" collapsed="false">
      <c r="A210" s="27"/>
      <c r="B210" s="32"/>
      <c r="C210" s="32"/>
      <c r="D210" s="27"/>
      <c r="E210" s="31"/>
      <c r="F210" s="32"/>
      <c r="G210" s="32"/>
    </row>
    <row r="211" customFormat="false" ht="15" hidden="false" customHeight="false" outlineLevel="0" collapsed="false">
      <c r="A211" s="27"/>
      <c r="B211" s="32"/>
      <c r="C211" s="32"/>
      <c r="D211" s="27"/>
      <c r="E211" s="31"/>
      <c r="F211" s="32"/>
      <c r="G211" s="32"/>
    </row>
    <row r="212" customFormat="false" ht="15" hidden="false" customHeight="false" outlineLevel="0" collapsed="false">
      <c r="A212" s="27"/>
      <c r="B212" s="32"/>
      <c r="C212" s="32"/>
      <c r="D212" s="27"/>
      <c r="E212" s="31"/>
      <c r="F212" s="32"/>
      <c r="G212" s="32"/>
    </row>
    <row r="213" customFormat="false" ht="15" hidden="false" customHeight="false" outlineLevel="0" collapsed="false">
      <c r="A213" s="27"/>
      <c r="B213" s="32"/>
      <c r="C213" s="32"/>
      <c r="D213" s="27"/>
      <c r="E213" s="31"/>
      <c r="F213" s="32"/>
      <c r="G213" s="32"/>
    </row>
    <row r="214" customFormat="false" ht="15" hidden="false" customHeight="false" outlineLevel="0" collapsed="false">
      <c r="A214" s="27"/>
      <c r="B214" s="32"/>
      <c r="C214" s="32"/>
      <c r="D214" s="27"/>
      <c r="E214" s="31"/>
      <c r="F214" s="32"/>
      <c r="G214" s="32"/>
    </row>
    <row r="215" customFormat="false" ht="15" hidden="false" customHeight="false" outlineLevel="0" collapsed="false">
      <c r="A215" s="27"/>
      <c r="B215" s="32"/>
      <c r="C215" s="32"/>
      <c r="D215" s="27"/>
      <c r="E215" s="31"/>
      <c r="F215" s="32"/>
      <c r="G215" s="32"/>
    </row>
    <row r="216" customFormat="false" ht="15" hidden="false" customHeight="false" outlineLevel="0" collapsed="false">
      <c r="A216" s="27"/>
      <c r="B216" s="32"/>
      <c r="C216" s="32"/>
      <c r="D216" s="27"/>
      <c r="E216" s="31"/>
      <c r="F216" s="32"/>
      <c r="G216" s="32"/>
    </row>
    <row r="217" customFormat="false" ht="15" hidden="false" customHeight="false" outlineLevel="0" collapsed="false">
      <c r="A217" s="27"/>
      <c r="B217" s="32"/>
      <c r="C217" s="32"/>
      <c r="D217" s="27"/>
      <c r="E217" s="31"/>
      <c r="F217" s="32"/>
      <c r="G217" s="32"/>
    </row>
    <row r="218" customFormat="false" ht="15" hidden="false" customHeight="false" outlineLevel="0" collapsed="false">
      <c r="A218" s="27"/>
      <c r="B218" s="32"/>
      <c r="C218" s="32"/>
      <c r="D218" s="27"/>
      <c r="E218" s="31"/>
      <c r="F218" s="32"/>
      <c r="G218" s="32"/>
    </row>
    <row r="219" customFormat="false" ht="15" hidden="false" customHeight="false" outlineLevel="0" collapsed="false">
      <c r="A219" s="27"/>
      <c r="B219" s="32"/>
      <c r="C219" s="32"/>
      <c r="D219" s="27"/>
      <c r="E219" s="31"/>
      <c r="F219" s="32"/>
      <c r="G219" s="32"/>
    </row>
    <row r="220" customFormat="false" ht="15" hidden="false" customHeight="false" outlineLevel="0" collapsed="false">
      <c r="A220" s="27"/>
      <c r="B220" s="32"/>
      <c r="C220" s="32"/>
      <c r="D220" s="27"/>
      <c r="E220" s="31"/>
      <c r="F220" s="32"/>
      <c r="G220" s="32"/>
    </row>
    <row r="221" customFormat="false" ht="15" hidden="false" customHeight="false" outlineLevel="0" collapsed="false">
      <c r="A221" s="27"/>
      <c r="B221" s="32"/>
      <c r="C221" s="32"/>
      <c r="D221" s="27"/>
      <c r="E221" s="31"/>
      <c r="F221" s="32"/>
      <c r="G221" s="32"/>
    </row>
    <row r="222" customFormat="false" ht="15" hidden="false" customHeight="false" outlineLevel="0" collapsed="false">
      <c r="A222" s="27"/>
      <c r="B222" s="32"/>
      <c r="C222" s="32"/>
      <c r="D222" s="27"/>
      <c r="E222" s="31"/>
      <c r="F222" s="32"/>
      <c r="G222" s="32"/>
    </row>
    <row r="223" customFormat="false" ht="15" hidden="false" customHeight="false" outlineLevel="0" collapsed="false">
      <c r="A223" s="27"/>
      <c r="B223" s="32"/>
      <c r="C223" s="32"/>
      <c r="D223" s="27"/>
      <c r="E223" s="31"/>
      <c r="F223" s="32"/>
      <c r="G223" s="32"/>
    </row>
    <row r="224" customFormat="false" ht="15" hidden="false" customHeight="false" outlineLevel="0" collapsed="false">
      <c r="A224" s="27"/>
      <c r="B224" s="32"/>
      <c r="C224" s="32"/>
      <c r="D224" s="27"/>
      <c r="E224" s="31"/>
      <c r="F224" s="32"/>
      <c r="G224" s="32"/>
    </row>
    <row r="225" customFormat="false" ht="15" hidden="false" customHeight="false" outlineLevel="0" collapsed="false">
      <c r="A225" s="27"/>
      <c r="B225" s="32"/>
      <c r="C225" s="32"/>
      <c r="D225" s="27"/>
      <c r="E225" s="31"/>
      <c r="F225" s="32"/>
      <c r="G225" s="32"/>
    </row>
    <row r="226" customFormat="false" ht="15" hidden="false" customHeight="false" outlineLevel="0" collapsed="false">
      <c r="A226" s="27"/>
      <c r="B226" s="32"/>
      <c r="C226" s="32"/>
      <c r="D226" s="27"/>
      <c r="E226" s="31"/>
      <c r="F226" s="32"/>
      <c r="G226" s="32"/>
    </row>
    <row r="227" customFormat="false" ht="15" hidden="false" customHeight="false" outlineLevel="0" collapsed="false">
      <c r="A227" s="27"/>
      <c r="B227" s="32"/>
      <c r="C227" s="32"/>
      <c r="D227" s="27"/>
      <c r="E227" s="31"/>
      <c r="F227" s="32"/>
      <c r="G227" s="32"/>
    </row>
    <row r="228" customFormat="false" ht="15" hidden="false" customHeight="false" outlineLevel="0" collapsed="false">
      <c r="A228" s="27"/>
      <c r="B228" s="32"/>
      <c r="C228" s="32"/>
      <c r="D228" s="27"/>
      <c r="E228" s="31"/>
      <c r="F228" s="32"/>
      <c r="G228" s="32"/>
    </row>
    <row r="229" customFormat="false" ht="15" hidden="false" customHeight="false" outlineLevel="0" collapsed="false">
      <c r="A229" s="27"/>
      <c r="B229" s="32"/>
      <c r="C229" s="32"/>
      <c r="D229" s="27"/>
      <c r="E229" s="31"/>
      <c r="F229" s="32"/>
      <c r="G229" s="32"/>
    </row>
    <row r="230" customFormat="false" ht="15" hidden="false" customHeight="false" outlineLevel="0" collapsed="false">
      <c r="A230" s="27"/>
      <c r="B230" s="32"/>
      <c r="C230" s="32"/>
      <c r="D230" s="27"/>
      <c r="E230" s="31"/>
      <c r="F230" s="32"/>
      <c r="G230" s="32"/>
    </row>
    <row r="231" customFormat="false" ht="15" hidden="false" customHeight="false" outlineLevel="0" collapsed="false">
      <c r="A231" s="27"/>
      <c r="B231" s="32"/>
      <c r="C231" s="32"/>
      <c r="D231" s="27"/>
      <c r="E231" s="31"/>
      <c r="F231" s="32"/>
      <c r="G231" s="32"/>
    </row>
    <row r="232" customFormat="false" ht="15" hidden="false" customHeight="false" outlineLevel="0" collapsed="false">
      <c r="A232" s="27"/>
      <c r="B232" s="32"/>
      <c r="C232" s="32"/>
      <c r="D232" s="27"/>
      <c r="E232" s="31"/>
      <c r="F232" s="32"/>
      <c r="G232" s="32"/>
    </row>
    <row r="233" customFormat="false" ht="15" hidden="false" customHeight="false" outlineLevel="0" collapsed="false">
      <c r="A233" s="27"/>
      <c r="B233" s="32"/>
      <c r="C233" s="32"/>
      <c r="D233" s="27"/>
      <c r="E233" s="31"/>
      <c r="F233" s="32"/>
      <c r="G233" s="32"/>
    </row>
    <row r="234" customFormat="false" ht="15" hidden="false" customHeight="false" outlineLevel="0" collapsed="false">
      <c r="A234" s="27"/>
      <c r="B234" s="32"/>
      <c r="C234" s="32"/>
      <c r="D234" s="27"/>
      <c r="E234" s="31"/>
      <c r="F234" s="32"/>
      <c r="G234" s="32"/>
    </row>
    <row r="235" customFormat="false" ht="15" hidden="false" customHeight="false" outlineLevel="0" collapsed="false">
      <c r="A235" s="27"/>
      <c r="B235" s="32"/>
      <c r="C235" s="32"/>
      <c r="D235" s="27"/>
      <c r="E235" s="31"/>
      <c r="F235" s="32"/>
      <c r="G235" s="32"/>
    </row>
    <row r="236" customFormat="false" ht="15" hidden="false" customHeight="false" outlineLevel="0" collapsed="false">
      <c r="A236" s="27"/>
      <c r="B236" s="32"/>
      <c r="C236" s="32"/>
      <c r="D236" s="27"/>
      <c r="E236" s="31"/>
      <c r="F236" s="32"/>
      <c r="G236" s="32"/>
    </row>
    <row r="237" customFormat="false" ht="15" hidden="false" customHeight="false" outlineLevel="0" collapsed="false">
      <c r="A237" s="27"/>
      <c r="B237" s="32"/>
      <c r="C237" s="32"/>
      <c r="D237" s="27"/>
      <c r="E237" s="31"/>
      <c r="F237" s="32"/>
      <c r="G237" s="32"/>
    </row>
    <row r="238" customFormat="false" ht="15" hidden="false" customHeight="false" outlineLevel="0" collapsed="false">
      <c r="A238" s="27"/>
      <c r="B238" s="32"/>
      <c r="C238" s="32"/>
      <c r="D238" s="27"/>
      <c r="E238" s="31"/>
      <c r="F238" s="32"/>
      <c r="G238" s="32"/>
    </row>
    <row r="239" customFormat="false" ht="15" hidden="false" customHeight="false" outlineLevel="0" collapsed="false">
      <c r="A239" s="27"/>
      <c r="B239" s="32"/>
      <c r="C239" s="32"/>
      <c r="D239" s="27"/>
      <c r="E239" s="31"/>
      <c r="F239" s="32"/>
      <c r="G239" s="32"/>
    </row>
    <row r="240" customFormat="false" ht="15" hidden="false" customHeight="false" outlineLevel="0" collapsed="false">
      <c r="A240" s="27"/>
      <c r="B240" s="32"/>
      <c r="C240" s="32"/>
      <c r="D240" s="27"/>
      <c r="E240" s="31"/>
      <c r="F240" s="32"/>
      <c r="G240" s="32"/>
    </row>
    <row r="241" customFormat="false" ht="15" hidden="false" customHeight="false" outlineLevel="0" collapsed="false">
      <c r="A241" s="27"/>
      <c r="B241" s="32"/>
      <c r="C241" s="32"/>
      <c r="D241" s="27"/>
      <c r="E241" s="31"/>
      <c r="F241" s="32"/>
      <c r="G241" s="32"/>
    </row>
    <row r="242" customFormat="false" ht="15" hidden="false" customHeight="false" outlineLevel="0" collapsed="false">
      <c r="A242" s="27"/>
      <c r="B242" s="32"/>
      <c r="C242" s="32"/>
      <c r="D242" s="27"/>
      <c r="E242" s="31"/>
      <c r="F242" s="32"/>
      <c r="G242" s="32"/>
    </row>
    <row r="243" customFormat="false" ht="15" hidden="false" customHeight="false" outlineLevel="0" collapsed="false">
      <c r="A243" s="27"/>
      <c r="B243" s="32"/>
      <c r="C243" s="32"/>
      <c r="D243" s="27"/>
      <c r="E243" s="31"/>
      <c r="F243" s="32"/>
      <c r="G243" s="32"/>
    </row>
    <row r="244" customFormat="false" ht="15" hidden="false" customHeight="false" outlineLevel="0" collapsed="false">
      <c r="A244" s="27"/>
      <c r="B244" s="32"/>
      <c r="C244" s="32"/>
      <c r="D244" s="27"/>
      <c r="E244" s="31"/>
      <c r="F244" s="32"/>
      <c r="G244" s="32"/>
    </row>
    <row r="245" customFormat="false" ht="15" hidden="false" customHeight="false" outlineLevel="0" collapsed="false">
      <c r="A245" s="27"/>
      <c r="B245" s="32"/>
      <c r="C245" s="32"/>
      <c r="D245" s="27"/>
      <c r="E245" s="31"/>
      <c r="F245" s="32"/>
      <c r="G245" s="32"/>
    </row>
    <row r="246" customFormat="false" ht="15" hidden="false" customHeight="false" outlineLevel="0" collapsed="false">
      <c r="A246" s="27"/>
      <c r="B246" s="32"/>
      <c r="C246" s="32"/>
      <c r="D246" s="27"/>
      <c r="E246" s="31"/>
      <c r="F246" s="32"/>
      <c r="G246" s="32"/>
    </row>
    <row r="247" customFormat="false" ht="15" hidden="false" customHeight="false" outlineLevel="0" collapsed="false">
      <c r="A247" s="27"/>
      <c r="B247" s="32"/>
      <c r="C247" s="32"/>
      <c r="D247" s="27"/>
      <c r="E247" s="31"/>
      <c r="F247" s="32"/>
      <c r="G247" s="32"/>
    </row>
    <row r="248" customFormat="false" ht="15" hidden="false" customHeight="false" outlineLevel="0" collapsed="false">
      <c r="A248" s="27"/>
      <c r="B248" s="32"/>
      <c r="C248" s="32"/>
      <c r="D248" s="27"/>
      <c r="E248" s="31"/>
      <c r="F248" s="32"/>
      <c r="G248" s="32"/>
    </row>
    <row r="249" customFormat="false" ht="15" hidden="false" customHeight="false" outlineLevel="0" collapsed="false">
      <c r="A249" s="27"/>
      <c r="B249" s="32"/>
      <c r="C249" s="32"/>
      <c r="D249" s="27"/>
      <c r="E249" s="31"/>
      <c r="F249" s="32"/>
      <c r="G249" s="32"/>
    </row>
    <row r="250" customFormat="false" ht="15" hidden="false" customHeight="false" outlineLevel="0" collapsed="false">
      <c r="A250" s="27"/>
      <c r="B250" s="32"/>
      <c r="C250" s="32"/>
      <c r="D250" s="27"/>
      <c r="E250" s="31"/>
      <c r="F250" s="32"/>
      <c r="G250" s="32"/>
    </row>
    <row r="251" customFormat="false" ht="15" hidden="false" customHeight="false" outlineLevel="0" collapsed="false">
      <c r="A251" s="27"/>
      <c r="B251" s="32"/>
      <c r="C251" s="32"/>
      <c r="D251" s="27"/>
      <c r="E251" s="31"/>
      <c r="F251" s="32"/>
      <c r="G251" s="32"/>
    </row>
    <row r="252" customFormat="false" ht="15" hidden="false" customHeight="false" outlineLevel="0" collapsed="false">
      <c r="A252" s="27"/>
      <c r="B252" s="32"/>
      <c r="C252" s="32"/>
      <c r="D252" s="27"/>
      <c r="E252" s="31"/>
      <c r="F252" s="32"/>
      <c r="G252" s="32"/>
    </row>
    <row r="253" customFormat="false" ht="15" hidden="false" customHeight="false" outlineLevel="0" collapsed="false">
      <c r="A253" s="27"/>
      <c r="B253" s="32"/>
      <c r="C253" s="32"/>
      <c r="D253" s="27"/>
      <c r="E253" s="31"/>
      <c r="F253" s="32"/>
      <c r="G253" s="32"/>
    </row>
    <row r="254" customFormat="false" ht="15" hidden="false" customHeight="false" outlineLevel="0" collapsed="false">
      <c r="A254" s="27"/>
      <c r="B254" s="32"/>
      <c r="C254" s="32"/>
      <c r="D254" s="27"/>
      <c r="E254" s="31"/>
      <c r="F254" s="32"/>
      <c r="G254" s="32"/>
    </row>
    <row r="255" customFormat="false" ht="15" hidden="false" customHeight="false" outlineLevel="0" collapsed="false">
      <c r="A255" s="27"/>
      <c r="B255" s="32"/>
      <c r="C255" s="32"/>
      <c r="D255" s="27"/>
      <c r="E255" s="31"/>
      <c r="F255" s="32"/>
      <c r="G255" s="32"/>
    </row>
    <row r="256" customFormat="false" ht="15" hidden="false" customHeight="false" outlineLevel="0" collapsed="false">
      <c r="A256" s="27"/>
      <c r="B256" s="32"/>
      <c r="C256" s="32"/>
      <c r="D256" s="27"/>
      <c r="E256" s="31"/>
      <c r="F256" s="32"/>
      <c r="G256" s="32"/>
    </row>
    <row r="257" customFormat="false" ht="15" hidden="false" customHeight="false" outlineLevel="0" collapsed="false">
      <c r="A257" s="27"/>
      <c r="B257" s="32"/>
      <c r="C257" s="32"/>
      <c r="D257" s="27"/>
      <c r="E257" s="31"/>
      <c r="F257" s="32"/>
      <c r="G257" s="32"/>
    </row>
    <row r="258" customFormat="false" ht="15" hidden="false" customHeight="false" outlineLevel="0" collapsed="false">
      <c r="A258" s="27"/>
      <c r="B258" s="32"/>
      <c r="C258" s="32"/>
      <c r="D258" s="27"/>
      <c r="E258" s="31"/>
      <c r="F258" s="32"/>
      <c r="G258" s="32"/>
    </row>
    <row r="259" customFormat="false" ht="15" hidden="false" customHeight="false" outlineLevel="0" collapsed="false">
      <c r="A259" s="27"/>
      <c r="B259" s="32"/>
      <c r="C259" s="32"/>
      <c r="D259" s="27"/>
      <c r="E259" s="31"/>
      <c r="F259" s="32"/>
      <c r="G259" s="32"/>
    </row>
    <row r="260" customFormat="false" ht="15" hidden="false" customHeight="false" outlineLevel="0" collapsed="false">
      <c r="A260" s="27"/>
      <c r="B260" s="32"/>
      <c r="C260" s="32"/>
      <c r="D260" s="27"/>
      <c r="E260" s="31"/>
      <c r="F260" s="32"/>
      <c r="G260" s="32"/>
    </row>
    <row r="261" customFormat="false" ht="15" hidden="false" customHeight="false" outlineLevel="0" collapsed="false">
      <c r="A261" s="27"/>
      <c r="B261" s="32"/>
      <c r="C261" s="32"/>
      <c r="D261" s="27"/>
      <c r="E261" s="31"/>
      <c r="F261" s="32"/>
      <c r="G261" s="32"/>
    </row>
    <row r="262" customFormat="false" ht="15" hidden="false" customHeight="false" outlineLevel="0" collapsed="false">
      <c r="A262" s="27"/>
      <c r="B262" s="32"/>
      <c r="C262" s="32"/>
      <c r="D262" s="27"/>
      <c r="E262" s="31"/>
      <c r="F262" s="32"/>
      <c r="G262" s="32"/>
    </row>
    <row r="263" customFormat="false" ht="15" hidden="false" customHeight="false" outlineLevel="0" collapsed="false">
      <c r="A263" s="27"/>
      <c r="B263" s="32"/>
      <c r="C263" s="32"/>
      <c r="D263" s="27"/>
      <c r="E263" s="31"/>
      <c r="F263" s="32"/>
      <c r="G263" s="32"/>
    </row>
    <row r="264" customFormat="false" ht="15" hidden="false" customHeight="false" outlineLevel="0" collapsed="false">
      <c r="A264" s="27"/>
      <c r="B264" s="32"/>
      <c r="C264" s="32"/>
      <c r="D264" s="27"/>
      <c r="E264" s="31"/>
      <c r="F264" s="32"/>
      <c r="G264" s="32"/>
    </row>
    <row r="265" customFormat="false" ht="15" hidden="false" customHeight="false" outlineLevel="0" collapsed="false">
      <c r="A265" s="27"/>
      <c r="B265" s="32"/>
      <c r="C265" s="32"/>
      <c r="D265" s="27"/>
      <c r="E265" s="31"/>
      <c r="F265" s="32"/>
      <c r="G265" s="32"/>
    </row>
    <row r="266" customFormat="false" ht="15" hidden="false" customHeight="false" outlineLevel="0" collapsed="false">
      <c r="A266" s="27"/>
      <c r="B266" s="32"/>
      <c r="C266" s="32"/>
      <c r="D266" s="27"/>
      <c r="E266" s="31"/>
      <c r="F266" s="32"/>
      <c r="G266" s="32"/>
    </row>
    <row r="267" customFormat="false" ht="15" hidden="false" customHeight="false" outlineLevel="0" collapsed="false">
      <c r="A267" s="27"/>
      <c r="B267" s="32"/>
      <c r="C267" s="32"/>
      <c r="D267" s="27"/>
      <c r="E267" s="31"/>
      <c r="F267" s="32"/>
      <c r="G267" s="32"/>
    </row>
    <row r="268" customFormat="false" ht="15" hidden="false" customHeight="false" outlineLevel="0" collapsed="false">
      <c r="A268" s="27"/>
      <c r="B268" s="32"/>
      <c r="C268" s="32"/>
      <c r="D268" s="27"/>
      <c r="E268" s="31"/>
      <c r="F268" s="32"/>
      <c r="G268" s="32"/>
    </row>
    <row r="269" customFormat="false" ht="15" hidden="false" customHeight="false" outlineLevel="0" collapsed="false">
      <c r="A269" s="27"/>
      <c r="B269" s="32"/>
      <c r="C269" s="32"/>
      <c r="D269" s="27"/>
      <c r="E269" s="31"/>
      <c r="F269" s="32"/>
      <c r="G269" s="32"/>
    </row>
    <row r="270" customFormat="false" ht="15" hidden="false" customHeight="false" outlineLevel="0" collapsed="false">
      <c r="A270" s="27"/>
      <c r="B270" s="32"/>
      <c r="C270" s="32"/>
      <c r="D270" s="27"/>
      <c r="E270" s="31"/>
      <c r="F270" s="32"/>
      <c r="G270" s="32"/>
    </row>
    <row r="271" customFormat="false" ht="15" hidden="false" customHeight="false" outlineLevel="0" collapsed="false">
      <c r="A271" s="27"/>
      <c r="B271" s="32"/>
      <c r="C271" s="32"/>
      <c r="D271" s="27"/>
      <c r="E271" s="31"/>
      <c r="F271" s="32"/>
      <c r="G271" s="32"/>
    </row>
    <row r="272" customFormat="false" ht="15" hidden="false" customHeight="false" outlineLevel="0" collapsed="false">
      <c r="A272" s="27"/>
      <c r="B272" s="32"/>
      <c r="C272" s="32"/>
      <c r="D272" s="27"/>
      <c r="E272" s="31"/>
      <c r="F272" s="32"/>
      <c r="G272" s="32"/>
    </row>
    <row r="273" customFormat="false" ht="15" hidden="false" customHeight="false" outlineLevel="0" collapsed="false">
      <c r="A273" s="27"/>
      <c r="B273" s="32"/>
      <c r="C273" s="32"/>
      <c r="D273" s="27"/>
      <c r="E273" s="31"/>
      <c r="F273" s="32"/>
      <c r="G273" s="32"/>
    </row>
    <row r="274" customFormat="false" ht="15" hidden="false" customHeight="false" outlineLevel="0" collapsed="false">
      <c r="A274" s="27"/>
      <c r="B274" s="32"/>
      <c r="C274" s="32"/>
      <c r="D274" s="27"/>
      <c r="E274" s="31"/>
      <c r="F274" s="32"/>
      <c r="G274" s="32"/>
    </row>
    <row r="275" customFormat="false" ht="15" hidden="false" customHeight="false" outlineLevel="0" collapsed="false">
      <c r="A275" s="27"/>
      <c r="B275" s="32"/>
      <c r="C275" s="32"/>
      <c r="D275" s="27"/>
      <c r="E275" s="31"/>
      <c r="F275" s="32"/>
      <c r="G275" s="32"/>
    </row>
    <row r="276" customFormat="false" ht="15" hidden="false" customHeight="false" outlineLevel="0" collapsed="false">
      <c r="A276" s="27"/>
      <c r="B276" s="32"/>
      <c r="C276" s="32"/>
      <c r="D276" s="27"/>
      <c r="E276" s="31"/>
      <c r="F276" s="32"/>
      <c r="G276" s="32"/>
    </row>
    <row r="277" customFormat="false" ht="15" hidden="false" customHeight="false" outlineLevel="0" collapsed="false">
      <c r="A277" s="27"/>
      <c r="B277" s="32"/>
      <c r="C277" s="32"/>
      <c r="D277" s="27"/>
      <c r="E277" s="31"/>
      <c r="F277" s="32"/>
      <c r="G277" s="32"/>
    </row>
    <row r="278" customFormat="false" ht="15" hidden="false" customHeight="false" outlineLevel="0" collapsed="false">
      <c r="A278" s="27"/>
      <c r="B278" s="32"/>
      <c r="C278" s="32"/>
      <c r="D278" s="27"/>
      <c r="E278" s="31"/>
      <c r="F278" s="32"/>
      <c r="G278" s="32"/>
    </row>
    <row r="279" customFormat="false" ht="15" hidden="false" customHeight="false" outlineLevel="0" collapsed="false">
      <c r="A279" s="27"/>
      <c r="B279" s="32"/>
      <c r="C279" s="32"/>
      <c r="D279" s="27"/>
      <c r="E279" s="31"/>
      <c r="F279" s="32"/>
      <c r="G279" s="32"/>
    </row>
    <row r="280" customFormat="false" ht="15" hidden="false" customHeight="false" outlineLevel="0" collapsed="false">
      <c r="A280" s="27"/>
      <c r="B280" s="32"/>
      <c r="C280" s="32"/>
      <c r="D280" s="27"/>
      <c r="E280" s="31"/>
      <c r="F280" s="32"/>
      <c r="G280" s="32"/>
    </row>
    <row r="281" customFormat="false" ht="15" hidden="false" customHeight="false" outlineLevel="0" collapsed="false">
      <c r="A281" s="27"/>
      <c r="B281" s="32"/>
      <c r="C281" s="32"/>
      <c r="D281" s="27"/>
      <c r="E281" s="31"/>
      <c r="F281" s="32"/>
      <c r="G281" s="32"/>
    </row>
    <row r="282" customFormat="false" ht="15" hidden="false" customHeight="false" outlineLevel="0" collapsed="false">
      <c r="A282" s="27"/>
      <c r="B282" s="32"/>
      <c r="C282" s="32"/>
      <c r="D282" s="27"/>
      <c r="E282" s="31"/>
      <c r="F282" s="32"/>
      <c r="G282" s="32"/>
    </row>
    <row r="283" customFormat="false" ht="15" hidden="false" customHeight="false" outlineLevel="0" collapsed="false">
      <c r="A283" s="27"/>
      <c r="B283" s="32"/>
      <c r="C283" s="32"/>
      <c r="D283" s="27"/>
      <c r="E283" s="31"/>
      <c r="F283" s="32"/>
      <c r="G283" s="32"/>
    </row>
    <row r="284" customFormat="false" ht="15" hidden="false" customHeight="false" outlineLevel="0" collapsed="false">
      <c r="A284" s="27"/>
      <c r="B284" s="32"/>
      <c r="C284" s="32"/>
      <c r="D284" s="27"/>
      <c r="E284" s="31"/>
      <c r="F284" s="32"/>
      <c r="G284" s="32"/>
    </row>
    <row r="285" customFormat="false" ht="15" hidden="false" customHeight="false" outlineLevel="0" collapsed="false">
      <c r="A285" s="27"/>
      <c r="B285" s="32"/>
      <c r="C285" s="32"/>
      <c r="D285" s="27"/>
      <c r="E285" s="31"/>
      <c r="F285" s="32"/>
      <c r="G285" s="32"/>
    </row>
    <row r="286" customFormat="false" ht="15" hidden="false" customHeight="false" outlineLevel="0" collapsed="false">
      <c r="A286" s="27"/>
      <c r="B286" s="32"/>
      <c r="C286" s="32"/>
      <c r="D286" s="27"/>
      <c r="E286" s="31"/>
      <c r="F286" s="32"/>
      <c r="G286" s="32"/>
    </row>
    <row r="287" customFormat="false" ht="15" hidden="false" customHeight="false" outlineLevel="0" collapsed="false">
      <c r="A287" s="27"/>
      <c r="B287" s="32"/>
      <c r="C287" s="32"/>
      <c r="D287" s="27"/>
      <c r="E287" s="31"/>
      <c r="F287" s="32"/>
      <c r="G287" s="32"/>
    </row>
    <row r="288" customFormat="false" ht="15" hidden="false" customHeight="false" outlineLevel="0" collapsed="false">
      <c r="A288" s="27"/>
      <c r="B288" s="32"/>
      <c r="C288" s="32"/>
      <c r="D288" s="27"/>
      <c r="E288" s="31"/>
      <c r="F288" s="32"/>
      <c r="G288" s="32"/>
    </row>
    <row r="289" customFormat="false" ht="15" hidden="false" customHeight="false" outlineLevel="0" collapsed="false">
      <c r="A289" s="27"/>
      <c r="B289" s="32"/>
      <c r="C289" s="32"/>
      <c r="D289" s="27"/>
      <c r="E289" s="31"/>
      <c r="F289" s="32"/>
      <c r="G289" s="32"/>
    </row>
    <row r="290" customFormat="false" ht="15" hidden="false" customHeight="false" outlineLevel="0" collapsed="false">
      <c r="A290" s="27"/>
      <c r="B290" s="32"/>
      <c r="C290" s="32"/>
      <c r="D290" s="27"/>
      <c r="E290" s="31"/>
      <c r="F290" s="32"/>
      <c r="G290" s="32"/>
    </row>
    <row r="291" customFormat="false" ht="15" hidden="false" customHeight="false" outlineLevel="0" collapsed="false">
      <c r="A291" s="27"/>
      <c r="B291" s="32"/>
      <c r="C291" s="32"/>
      <c r="D291" s="27"/>
      <c r="E291" s="31"/>
      <c r="F291" s="32"/>
      <c r="G291" s="32"/>
    </row>
    <row r="292" customFormat="false" ht="15" hidden="false" customHeight="false" outlineLevel="0" collapsed="false">
      <c r="A292" s="27"/>
      <c r="B292" s="32"/>
      <c r="C292" s="32"/>
      <c r="D292" s="27"/>
      <c r="E292" s="31"/>
      <c r="F292" s="32"/>
      <c r="G292" s="32"/>
    </row>
    <row r="293" customFormat="false" ht="15" hidden="false" customHeight="false" outlineLevel="0" collapsed="false">
      <c r="A293" s="27"/>
      <c r="B293" s="32"/>
      <c r="C293" s="32"/>
      <c r="D293" s="27"/>
      <c r="E293" s="31"/>
      <c r="F293" s="32"/>
      <c r="G293" s="32"/>
    </row>
    <row r="294" customFormat="false" ht="15" hidden="false" customHeight="false" outlineLevel="0" collapsed="false">
      <c r="A294" s="27"/>
      <c r="B294" s="32"/>
      <c r="C294" s="32"/>
      <c r="D294" s="27"/>
      <c r="E294" s="31"/>
      <c r="F294" s="32"/>
      <c r="G294" s="32"/>
    </row>
    <row r="295" customFormat="false" ht="15" hidden="false" customHeight="false" outlineLevel="0" collapsed="false">
      <c r="A295" s="27"/>
      <c r="B295" s="32"/>
      <c r="C295" s="32"/>
      <c r="D295" s="27"/>
      <c r="E295" s="31"/>
      <c r="F295" s="32"/>
      <c r="G295" s="32"/>
    </row>
    <row r="296" customFormat="false" ht="15" hidden="false" customHeight="false" outlineLevel="0" collapsed="false">
      <c r="A296" s="27"/>
      <c r="B296" s="32"/>
      <c r="C296" s="32"/>
      <c r="D296" s="27"/>
      <c r="E296" s="31"/>
      <c r="F296" s="32"/>
      <c r="G296" s="32"/>
    </row>
    <row r="297" customFormat="false" ht="15" hidden="false" customHeight="false" outlineLevel="0" collapsed="false">
      <c r="A297" s="27"/>
      <c r="B297" s="32"/>
      <c r="C297" s="32"/>
      <c r="D297" s="27"/>
      <c r="E297" s="31"/>
      <c r="F297" s="32"/>
      <c r="G297" s="32"/>
    </row>
    <row r="298" customFormat="false" ht="15" hidden="false" customHeight="false" outlineLevel="0" collapsed="false">
      <c r="A298" s="27"/>
      <c r="B298" s="32"/>
      <c r="C298" s="32"/>
      <c r="D298" s="27"/>
      <c r="E298" s="31"/>
      <c r="F298" s="32"/>
      <c r="G298" s="32"/>
    </row>
    <row r="299" customFormat="false" ht="15" hidden="false" customHeight="false" outlineLevel="0" collapsed="false">
      <c r="A299" s="27"/>
      <c r="B299" s="32"/>
      <c r="C299" s="32"/>
      <c r="D299" s="27"/>
      <c r="E299" s="31"/>
      <c r="F299" s="32"/>
      <c r="G299" s="32"/>
    </row>
    <row r="300" customFormat="false" ht="15" hidden="false" customHeight="false" outlineLevel="0" collapsed="false">
      <c r="A300" s="27"/>
      <c r="B300" s="32"/>
      <c r="C300" s="32"/>
      <c r="D300" s="27"/>
      <c r="E300" s="31"/>
      <c r="F300" s="32"/>
      <c r="G300" s="32"/>
    </row>
    <row r="301" customFormat="false" ht="15" hidden="false" customHeight="false" outlineLevel="0" collapsed="false">
      <c r="A301" s="27"/>
      <c r="B301" s="32"/>
      <c r="C301" s="32"/>
      <c r="D301" s="27"/>
      <c r="E301" s="31"/>
      <c r="F301" s="32"/>
      <c r="G301" s="32"/>
    </row>
    <row r="302" customFormat="false" ht="15" hidden="false" customHeight="false" outlineLevel="0" collapsed="false">
      <c r="A302" s="27"/>
      <c r="B302" s="32"/>
      <c r="C302" s="32"/>
      <c r="D302" s="27"/>
      <c r="E302" s="31"/>
      <c r="F302" s="32"/>
      <c r="G302" s="32"/>
    </row>
    <row r="303" customFormat="false" ht="15" hidden="false" customHeight="false" outlineLevel="0" collapsed="false">
      <c r="A303" s="27"/>
      <c r="B303" s="32"/>
      <c r="C303" s="32"/>
      <c r="D303" s="27"/>
      <c r="E303" s="31"/>
      <c r="F303" s="32"/>
      <c r="G303" s="32"/>
    </row>
    <row r="304" customFormat="false" ht="15" hidden="false" customHeight="false" outlineLevel="0" collapsed="false">
      <c r="A304" s="27"/>
      <c r="B304" s="32"/>
      <c r="C304" s="32"/>
      <c r="D304" s="27"/>
      <c r="E304" s="31"/>
      <c r="F304" s="32"/>
      <c r="G304" s="32"/>
    </row>
    <row r="305" customFormat="false" ht="15" hidden="false" customHeight="false" outlineLevel="0" collapsed="false">
      <c r="A305" s="27"/>
      <c r="B305" s="32"/>
      <c r="C305" s="32"/>
      <c r="D305" s="27"/>
      <c r="E305" s="31"/>
      <c r="F305" s="32"/>
      <c r="G305" s="32"/>
    </row>
    <row r="306" customFormat="false" ht="15" hidden="false" customHeight="false" outlineLevel="0" collapsed="false">
      <c r="A306" s="27"/>
      <c r="B306" s="32"/>
      <c r="C306" s="32"/>
      <c r="D306" s="27"/>
      <c r="E306" s="31"/>
      <c r="F306" s="32"/>
      <c r="G306" s="32"/>
    </row>
    <row r="307" customFormat="false" ht="15" hidden="false" customHeight="false" outlineLevel="0" collapsed="false">
      <c r="A307" s="27"/>
      <c r="B307" s="32"/>
      <c r="C307" s="32"/>
      <c r="D307" s="27"/>
      <c r="E307" s="31"/>
      <c r="F307" s="32"/>
      <c r="G307" s="32"/>
    </row>
    <row r="308" customFormat="false" ht="15" hidden="false" customHeight="false" outlineLevel="0" collapsed="false">
      <c r="A308" s="27"/>
      <c r="B308" s="32"/>
      <c r="C308" s="32"/>
      <c r="D308" s="27"/>
      <c r="E308" s="31"/>
      <c r="F308" s="32"/>
      <c r="G308" s="32"/>
    </row>
    <row r="309" customFormat="false" ht="15" hidden="false" customHeight="false" outlineLevel="0" collapsed="false">
      <c r="A309" s="27"/>
      <c r="B309" s="32"/>
      <c r="C309" s="32"/>
      <c r="D309" s="27"/>
      <c r="E309" s="31"/>
      <c r="F309" s="32"/>
      <c r="G309" s="32"/>
    </row>
    <row r="310" customFormat="false" ht="15" hidden="false" customHeight="false" outlineLevel="0" collapsed="false">
      <c r="A310" s="27"/>
      <c r="B310" s="32"/>
      <c r="C310" s="32"/>
      <c r="D310" s="27"/>
      <c r="E310" s="31"/>
      <c r="F310" s="32"/>
      <c r="G310" s="32"/>
    </row>
    <row r="311" customFormat="false" ht="15" hidden="false" customHeight="false" outlineLevel="0" collapsed="false">
      <c r="A311" s="27"/>
      <c r="B311" s="32"/>
      <c r="C311" s="32"/>
      <c r="D311" s="27"/>
      <c r="E311" s="31"/>
      <c r="F311" s="32"/>
      <c r="G311" s="32"/>
    </row>
    <row r="312" customFormat="false" ht="15" hidden="false" customHeight="false" outlineLevel="0" collapsed="false">
      <c r="A312" s="27"/>
      <c r="B312" s="32"/>
      <c r="C312" s="32"/>
      <c r="D312" s="27"/>
      <c r="E312" s="31"/>
      <c r="F312" s="32"/>
      <c r="G312" s="32"/>
    </row>
    <row r="313" customFormat="false" ht="15" hidden="false" customHeight="false" outlineLevel="0" collapsed="false">
      <c r="A313" s="27"/>
      <c r="B313" s="32"/>
      <c r="C313" s="32"/>
      <c r="D313" s="27"/>
      <c r="E313" s="31"/>
      <c r="F313" s="32"/>
      <c r="G313" s="32"/>
    </row>
    <row r="314" customFormat="false" ht="15" hidden="false" customHeight="false" outlineLevel="0" collapsed="false">
      <c r="A314" s="27"/>
      <c r="B314" s="32"/>
      <c r="C314" s="32"/>
      <c r="D314" s="27"/>
      <c r="E314" s="31"/>
      <c r="F314" s="32"/>
      <c r="G314" s="32"/>
    </row>
    <row r="315" customFormat="false" ht="15" hidden="false" customHeight="false" outlineLevel="0" collapsed="false">
      <c r="A315" s="27"/>
      <c r="B315" s="32"/>
      <c r="C315" s="32"/>
      <c r="D315" s="27"/>
      <c r="E315" s="31"/>
      <c r="F315" s="32"/>
      <c r="G315" s="32"/>
    </row>
    <row r="316" customFormat="false" ht="15" hidden="false" customHeight="false" outlineLevel="0" collapsed="false">
      <c r="A316" s="27"/>
      <c r="B316" s="32"/>
      <c r="C316" s="32"/>
      <c r="D316" s="27"/>
      <c r="E316" s="31"/>
      <c r="F316" s="32"/>
      <c r="G316" s="32"/>
    </row>
    <row r="317" customFormat="false" ht="15" hidden="false" customHeight="false" outlineLevel="0" collapsed="false">
      <c r="A317" s="27"/>
      <c r="B317" s="32"/>
      <c r="C317" s="32"/>
      <c r="D317" s="27"/>
      <c r="E317" s="31"/>
      <c r="F317" s="32"/>
      <c r="G317" s="32"/>
    </row>
    <row r="318" customFormat="false" ht="15" hidden="false" customHeight="false" outlineLevel="0" collapsed="false">
      <c r="A318" s="27"/>
      <c r="B318" s="32"/>
      <c r="C318" s="32"/>
      <c r="D318" s="27"/>
      <c r="E318" s="31"/>
      <c r="F318" s="32"/>
      <c r="G318" s="32"/>
    </row>
    <row r="319" customFormat="false" ht="15" hidden="false" customHeight="false" outlineLevel="0" collapsed="false">
      <c r="A319" s="27"/>
      <c r="B319" s="32"/>
      <c r="C319" s="32"/>
      <c r="D319" s="27"/>
      <c r="E319" s="31"/>
      <c r="F319" s="32"/>
      <c r="G319" s="32"/>
    </row>
    <row r="320" customFormat="false" ht="15" hidden="false" customHeight="false" outlineLevel="0" collapsed="false">
      <c r="A320" s="27"/>
      <c r="B320" s="32"/>
      <c r="C320" s="32"/>
      <c r="D320" s="27"/>
      <c r="E320" s="31"/>
      <c r="F320" s="32"/>
      <c r="G320" s="32"/>
    </row>
    <row r="321" customFormat="false" ht="15" hidden="false" customHeight="false" outlineLevel="0" collapsed="false">
      <c r="A321" s="27"/>
      <c r="B321" s="32"/>
      <c r="C321" s="32"/>
      <c r="D321" s="27"/>
      <c r="E321" s="31"/>
      <c r="F321" s="32"/>
      <c r="G321" s="32"/>
    </row>
    <row r="322" customFormat="false" ht="15" hidden="false" customHeight="false" outlineLevel="0" collapsed="false">
      <c r="A322" s="27"/>
      <c r="B322" s="32"/>
      <c r="C322" s="32"/>
      <c r="D322" s="27"/>
      <c r="E322" s="31"/>
      <c r="F322" s="32"/>
      <c r="G322" s="32"/>
    </row>
    <row r="323" customFormat="false" ht="15" hidden="false" customHeight="false" outlineLevel="0" collapsed="false">
      <c r="A323" s="27"/>
      <c r="B323" s="32"/>
      <c r="C323" s="32"/>
      <c r="D323" s="27"/>
      <c r="E323" s="31"/>
      <c r="F323" s="32"/>
      <c r="G323" s="32"/>
    </row>
    <row r="324" customFormat="false" ht="15" hidden="false" customHeight="false" outlineLevel="0" collapsed="false">
      <c r="A324" s="27"/>
      <c r="B324" s="32"/>
      <c r="C324" s="32"/>
      <c r="D324" s="27"/>
      <c r="E324" s="31"/>
      <c r="F324" s="32"/>
      <c r="G324" s="32"/>
    </row>
    <row r="325" customFormat="false" ht="15" hidden="false" customHeight="false" outlineLevel="0" collapsed="false">
      <c r="A325" s="27"/>
      <c r="B325" s="32"/>
      <c r="C325" s="32"/>
      <c r="D325" s="27"/>
      <c r="E325" s="31"/>
      <c r="F325" s="32"/>
      <c r="G325" s="32"/>
    </row>
    <row r="326" customFormat="false" ht="15" hidden="false" customHeight="false" outlineLevel="0" collapsed="false">
      <c r="A326" s="27"/>
      <c r="B326" s="32"/>
      <c r="C326" s="32"/>
      <c r="D326" s="27"/>
      <c r="E326" s="31"/>
      <c r="F326" s="32"/>
      <c r="G326" s="32"/>
    </row>
    <row r="327" customFormat="false" ht="15" hidden="false" customHeight="false" outlineLevel="0" collapsed="false">
      <c r="A327" s="27"/>
      <c r="B327" s="32"/>
      <c r="C327" s="32"/>
      <c r="D327" s="27"/>
      <c r="E327" s="31"/>
      <c r="F327" s="32"/>
      <c r="G327" s="32"/>
    </row>
    <row r="328" customFormat="false" ht="15" hidden="false" customHeight="false" outlineLevel="0" collapsed="false">
      <c r="A328" s="27"/>
      <c r="B328" s="32"/>
      <c r="C328" s="32"/>
      <c r="D328" s="27"/>
      <c r="E328" s="31"/>
      <c r="F328" s="32"/>
      <c r="G328" s="32"/>
    </row>
    <row r="329" customFormat="false" ht="15" hidden="false" customHeight="false" outlineLevel="0" collapsed="false">
      <c r="A329" s="27"/>
      <c r="B329" s="32"/>
      <c r="C329" s="32"/>
      <c r="D329" s="27"/>
      <c r="E329" s="31"/>
      <c r="F329" s="32"/>
      <c r="G329" s="32"/>
    </row>
    <row r="330" customFormat="false" ht="15" hidden="false" customHeight="false" outlineLevel="0" collapsed="false">
      <c r="A330" s="27"/>
      <c r="B330" s="32"/>
      <c r="C330" s="32"/>
      <c r="D330" s="27"/>
      <c r="E330" s="31"/>
      <c r="F330" s="32"/>
      <c r="G330" s="32"/>
    </row>
    <row r="331" customFormat="false" ht="15" hidden="false" customHeight="false" outlineLevel="0" collapsed="false">
      <c r="A331" s="27"/>
      <c r="B331" s="32"/>
      <c r="C331" s="32"/>
      <c r="D331" s="27"/>
      <c r="E331" s="31"/>
      <c r="F331" s="32"/>
      <c r="G331" s="32"/>
    </row>
    <row r="332" customFormat="false" ht="15" hidden="false" customHeight="false" outlineLevel="0" collapsed="false">
      <c r="A332" s="27"/>
      <c r="B332" s="32"/>
      <c r="C332" s="32"/>
      <c r="D332" s="27"/>
      <c r="E332" s="31"/>
      <c r="F332" s="32"/>
      <c r="G332" s="32"/>
    </row>
    <row r="333" customFormat="false" ht="15" hidden="false" customHeight="false" outlineLevel="0" collapsed="false">
      <c r="A333" s="27"/>
      <c r="B333" s="32"/>
      <c r="C333" s="32"/>
      <c r="D333" s="27"/>
      <c r="E333" s="31"/>
      <c r="F333" s="32"/>
      <c r="G333" s="32"/>
    </row>
    <row r="334" customFormat="false" ht="15" hidden="false" customHeight="false" outlineLevel="0" collapsed="false">
      <c r="A334" s="27"/>
      <c r="B334" s="32"/>
      <c r="C334" s="32"/>
      <c r="D334" s="27"/>
      <c r="E334" s="31"/>
      <c r="F334" s="32"/>
      <c r="G334" s="32"/>
    </row>
    <row r="335" customFormat="false" ht="15" hidden="false" customHeight="false" outlineLevel="0" collapsed="false">
      <c r="A335" s="27"/>
      <c r="B335" s="32"/>
      <c r="C335" s="32"/>
      <c r="D335" s="27"/>
      <c r="E335" s="31"/>
      <c r="F335" s="32"/>
      <c r="G335" s="32"/>
    </row>
    <row r="336" customFormat="false" ht="15" hidden="false" customHeight="false" outlineLevel="0" collapsed="false">
      <c r="A336" s="27"/>
      <c r="B336" s="32"/>
      <c r="C336" s="32"/>
      <c r="D336" s="27"/>
      <c r="E336" s="31"/>
      <c r="F336" s="32"/>
      <c r="G336" s="32"/>
    </row>
    <row r="337" customFormat="false" ht="15" hidden="false" customHeight="false" outlineLevel="0" collapsed="false">
      <c r="A337" s="27"/>
      <c r="B337" s="32"/>
      <c r="C337" s="32"/>
      <c r="D337" s="27"/>
      <c r="E337" s="31"/>
      <c r="F337" s="32"/>
      <c r="G337" s="32"/>
    </row>
    <row r="338" customFormat="false" ht="15" hidden="false" customHeight="false" outlineLevel="0" collapsed="false">
      <c r="A338" s="27"/>
      <c r="B338" s="32"/>
      <c r="C338" s="32"/>
      <c r="D338" s="27"/>
      <c r="E338" s="31"/>
      <c r="F338" s="32"/>
      <c r="G338" s="32"/>
    </row>
    <row r="339" customFormat="false" ht="15" hidden="false" customHeight="false" outlineLevel="0" collapsed="false">
      <c r="A339" s="27"/>
      <c r="B339" s="32"/>
      <c r="C339" s="32"/>
      <c r="D339" s="27"/>
      <c r="E339" s="31"/>
      <c r="F339" s="32"/>
      <c r="G339" s="32"/>
    </row>
    <row r="340" customFormat="false" ht="15" hidden="false" customHeight="false" outlineLevel="0" collapsed="false">
      <c r="A340" s="27"/>
      <c r="B340" s="32"/>
      <c r="C340" s="32"/>
      <c r="D340" s="27"/>
      <c r="E340" s="31"/>
      <c r="F340" s="32"/>
      <c r="G340" s="32"/>
    </row>
    <row r="341" customFormat="false" ht="15" hidden="false" customHeight="false" outlineLevel="0" collapsed="false">
      <c r="A341" s="27"/>
      <c r="B341" s="32"/>
      <c r="C341" s="32"/>
      <c r="D341" s="27"/>
      <c r="E341" s="31"/>
      <c r="F341" s="32"/>
      <c r="G341" s="32"/>
    </row>
    <row r="342" customFormat="false" ht="15" hidden="false" customHeight="false" outlineLevel="0" collapsed="false">
      <c r="A342" s="27"/>
      <c r="B342" s="32"/>
      <c r="C342" s="32"/>
      <c r="D342" s="27"/>
      <c r="E342" s="31"/>
      <c r="F342" s="32"/>
      <c r="G342" s="32"/>
    </row>
    <row r="343" customFormat="false" ht="15" hidden="false" customHeight="false" outlineLevel="0" collapsed="false">
      <c r="A343" s="27"/>
      <c r="B343" s="32"/>
      <c r="C343" s="32"/>
      <c r="D343" s="27"/>
      <c r="E343" s="31"/>
      <c r="F343" s="32"/>
      <c r="G343" s="32"/>
    </row>
    <row r="344" customFormat="false" ht="15" hidden="false" customHeight="false" outlineLevel="0" collapsed="false">
      <c r="A344" s="27"/>
      <c r="B344" s="32"/>
      <c r="C344" s="32"/>
      <c r="D344" s="27"/>
      <c r="E344" s="31"/>
      <c r="F344" s="32"/>
      <c r="G344" s="32"/>
    </row>
    <row r="345" customFormat="false" ht="15" hidden="false" customHeight="false" outlineLevel="0" collapsed="false">
      <c r="A345" s="27"/>
      <c r="B345" s="32"/>
      <c r="C345" s="32"/>
      <c r="D345" s="27"/>
      <c r="E345" s="31"/>
      <c r="F345" s="32"/>
      <c r="G345" s="32"/>
    </row>
    <row r="346" customFormat="false" ht="15" hidden="false" customHeight="false" outlineLevel="0" collapsed="false">
      <c r="A346" s="27"/>
      <c r="B346" s="32"/>
      <c r="C346" s="32"/>
      <c r="D346" s="27"/>
      <c r="E346" s="31"/>
      <c r="F346" s="32"/>
      <c r="G346" s="32"/>
    </row>
    <row r="347" customFormat="false" ht="15" hidden="false" customHeight="false" outlineLevel="0" collapsed="false">
      <c r="A347" s="27"/>
      <c r="B347" s="32"/>
      <c r="C347" s="32"/>
      <c r="D347" s="27"/>
      <c r="E347" s="31"/>
      <c r="F347" s="32"/>
      <c r="G347" s="32"/>
    </row>
    <row r="348" customFormat="false" ht="15" hidden="false" customHeight="false" outlineLevel="0" collapsed="false">
      <c r="A348" s="27"/>
      <c r="B348" s="32"/>
      <c r="C348" s="32"/>
      <c r="D348" s="27"/>
      <c r="E348" s="31"/>
      <c r="F348" s="32"/>
      <c r="G348" s="32"/>
    </row>
    <row r="349" customFormat="false" ht="15" hidden="false" customHeight="false" outlineLevel="0" collapsed="false">
      <c r="A349" s="27"/>
      <c r="B349" s="32"/>
      <c r="C349" s="32"/>
      <c r="D349" s="27"/>
      <c r="E349" s="31"/>
      <c r="F349" s="32"/>
      <c r="G349" s="32"/>
    </row>
    <row r="350" customFormat="false" ht="15" hidden="false" customHeight="false" outlineLevel="0" collapsed="false">
      <c r="A350" s="27"/>
      <c r="B350" s="32"/>
      <c r="C350" s="32"/>
      <c r="D350" s="27"/>
      <c r="E350" s="31"/>
      <c r="F350" s="32"/>
      <c r="G350" s="32"/>
    </row>
    <row r="351" customFormat="false" ht="15" hidden="false" customHeight="false" outlineLevel="0" collapsed="false">
      <c r="A351" s="27"/>
      <c r="B351" s="32"/>
      <c r="C351" s="32"/>
      <c r="D351" s="27"/>
      <c r="E351" s="31"/>
      <c r="F351" s="32"/>
      <c r="G351" s="32"/>
    </row>
    <row r="352" customFormat="false" ht="15" hidden="false" customHeight="false" outlineLevel="0" collapsed="false">
      <c r="A352" s="27"/>
      <c r="B352" s="32"/>
      <c r="C352" s="32"/>
      <c r="D352" s="27"/>
      <c r="E352" s="31"/>
      <c r="F352" s="32"/>
      <c r="G352" s="32"/>
    </row>
    <row r="353" customFormat="false" ht="15" hidden="false" customHeight="false" outlineLevel="0" collapsed="false">
      <c r="A353" s="27"/>
      <c r="B353" s="32"/>
      <c r="C353" s="32"/>
      <c r="D353" s="27"/>
      <c r="E353" s="31"/>
      <c r="F353" s="32"/>
      <c r="G353" s="32"/>
    </row>
    <row r="354" customFormat="false" ht="15" hidden="false" customHeight="false" outlineLevel="0" collapsed="false">
      <c r="A354" s="27"/>
      <c r="B354" s="32"/>
      <c r="C354" s="32"/>
      <c r="D354" s="27"/>
      <c r="E354" s="31"/>
      <c r="F354" s="32"/>
      <c r="G354" s="32"/>
    </row>
    <row r="355" customFormat="false" ht="15" hidden="false" customHeight="false" outlineLevel="0" collapsed="false">
      <c r="A355" s="27"/>
      <c r="B355" s="32"/>
      <c r="C355" s="32"/>
      <c r="D355" s="27"/>
      <c r="E355" s="31"/>
      <c r="F355" s="32"/>
      <c r="G355" s="32"/>
    </row>
    <row r="356" customFormat="false" ht="15" hidden="false" customHeight="false" outlineLevel="0" collapsed="false">
      <c r="A356" s="27"/>
      <c r="B356" s="32"/>
      <c r="C356" s="32"/>
      <c r="D356" s="27"/>
      <c r="E356" s="31"/>
      <c r="F356" s="32"/>
      <c r="G356" s="32"/>
    </row>
    <row r="357" customFormat="false" ht="15" hidden="false" customHeight="false" outlineLevel="0" collapsed="false">
      <c r="A357" s="27"/>
      <c r="B357" s="32"/>
      <c r="C357" s="32"/>
      <c r="D357" s="27"/>
      <c r="E357" s="31"/>
      <c r="F357" s="32"/>
      <c r="G357" s="32"/>
    </row>
    <row r="358" customFormat="false" ht="15" hidden="false" customHeight="false" outlineLevel="0" collapsed="false">
      <c r="A358" s="27"/>
      <c r="B358" s="32"/>
      <c r="C358" s="32"/>
      <c r="D358" s="27"/>
      <c r="E358" s="31"/>
      <c r="F358" s="32"/>
      <c r="G358" s="32"/>
    </row>
    <row r="359" customFormat="false" ht="15" hidden="false" customHeight="false" outlineLevel="0" collapsed="false">
      <c r="A359" s="27"/>
      <c r="B359" s="32"/>
      <c r="C359" s="32"/>
      <c r="D359" s="27"/>
      <c r="E359" s="31"/>
      <c r="F359" s="32"/>
      <c r="G359" s="32"/>
    </row>
    <row r="360" customFormat="false" ht="15" hidden="false" customHeight="false" outlineLevel="0" collapsed="false">
      <c r="A360" s="27"/>
      <c r="B360" s="32"/>
      <c r="C360" s="32"/>
      <c r="D360" s="27"/>
      <c r="E360" s="31"/>
      <c r="F360" s="32"/>
      <c r="G360" s="32"/>
    </row>
    <row r="361" customFormat="false" ht="15" hidden="false" customHeight="false" outlineLevel="0" collapsed="false">
      <c r="A361" s="27"/>
      <c r="B361" s="32"/>
      <c r="C361" s="32"/>
      <c r="D361" s="27"/>
      <c r="E361" s="31"/>
      <c r="F361" s="32"/>
      <c r="G361" s="32"/>
    </row>
    <row r="362" customFormat="false" ht="15" hidden="false" customHeight="false" outlineLevel="0" collapsed="false">
      <c r="A362" s="27"/>
      <c r="B362" s="32"/>
      <c r="C362" s="32"/>
      <c r="D362" s="27"/>
      <c r="E362" s="31"/>
      <c r="F362" s="32"/>
      <c r="G362" s="32"/>
    </row>
    <row r="363" customFormat="false" ht="15" hidden="false" customHeight="false" outlineLevel="0" collapsed="false">
      <c r="A363" s="27"/>
      <c r="B363" s="32"/>
      <c r="C363" s="32"/>
      <c r="D363" s="27"/>
      <c r="E363" s="31"/>
      <c r="F363" s="32"/>
      <c r="G363" s="32"/>
    </row>
    <row r="364" customFormat="false" ht="15" hidden="false" customHeight="false" outlineLevel="0" collapsed="false">
      <c r="A364" s="27"/>
      <c r="B364" s="32"/>
      <c r="C364" s="32"/>
      <c r="D364" s="27"/>
      <c r="E364" s="31"/>
      <c r="F364" s="32"/>
      <c r="G364" s="32"/>
    </row>
    <row r="365" customFormat="false" ht="15" hidden="false" customHeight="false" outlineLevel="0" collapsed="false">
      <c r="A365" s="27"/>
      <c r="B365" s="32"/>
      <c r="C365" s="32"/>
      <c r="D365" s="27"/>
      <c r="E365" s="31"/>
      <c r="F365" s="32"/>
      <c r="G365" s="32"/>
    </row>
    <row r="366" customFormat="false" ht="15" hidden="false" customHeight="false" outlineLevel="0" collapsed="false">
      <c r="A366" s="27"/>
      <c r="B366" s="32"/>
      <c r="C366" s="32"/>
      <c r="D366" s="27"/>
      <c r="E366" s="31"/>
      <c r="F366" s="32"/>
      <c r="G366" s="32"/>
    </row>
    <row r="367" customFormat="false" ht="15" hidden="false" customHeight="false" outlineLevel="0" collapsed="false">
      <c r="A367" s="27"/>
      <c r="B367" s="32"/>
      <c r="C367" s="32"/>
      <c r="D367" s="27"/>
      <c r="E367" s="31"/>
      <c r="F367" s="32"/>
      <c r="G367" s="32"/>
    </row>
    <row r="368" customFormat="false" ht="15" hidden="false" customHeight="false" outlineLevel="0" collapsed="false">
      <c r="A368" s="27"/>
      <c r="B368" s="32"/>
      <c r="C368" s="32"/>
      <c r="D368" s="27"/>
      <c r="E368" s="31"/>
      <c r="F368" s="32"/>
      <c r="G368" s="32"/>
    </row>
    <row r="369" customFormat="false" ht="15" hidden="false" customHeight="false" outlineLevel="0" collapsed="false">
      <c r="A369" s="27"/>
      <c r="B369" s="32"/>
      <c r="C369" s="32"/>
      <c r="D369" s="27"/>
      <c r="E369" s="31"/>
      <c r="F369" s="32"/>
      <c r="G369" s="32"/>
    </row>
    <row r="370" customFormat="false" ht="15" hidden="false" customHeight="false" outlineLevel="0" collapsed="false">
      <c r="A370" s="27"/>
      <c r="B370" s="32"/>
      <c r="C370" s="32"/>
      <c r="D370" s="27"/>
      <c r="E370" s="31"/>
      <c r="F370" s="32"/>
      <c r="G370" s="32"/>
    </row>
    <row r="371" customFormat="false" ht="15" hidden="false" customHeight="false" outlineLevel="0" collapsed="false">
      <c r="A371" s="27"/>
      <c r="B371" s="32"/>
      <c r="C371" s="32"/>
      <c r="D371" s="27"/>
      <c r="E371" s="31"/>
      <c r="F371" s="32"/>
      <c r="G371" s="32"/>
    </row>
    <row r="372" customFormat="false" ht="15" hidden="false" customHeight="false" outlineLevel="0" collapsed="false">
      <c r="A372" s="27"/>
      <c r="B372" s="32"/>
      <c r="C372" s="32"/>
      <c r="D372" s="27"/>
      <c r="E372" s="31"/>
      <c r="F372" s="32"/>
      <c r="G372" s="32"/>
    </row>
    <row r="373" customFormat="false" ht="15" hidden="false" customHeight="false" outlineLevel="0" collapsed="false">
      <c r="A373" s="27"/>
      <c r="B373" s="32"/>
      <c r="C373" s="32"/>
      <c r="D373" s="27"/>
      <c r="E373" s="31"/>
      <c r="F373" s="32"/>
      <c r="G373" s="32"/>
    </row>
    <row r="374" customFormat="false" ht="15" hidden="false" customHeight="false" outlineLevel="0" collapsed="false">
      <c r="A374" s="27"/>
      <c r="B374" s="32"/>
      <c r="C374" s="32"/>
      <c r="D374" s="27"/>
      <c r="E374" s="31"/>
      <c r="F374" s="32"/>
      <c r="G374" s="32"/>
    </row>
    <row r="375" customFormat="false" ht="15" hidden="false" customHeight="false" outlineLevel="0" collapsed="false">
      <c r="A375" s="27"/>
      <c r="B375" s="32"/>
      <c r="C375" s="32"/>
      <c r="D375" s="27"/>
      <c r="E375" s="31"/>
      <c r="F375" s="32"/>
      <c r="G375" s="32"/>
    </row>
    <row r="376" customFormat="false" ht="15" hidden="false" customHeight="false" outlineLevel="0" collapsed="false">
      <c r="A376" s="27"/>
      <c r="B376" s="32"/>
      <c r="C376" s="32"/>
      <c r="D376" s="27"/>
      <c r="E376" s="31"/>
      <c r="F376" s="32"/>
      <c r="G376" s="32"/>
    </row>
    <row r="377" customFormat="false" ht="15" hidden="false" customHeight="false" outlineLevel="0" collapsed="false">
      <c r="A377" s="27"/>
      <c r="B377" s="32"/>
      <c r="C377" s="32"/>
      <c r="D377" s="27"/>
      <c r="E377" s="31"/>
      <c r="F377" s="32"/>
      <c r="G377" s="32"/>
    </row>
    <row r="378" customFormat="false" ht="15" hidden="false" customHeight="false" outlineLevel="0" collapsed="false">
      <c r="A378" s="27"/>
      <c r="B378" s="32"/>
      <c r="C378" s="32"/>
      <c r="D378" s="27"/>
      <c r="E378" s="31"/>
      <c r="F378" s="32"/>
      <c r="G378" s="32"/>
    </row>
    <row r="379" customFormat="false" ht="15" hidden="false" customHeight="false" outlineLevel="0" collapsed="false">
      <c r="A379" s="27"/>
      <c r="B379" s="32"/>
      <c r="C379" s="32"/>
      <c r="D379" s="27"/>
      <c r="E379" s="31"/>
      <c r="F379" s="32"/>
      <c r="G379" s="32"/>
    </row>
    <row r="380" customFormat="false" ht="15" hidden="false" customHeight="false" outlineLevel="0" collapsed="false">
      <c r="A380" s="27"/>
      <c r="B380" s="32"/>
      <c r="C380" s="32"/>
      <c r="D380" s="27"/>
      <c r="E380" s="31"/>
      <c r="F380" s="32"/>
      <c r="G380" s="32"/>
    </row>
    <row r="381" customFormat="false" ht="15" hidden="false" customHeight="false" outlineLevel="0" collapsed="false">
      <c r="A381" s="27"/>
      <c r="B381" s="32"/>
      <c r="C381" s="32"/>
      <c r="D381" s="27"/>
      <c r="E381" s="31"/>
      <c r="F381" s="32"/>
      <c r="G381" s="32"/>
    </row>
    <row r="382" customFormat="false" ht="15" hidden="false" customHeight="false" outlineLevel="0" collapsed="false">
      <c r="A382" s="27"/>
      <c r="B382" s="32"/>
      <c r="C382" s="32"/>
      <c r="D382" s="27"/>
      <c r="E382" s="31"/>
      <c r="F382" s="32"/>
      <c r="G382" s="32"/>
    </row>
    <row r="383" customFormat="false" ht="15" hidden="false" customHeight="false" outlineLevel="0" collapsed="false">
      <c r="A383" s="27"/>
      <c r="B383" s="32"/>
      <c r="C383" s="32"/>
      <c r="D383" s="27"/>
      <c r="E383" s="31"/>
      <c r="F383" s="32"/>
      <c r="G383" s="32"/>
    </row>
    <row r="384" customFormat="false" ht="15" hidden="false" customHeight="false" outlineLevel="0" collapsed="false">
      <c r="A384" s="27"/>
      <c r="B384" s="32"/>
      <c r="C384" s="32"/>
      <c r="D384" s="27"/>
      <c r="E384" s="31"/>
      <c r="F384" s="32"/>
      <c r="G384" s="32"/>
    </row>
    <row r="385" customFormat="false" ht="15" hidden="false" customHeight="false" outlineLevel="0" collapsed="false">
      <c r="A385" s="27"/>
      <c r="B385" s="32"/>
      <c r="C385" s="32"/>
      <c r="D385" s="27"/>
      <c r="E385" s="31"/>
      <c r="F385" s="32"/>
      <c r="G385" s="32"/>
    </row>
    <row r="386" customFormat="false" ht="15" hidden="false" customHeight="false" outlineLevel="0" collapsed="false">
      <c r="A386" s="27"/>
      <c r="B386" s="32"/>
      <c r="C386" s="32"/>
      <c r="D386" s="27"/>
      <c r="E386" s="31"/>
      <c r="F386" s="32"/>
      <c r="G386" s="32"/>
    </row>
    <row r="387" customFormat="false" ht="15" hidden="false" customHeight="false" outlineLevel="0" collapsed="false">
      <c r="A387" s="27"/>
      <c r="B387" s="32"/>
      <c r="C387" s="32"/>
      <c r="D387" s="27"/>
      <c r="E387" s="31"/>
      <c r="F387" s="32"/>
      <c r="G387" s="32"/>
    </row>
    <row r="388" customFormat="false" ht="15" hidden="false" customHeight="false" outlineLevel="0" collapsed="false">
      <c r="A388" s="27"/>
      <c r="B388" s="32"/>
      <c r="C388" s="32"/>
      <c r="D388" s="27"/>
      <c r="E388" s="31"/>
      <c r="F388" s="32"/>
      <c r="G388" s="32"/>
    </row>
    <row r="389" customFormat="false" ht="15" hidden="false" customHeight="false" outlineLevel="0" collapsed="false">
      <c r="A389" s="27"/>
      <c r="B389" s="32"/>
      <c r="C389" s="32"/>
      <c r="D389" s="27"/>
      <c r="E389" s="31"/>
      <c r="F389" s="32"/>
      <c r="G389" s="32"/>
    </row>
    <row r="390" customFormat="false" ht="15" hidden="false" customHeight="false" outlineLevel="0" collapsed="false">
      <c r="A390" s="27"/>
      <c r="B390" s="32"/>
      <c r="C390" s="32"/>
      <c r="D390" s="27"/>
      <c r="E390" s="31"/>
      <c r="F390" s="32"/>
      <c r="G390" s="32"/>
    </row>
    <row r="391" customFormat="false" ht="15" hidden="false" customHeight="false" outlineLevel="0" collapsed="false">
      <c r="A391" s="27"/>
      <c r="B391" s="32"/>
      <c r="C391" s="32"/>
      <c r="D391" s="27"/>
      <c r="E391" s="31"/>
      <c r="F391" s="32"/>
      <c r="G391" s="32"/>
    </row>
    <row r="392" customFormat="false" ht="15" hidden="false" customHeight="false" outlineLevel="0" collapsed="false">
      <c r="A392" s="27"/>
      <c r="B392" s="32"/>
      <c r="C392" s="32"/>
      <c r="D392" s="27"/>
      <c r="E392" s="31"/>
      <c r="F392" s="32"/>
      <c r="G392" s="32"/>
    </row>
    <row r="393" customFormat="false" ht="15" hidden="false" customHeight="false" outlineLevel="0" collapsed="false">
      <c r="A393" s="27"/>
      <c r="B393" s="32"/>
      <c r="C393" s="32"/>
      <c r="D393" s="27"/>
      <c r="E393" s="31"/>
      <c r="F393" s="32"/>
      <c r="G393" s="32"/>
    </row>
    <row r="394" customFormat="false" ht="15" hidden="false" customHeight="false" outlineLevel="0" collapsed="false">
      <c r="A394" s="27"/>
      <c r="B394" s="32"/>
      <c r="C394" s="32"/>
      <c r="D394" s="27"/>
      <c r="E394" s="31"/>
      <c r="F394" s="32"/>
      <c r="G394" s="32"/>
    </row>
    <row r="395" customFormat="false" ht="15" hidden="false" customHeight="false" outlineLevel="0" collapsed="false">
      <c r="A395" s="27"/>
      <c r="B395" s="32"/>
      <c r="C395" s="32"/>
      <c r="D395" s="27"/>
      <c r="E395" s="31"/>
      <c r="F395" s="32"/>
      <c r="G395" s="32"/>
    </row>
    <row r="396" customFormat="false" ht="15" hidden="false" customHeight="false" outlineLevel="0" collapsed="false">
      <c r="A396" s="27"/>
      <c r="B396" s="32"/>
      <c r="C396" s="32"/>
      <c r="D396" s="27"/>
      <c r="E396" s="31"/>
      <c r="F396" s="32"/>
      <c r="G396" s="32"/>
    </row>
    <row r="397" customFormat="false" ht="15" hidden="false" customHeight="false" outlineLevel="0" collapsed="false">
      <c r="A397" s="27"/>
      <c r="B397" s="32"/>
      <c r="C397" s="32"/>
      <c r="D397" s="27"/>
      <c r="E397" s="31"/>
      <c r="F397" s="32"/>
      <c r="G397" s="32"/>
    </row>
    <row r="398" customFormat="false" ht="15" hidden="false" customHeight="false" outlineLevel="0" collapsed="false">
      <c r="A398" s="27"/>
      <c r="B398" s="32"/>
      <c r="C398" s="32"/>
      <c r="D398" s="27"/>
      <c r="E398" s="31"/>
      <c r="F398" s="32"/>
      <c r="G398" s="32"/>
    </row>
    <row r="399" customFormat="false" ht="15" hidden="false" customHeight="false" outlineLevel="0" collapsed="false">
      <c r="A399" s="27"/>
      <c r="B399" s="32"/>
      <c r="C399" s="32"/>
      <c r="D399" s="27"/>
      <c r="E399" s="31"/>
      <c r="F399" s="32"/>
      <c r="G399" s="32"/>
    </row>
    <row r="400" customFormat="false" ht="15" hidden="false" customHeight="false" outlineLevel="0" collapsed="false">
      <c r="A400" s="27"/>
      <c r="B400" s="32"/>
      <c r="C400" s="32"/>
      <c r="D400" s="27"/>
      <c r="E400" s="31"/>
      <c r="F400" s="32"/>
      <c r="G400" s="32"/>
    </row>
    <row r="401" customFormat="false" ht="15" hidden="false" customHeight="false" outlineLevel="0" collapsed="false">
      <c r="A401" s="27"/>
      <c r="B401" s="32"/>
      <c r="C401" s="32"/>
      <c r="D401" s="27"/>
      <c r="E401" s="31"/>
      <c r="F401" s="32"/>
      <c r="G401" s="32"/>
    </row>
    <row r="402" customFormat="false" ht="15" hidden="false" customHeight="false" outlineLevel="0" collapsed="false">
      <c r="A402" s="27"/>
      <c r="B402" s="32"/>
      <c r="C402" s="32"/>
      <c r="D402" s="27"/>
      <c r="E402" s="31"/>
      <c r="F402" s="32"/>
      <c r="G402" s="32"/>
    </row>
    <row r="403" customFormat="false" ht="15" hidden="false" customHeight="false" outlineLevel="0" collapsed="false">
      <c r="A403" s="27"/>
      <c r="B403" s="32"/>
      <c r="C403" s="32"/>
      <c r="D403" s="27"/>
      <c r="E403" s="31"/>
      <c r="F403" s="32"/>
      <c r="G403" s="32"/>
    </row>
    <row r="404" customFormat="false" ht="15" hidden="false" customHeight="false" outlineLevel="0" collapsed="false">
      <c r="A404" s="27"/>
      <c r="B404" s="32"/>
      <c r="C404" s="32"/>
      <c r="D404" s="27"/>
      <c r="E404" s="31"/>
      <c r="F404" s="32"/>
      <c r="G404" s="32"/>
    </row>
    <row r="405" customFormat="false" ht="15" hidden="false" customHeight="false" outlineLevel="0" collapsed="false">
      <c r="A405" s="27"/>
      <c r="B405" s="32"/>
      <c r="C405" s="32"/>
      <c r="D405" s="27"/>
      <c r="E405" s="31"/>
      <c r="F405" s="32"/>
      <c r="G405" s="32"/>
    </row>
    <row r="406" customFormat="false" ht="15" hidden="false" customHeight="false" outlineLevel="0" collapsed="false">
      <c r="A406" s="27"/>
      <c r="B406" s="32"/>
      <c r="C406" s="32"/>
      <c r="D406" s="27"/>
      <c r="E406" s="31"/>
      <c r="F406" s="32"/>
      <c r="G406" s="32"/>
    </row>
    <row r="407" customFormat="false" ht="15" hidden="false" customHeight="false" outlineLevel="0" collapsed="false">
      <c r="A407" s="27"/>
      <c r="B407" s="32"/>
      <c r="C407" s="32"/>
      <c r="D407" s="27"/>
      <c r="E407" s="31"/>
      <c r="F407" s="32"/>
      <c r="G407" s="32"/>
    </row>
    <row r="408" customFormat="false" ht="15" hidden="false" customHeight="false" outlineLevel="0" collapsed="false">
      <c r="A408" s="27"/>
      <c r="B408" s="32"/>
      <c r="C408" s="32"/>
      <c r="D408" s="27"/>
      <c r="E408" s="31"/>
      <c r="F408" s="32"/>
      <c r="G408" s="32"/>
    </row>
    <row r="409" customFormat="false" ht="15" hidden="false" customHeight="false" outlineLevel="0" collapsed="false">
      <c r="A409" s="27"/>
      <c r="B409" s="32"/>
      <c r="C409" s="32"/>
      <c r="D409" s="27"/>
      <c r="E409" s="31"/>
      <c r="F409" s="32"/>
      <c r="G409" s="32"/>
    </row>
    <row r="410" customFormat="false" ht="15" hidden="false" customHeight="false" outlineLevel="0" collapsed="false">
      <c r="A410" s="27"/>
      <c r="B410" s="32"/>
      <c r="C410" s="32"/>
      <c r="D410" s="27"/>
      <c r="E410" s="31"/>
      <c r="F410" s="32"/>
      <c r="G410" s="32"/>
    </row>
    <row r="411" customFormat="false" ht="15" hidden="false" customHeight="false" outlineLevel="0" collapsed="false">
      <c r="A411" s="27"/>
      <c r="B411" s="32"/>
      <c r="C411" s="32"/>
      <c r="D411" s="27"/>
      <c r="E411" s="31"/>
      <c r="F411" s="32"/>
      <c r="G411" s="32"/>
    </row>
    <row r="412" customFormat="false" ht="15" hidden="false" customHeight="false" outlineLevel="0" collapsed="false">
      <c r="A412" s="27"/>
      <c r="B412" s="32"/>
      <c r="C412" s="32"/>
      <c r="D412" s="27"/>
      <c r="E412" s="31"/>
      <c r="F412" s="32"/>
      <c r="G412" s="32"/>
    </row>
    <row r="413" customFormat="false" ht="15" hidden="false" customHeight="false" outlineLevel="0" collapsed="false">
      <c r="A413" s="27"/>
      <c r="B413" s="32"/>
      <c r="C413" s="32"/>
      <c r="D413" s="27"/>
      <c r="E413" s="31"/>
      <c r="F413" s="32"/>
      <c r="G413" s="32"/>
    </row>
    <row r="414" customFormat="false" ht="15" hidden="false" customHeight="false" outlineLevel="0" collapsed="false">
      <c r="A414" s="27"/>
      <c r="B414" s="32"/>
      <c r="C414" s="32"/>
      <c r="D414" s="27"/>
      <c r="E414" s="31"/>
      <c r="F414" s="32"/>
      <c r="G414" s="32"/>
    </row>
    <row r="415" customFormat="false" ht="15" hidden="false" customHeight="false" outlineLevel="0" collapsed="false">
      <c r="A415" s="27"/>
      <c r="B415" s="32"/>
      <c r="C415" s="32"/>
      <c r="D415" s="27"/>
      <c r="E415" s="31"/>
      <c r="F415" s="32"/>
      <c r="G415" s="32"/>
    </row>
    <row r="416" customFormat="false" ht="15" hidden="false" customHeight="false" outlineLevel="0" collapsed="false">
      <c r="A416" s="27"/>
      <c r="B416" s="32"/>
      <c r="C416" s="32"/>
      <c r="D416" s="27"/>
      <c r="E416" s="31"/>
      <c r="F416" s="32"/>
      <c r="G416" s="32"/>
    </row>
    <row r="417" customFormat="false" ht="15" hidden="false" customHeight="false" outlineLevel="0" collapsed="false">
      <c r="A417" s="27"/>
      <c r="B417" s="32"/>
      <c r="C417" s="32"/>
      <c r="D417" s="27"/>
      <c r="E417" s="31"/>
      <c r="F417" s="32"/>
      <c r="G417" s="32"/>
    </row>
    <row r="418" customFormat="false" ht="15" hidden="false" customHeight="false" outlineLevel="0" collapsed="false">
      <c r="A418" s="27"/>
      <c r="B418" s="32"/>
      <c r="C418" s="32"/>
      <c r="D418" s="27"/>
      <c r="E418" s="31"/>
      <c r="F418" s="32"/>
      <c r="G418" s="32"/>
    </row>
    <row r="419" customFormat="false" ht="15" hidden="false" customHeight="false" outlineLevel="0" collapsed="false">
      <c r="A419" s="27"/>
      <c r="B419" s="32"/>
      <c r="C419" s="32"/>
      <c r="D419" s="27"/>
      <c r="E419" s="31"/>
      <c r="F419" s="32"/>
      <c r="G419" s="32"/>
    </row>
    <row r="420" customFormat="false" ht="15" hidden="false" customHeight="false" outlineLevel="0" collapsed="false">
      <c r="A420" s="27"/>
      <c r="B420" s="32"/>
      <c r="C420" s="32"/>
      <c r="D420" s="27"/>
      <c r="E420" s="31"/>
      <c r="F420" s="32"/>
      <c r="G420" s="32"/>
    </row>
    <row r="421" customFormat="false" ht="15" hidden="false" customHeight="false" outlineLevel="0" collapsed="false">
      <c r="A421" s="27"/>
      <c r="B421" s="32"/>
      <c r="C421" s="32"/>
      <c r="D421" s="27"/>
      <c r="E421" s="31"/>
      <c r="F421" s="32"/>
      <c r="G421" s="32"/>
    </row>
    <row r="422" customFormat="false" ht="15" hidden="false" customHeight="false" outlineLevel="0" collapsed="false">
      <c r="A422" s="27"/>
      <c r="B422" s="32"/>
      <c r="C422" s="32"/>
      <c r="D422" s="27"/>
      <c r="E422" s="31"/>
      <c r="F422" s="32"/>
      <c r="G422" s="32"/>
    </row>
    <row r="423" customFormat="false" ht="15" hidden="false" customHeight="false" outlineLevel="0" collapsed="false">
      <c r="A423" s="27"/>
      <c r="B423" s="32"/>
      <c r="C423" s="32"/>
      <c r="D423" s="27"/>
      <c r="E423" s="31"/>
      <c r="F423" s="32"/>
      <c r="G423" s="32"/>
    </row>
    <row r="424" customFormat="false" ht="15" hidden="false" customHeight="false" outlineLevel="0" collapsed="false">
      <c r="A424" s="27"/>
      <c r="B424" s="32"/>
      <c r="C424" s="32"/>
      <c r="D424" s="27"/>
      <c r="E424" s="31"/>
      <c r="F424" s="32"/>
      <c r="G424" s="32"/>
    </row>
    <row r="425" customFormat="false" ht="15" hidden="false" customHeight="false" outlineLevel="0" collapsed="false">
      <c r="A425" s="27"/>
      <c r="B425" s="32"/>
      <c r="C425" s="32"/>
      <c r="D425" s="27"/>
      <c r="E425" s="31"/>
      <c r="F425" s="32"/>
      <c r="G425" s="32"/>
    </row>
    <row r="426" customFormat="false" ht="15" hidden="false" customHeight="false" outlineLevel="0" collapsed="false">
      <c r="A426" s="27"/>
      <c r="B426" s="32"/>
      <c r="C426" s="32"/>
      <c r="D426" s="27"/>
      <c r="E426" s="31"/>
      <c r="F426" s="32"/>
      <c r="G426" s="32"/>
    </row>
    <row r="427" customFormat="false" ht="15" hidden="false" customHeight="false" outlineLevel="0" collapsed="false">
      <c r="A427" s="27"/>
      <c r="B427" s="32"/>
      <c r="C427" s="32"/>
      <c r="D427" s="27"/>
      <c r="E427" s="31"/>
      <c r="F427" s="32"/>
      <c r="G427" s="32"/>
    </row>
    <row r="428" customFormat="false" ht="15" hidden="false" customHeight="false" outlineLevel="0" collapsed="false">
      <c r="A428" s="27"/>
      <c r="B428" s="32"/>
      <c r="C428" s="32"/>
      <c r="D428" s="27"/>
      <c r="E428" s="31"/>
      <c r="F428" s="32"/>
      <c r="G428" s="32"/>
    </row>
    <row r="429" customFormat="false" ht="15" hidden="false" customHeight="false" outlineLevel="0" collapsed="false">
      <c r="A429" s="27"/>
      <c r="B429" s="32"/>
      <c r="C429" s="32"/>
      <c r="D429" s="27"/>
      <c r="E429" s="31"/>
      <c r="F429" s="32"/>
      <c r="G429" s="32"/>
    </row>
    <row r="430" customFormat="false" ht="15" hidden="false" customHeight="false" outlineLevel="0" collapsed="false">
      <c r="A430" s="27"/>
      <c r="B430" s="32"/>
      <c r="C430" s="32"/>
      <c r="D430" s="27"/>
      <c r="E430" s="31"/>
      <c r="F430" s="32"/>
      <c r="G430" s="32"/>
    </row>
    <row r="431" customFormat="false" ht="15" hidden="false" customHeight="false" outlineLevel="0" collapsed="false">
      <c r="A431" s="27"/>
      <c r="B431" s="32"/>
      <c r="C431" s="32"/>
      <c r="D431" s="27"/>
      <c r="E431" s="31"/>
      <c r="F431" s="32"/>
      <c r="G431" s="32"/>
    </row>
    <row r="432" customFormat="false" ht="15" hidden="false" customHeight="false" outlineLevel="0" collapsed="false">
      <c r="A432" s="27"/>
      <c r="B432" s="32"/>
      <c r="C432" s="32"/>
      <c r="D432" s="27"/>
      <c r="E432" s="31"/>
      <c r="F432" s="32"/>
      <c r="G432" s="32"/>
    </row>
    <row r="433" customFormat="false" ht="15" hidden="false" customHeight="false" outlineLevel="0" collapsed="false">
      <c r="A433" s="27"/>
      <c r="B433" s="32"/>
      <c r="C433" s="32"/>
      <c r="D433" s="27"/>
      <c r="E433" s="31"/>
      <c r="F433" s="32"/>
      <c r="G433" s="32"/>
    </row>
    <row r="434" customFormat="false" ht="15" hidden="false" customHeight="false" outlineLevel="0" collapsed="false">
      <c r="A434" s="27"/>
      <c r="B434" s="32"/>
      <c r="C434" s="32"/>
      <c r="D434" s="27"/>
      <c r="E434" s="31"/>
      <c r="F434" s="32"/>
      <c r="G434" s="32"/>
    </row>
    <row r="435" customFormat="false" ht="15" hidden="false" customHeight="false" outlineLevel="0" collapsed="false">
      <c r="A435" s="27"/>
      <c r="B435" s="32"/>
      <c r="C435" s="32"/>
      <c r="D435" s="27"/>
      <c r="E435" s="31"/>
      <c r="F435" s="32"/>
      <c r="G435" s="32"/>
    </row>
    <row r="436" customFormat="false" ht="15" hidden="false" customHeight="false" outlineLevel="0" collapsed="false">
      <c r="A436" s="27"/>
      <c r="B436" s="32"/>
      <c r="C436" s="32"/>
      <c r="D436" s="27"/>
      <c r="E436" s="31"/>
      <c r="F436" s="32"/>
      <c r="G436" s="32"/>
    </row>
    <row r="437" customFormat="false" ht="15" hidden="false" customHeight="false" outlineLevel="0" collapsed="false">
      <c r="A437" s="27"/>
      <c r="B437" s="32"/>
      <c r="C437" s="32"/>
      <c r="D437" s="27"/>
      <c r="E437" s="31"/>
      <c r="F437" s="32"/>
      <c r="G437" s="32"/>
    </row>
    <row r="438" customFormat="false" ht="15" hidden="false" customHeight="false" outlineLevel="0" collapsed="false">
      <c r="A438" s="27"/>
      <c r="B438" s="32"/>
      <c r="C438" s="32"/>
      <c r="D438" s="27"/>
      <c r="E438" s="31"/>
      <c r="F438" s="32"/>
      <c r="G438" s="32"/>
    </row>
    <row r="439" customFormat="false" ht="15" hidden="false" customHeight="false" outlineLevel="0" collapsed="false">
      <c r="A439" s="27"/>
      <c r="B439" s="32"/>
      <c r="C439" s="32"/>
      <c r="D439" s="27"/>
      <c r="E439" s="31"/>
      <c r="F439" s="32"/>
      <c r="G439" s="32"/>
    </row>
    <row r="440" customFormat="false" ht="15" hidden="false" customHeight="false" outlineLevel="0" collapsed="false">
      <c r="A440" s="27"/>
      <c r="B440" s="32"/>
      <c r="C440" s="32"/>
      <c r="D440" s="27"/>
      <c r="E440" s="31"/>
      <c r="F440" s="32"/>
      <c r="G440" s="32"/>
    </row>
    <row r="441" customFormat="false" ht="15" hidden="false" customHeight="false" outlineLevel="0" collapsed="false">
      <c r="A441" s="27"/>
      <c r="B441" s="32"/>
      <c r="C441" s="32"/>
      <c r="D441" s="27"/>
      <c r="E441" s="31"/>
      <c r="F441" s="32"/>
      <c r="G441" s="32"/>
    </row>
    <row r="442" customFormat="false" ht="15" hidden="false" customHeight="false" outlineLevel="0" collapsed="false">
      <c r="A442" s="27"/>
      <c r="B442" s="32"/>
      <c r="C442" s="32"/>
      <c r="D442" s="27"/>
      <c r="E442" s="31"/>
      <c r="F442" s="32"/>
      <c r="G442" s="32"/>
    </row>
    <row r="443" customFormat="false" ht="15" hidden="false" customHeight="false" outlineLevel="0" collapsed="false">
      <c r="A443" s="27"/>
      <c r="B443" s="32"/>
      <c r="C443" s="32"/>
      <c r="D443" s="27"/>
      <c r="E443" s="31"/>
      <c r="F443" s="32"/>
      <c r="G443" s="32"/>
    </row>
    <row r="444" customFormat="false" ht="15" hidden="false" customHeight="false" outlineLevel="0" collapsed="false">
      <c r="A444" s="27"/>
      <c r="B444" s="32"/>
      <c r="C444" s="32"/>
      <c r="D444" s="27"/>
      <c r="E444" s="31"/>
      <c r="F444" s="32"/>
      <c r="G444" s="32"/>
    </row>
    <row r="445" customFormat="false" ht="15" hidden="false" customHeight="false" outlineLevel="0" collapsed="false">
      <c r="A445" s="27"/>
      <c r="B445" s="32"/>
      <c r="C445" s="32"/>
      <c r="D445" s="27"/>
      <c r="E445" s="31"/>
      <c r="F445" s="32"/>
      <c r="G445" s="32"/>
    </row>
    <row r="446" customFormat="false" ht="15" hidden="false" customHeight="false" outlineLevel="0" collapsed="false">
      <c r="A446" s="27"/>
      <c r="B446" s="32"/>
      <c r="C446" s="32"/>
      <c r="D446" s="27"/>
      <c r="E446" s="31"/>
      <c r="F446" s="32"/>
      <c r="G446" s="32"/>
    </row>
    <row r="447" customFormat="false" ht="15" hidden="false" customHeight="false" outlineLevel="0" collapsed="false">
      <c r="A447" s="27"/>
      <c r="B447" s="32"/>
      <c r="C447" s="32"/>
      <c r="D447" s="27"/>
      <c r="E447" s="31"/>
      <c r="F447" s="32"/>
      <c r="G447" s="32"/>
    </row>
    <row r="448" customFormat="false" ht="15" hidden="false" customHeight="false" outlineLevel="0" collapsed="false">
      <c r="A448" s="27"/>
      <c r="B448" s="32"/>
      <c r="C448" s="32"/>
      <c r="D448" s="27"/>
      <c r="E448" s="31"/>
      <c r="F448" s="32"/>
      <c r="G448" s="32"/>
    </row>
    <row r="449" customFormat="false" ht="15" hidden="false" customHeight="false" outlineLevel="0" collapsed="false">
      <c r="A449" s="27"/>
      <c r="B449" s="32"/>
      <c r="C449" s="32"/>
      <c r="D449" s="27"/>
      <c r="E449" s="31"/>
      <c r="F449" s="32"/>
      <c r="G449" s="32"/>
    </row>
    <row r="450" customFormat="false" ht="15" hidden="false" customHeight="false" outlineLevel="0" collapsed="false">
      <c r="A450" s="27"/>
      <c r="B450" s="32"/>
      <c r="C450" s="32"/>
      <c r="D450" s="27"/>
      <c r="E450" s="31"/>
      <c r="F450" s="32"/>
      <c r="G450" s="32"/>
    </row>
    <row r="451" customFormat="false" ht="15" hidden="false" customHeight="false" outlineLevel="0" collapsed="false">
      <c r="A451" s="27"/>
      <c r="B451" s="32"/>
      <c r="C451" s="32"/>
      <c r="D451" s="27"/>
      <c r="E451" s="31"/>
      <c r="F451" s="32"/>
      <c r="G451" s="32"/>
    </row>
    <row r="452" customFormat="false" ht="15" hidden="false" customHeight="false" outlineLevel="0" collapsed="false">
      <c r="A452" s="27"/>
      <c r="B452" s="32"/>
      <c r="C452" s="32"/>
      <c r="D452" s="27"/>
      <c r="E452" s="31"/>
      <c r="F452" s="32"/>
      <c r="G452" s="32"/>
    </row>
    <row r="453" customFormat="false" ht="15" hidden="false" customHeight="false" outlineLevel="0" collapsed="false">
      <c r="A453" s="27"/>
      <c r="B453" s="32"/>
      <c r="C453" s="32"/>
      <c r="D453" s="27"/>
      <c r="E453" s="31"/>
      <c r="F453" s="32"/>
      <c r="G453" s="32"/>
    </row>
    <row r="454" customFormat="false" ht="15" hidden="false" customHeight="false" outlineLevel="0" collapsed="false">
      <c r="A454" s="27"/>
      <c r="B454" s="32"/>
      <c r="C454" s="32"/>
      <c r="D454" s="27"/>
      <c r="E454" s="31"/>
      <c r="F454" s="32"/>
      <c r="G454" s="32"/>
    </row>
    <row r="455" customFormat="false" ht="15" hidden="false" customHeight="false" outlineLevel="0" collapsed="false">
      <c r="A455" s="27"/>
      <c r="B455" s="32"/>
      <c r="C455" s="32"/>
      <c r="D455" s="27"/>
      <c r="E455" s="31"/>
      <c r="F455" s="32"/>
      <c r="G455" s="32"/>
    </row>
    <row r="456" customFormat="false" ht="15" hidden="false" customHeight="false" outlineLevel="0" collapsed="false">
      <c r="A456" s="27"/>
      <c r="B456" s="32"/>
      <c r="C456" s="32"/>
      <c r="D456" s="27"/>
      <c r="E456" s="31"/>
      <c r="F456" s="32"/>
      <c r="G456" s="32"/>
    </row>
    <row r="457" customFormat="false" ht="15" hidden="false" customHeight="false" outlineLevel="0" collapsed="false">
      <c r="A457" s="27"/>
      <c r="B457" s="32"/>
      <c r="C457" s="32"/>
      <c r="D457" s="27"/>
      <c r="E457" s="31"/>
      <c r="F457" s="32"/>
      <c r="G457" s="32"/>
    </row>
    <row r="458" customFormat="false" ht="15" hidden="false" customHeight="false" outlineLevel="0" collapsed="false">
      <c r="A458" s="27"/>
      <c r="B458" s="32"/>
      <c r="C458" s="32"/>
      <c r="D458" s="27"/>
      <c r="E458" s="31"/>
      <c r="F458" s="32"/>
      <c r="G458" s="32"/>
    </row>
    <row r="459" customFormat="false" ht="15" hidden="false" customHeight="false" outlineLevel="0" collapsed="false">
      <c r="A459" s="27"/>
      <c r="B459" s="32"/>
      <c r="C459" s="32"/>
      <c r="D459" s="27"/>
      <c r="E459" s="31"/>
      <c r="F459" s="32"/>
      <c r="G459" s="32"/>
    </row>
    <row r="460" customFormat="false" ht="15" hidden="false" customHeight="false" outlineLevel="0" collapsed="false">
      <c r="A460" s="27"/>
      <c r="B460" s="32"/>
      <c r="C460" s="32"/>
      <c r="D460" s="27"/>
      <c r="E460" s="31"/>
      <c r="F460" s="32"/>
      <c r="G460" s="32"/>
    </row>
    <row r="461" customFormat="false" ht="15" hidden="false" customHeight="false" outlineLevel="0" collapsed="false">
      <c r="A461" s="27"/>
      <c r="B461" s="32"/>
      <c r="C461" s="32"/>
      <c r="D461" s="27"/>
      <c r="E461" s="31"/>
      <c r="F461" s="32"/>
      <c r="G461" s="32"/>
    </row>
    <row r="462" customFormat="false" ht="15" hidden="false" customHeight="false" outlineLevel="0" collapsed="false">
      <c r="A462" s="27"/>
      <c r="B462" s="32"/>
      <c r="C462" s="32"/>
      <c r="D462" s="27"/>
      <c r="E462" s="31"/>
      <c r="F462" s="32"/>
      <c r="G462" s="32"/>
    </row>
    <row r="463" customFormat="false" ht="15" hidden="false" customHeight="false" outlineLevel="0" collapsed="false">
      <c r="A463" s="27"/>
      <c r="B463" s="32"/>
      <c r="C463" s="32"/>
      <c r="D463" s="27"/>
      <c r="E463" s="31"/>
      <c r="F463" s="32"/>
      <c r="G463" s="32"/>
    </row>
    <row r="464" customFormat="false" ht="15" hidden="false" customHeight="false" outlineLevel="0" collapsed="false">
      <c r="A464" s="27"/>
      <c r="B464" s="32"/>
      <c r="C464" s="32"/>
      <c r="D464" s="27"/>
      <c r="E464" s="31"/>
      <c r="F464" s="32"/>
      <c r="G464" s="32"/>
    </row>
    <row r="465" customFormat="false" ht="15" hidden="false" customHeight="false" outlineLevel="0" collapsed="false">
      <c r="A465" s="27"/>
      <c r="B465" s="32"/>
      <c r="C465" s="32"/>
      <c r="D465" s="27"/>
      <c r="E465" s="31"/>
      <c r="F465" s="32"/>
      <c r="G465" s="32"/>
    </row>
    <row r="466" customFormat="false" ht="15" hidden="false" customHeight="false" outlineLevel="0" collapsed="false">
      <c r="A466" s="27"/>
      <c r="B466" s="32"/>
      <c r="C466" s="32"/>
      <c r="D466" s="27"/>
      <c r="E466" s="31"/>
      <c r="F466" s="32"/>
      <c r="G466" s="32"/>
    </row>
    <row r="467" customFormat="false" ht="15" hidden="false" customHeight="false" outlineLevel="0" collapsed="false">
      <c r="A467" s="27"/>
      <c r="B467" s="32"/>
      <c r="C467" s="32"/>
      <c r="D467" s="27"/>
      <c r="E467" s="31"/>
      <c r="F467" s="32"/>
      <c r="G467" s="32"/>
    </row>
    <row r="468" customFormat="false" ht="15" hidden="false" customHeight="false" outlineLevel="0" collapsed="false">
      <c r="A468" s="27"/>
      <c r="B468" s="32"/>
      <c r="C468" s="32"/>
      <c r="D468" s="27"/>
      <c r="E468" s="31"/>
      <c r="F468" s="32"/>
      <c r="G468" s="32"/>
    </row>
    <row r="469" customFormat="false" ht="15" hidden="false" customHeight="false" outlineLevel="0" collapsed="false">
      <c r="A469" s="27"/>
      <c r="B469" s="32"/>
      <c r="C469" s="32"/>
      <c r="D469" s="27"/>
      <c r="E469" s="31"/>
      <c r="F469" s="32"/>
      <c r="G469" s="32"/>
    </row>
    <row r="470" customFormat="false" ht="15" hidden="false" customHeight="false" outlineLevel="0" collapsed="false">
      <c r="A470" s="27"/>
      <c r="B470" s="32"/>
      <c r="C470" s="32"/>
      <c r="D470" s="27"/>
      <c r="E470" s="31"/>
      <c r="F470" s="32"/>
      <c r="G470" s="32"/>
    </row>
    <row r="471" customFormat="false" ht="15" hidden="false" customHeight="false" outlineLevel="0" collapsed="false">
      <c r="A471" s="27"/>
      <c r="B471" s="32"/>
      <c r="C471" s="32"/>
      <c r="D471" s="27"/>
      <c r="E471" s="31"/>
      <c r="F471" s="32"/>
      <c r="G471" s="32"/>
    </row>
    <row r="472" customFormat="false" ht="15" hidden="false" customHeight="false" outlineLevel="0" collapsed="false">
      <c r="A472" s="27"/>
      <c r="B472" s="32"/>
      <c r="C472" s="32"/>
      <c r="D472" s="27"/>
      <c r="E472" s="31"/>
      <c r="F472" s="32"/>
      <c r="G472" s="32"/>
    </row>
    <row r="473" customFormat="false" ht="15" hidden="false" customHeight="false" outlineLevel="0" collapsed="false">
      <c r="A473" s="27"/>
      <c r="B473" s="32"/>
      <c r="C473" s="32"/>
      <c r="D473" s="27"/>
      <c r="E473" s="31"/>
      <c r="F473" s="32"/>
      <c r="G473" s="32"/>
    </row>
    <row r="474" customFormat="false" ht="15" hidden="false" customHeight="false" outlineLevel="0" collapsed="false">
      <c r="A474" s="27"/>
      <c r="B474" s="32"/>
      <c r="C474" s="32"/>
      <c r="D474" s="27"/>
      <c r="E474" s="31"/>
      <c r="F474" s="32"/>
      <c r="G474" s="32"/>
    </row>
    <row r="475" customFormat="false" ht="15" hidden="false" customHeight="false" outlineLevel="0" collapsed="false">
      <c r="A475" s="27"/>
      <c r="B475" s="32"/>
      <c r="C475" s="32"/>
      <c r="D475" s="27"/>
      <c r="E475" s="31"/>
      <c r="F475" s="32"/>
      <c r="G475" s="32"/>
    </row>
    <row r="476" customFormat="false" ht="15" hidden="false" customHeight="false" outlineLevel="0" collapsed="false">
      <c r="A476" s="27"/>
      <c r="B476" s="32"/>
      <c r="C476" s="32"/>
      <c r="D476" s="27"/>
      <c r="E476" s="31"/>
      <c r="F476" s="32"/>
      <c r="G476" s="32"/>
    </row>
    <row r="477" customFormat="false" ht="15" hidden="false" customHeight="false" outlineLevel="0" collapsed="false">
      <c r="A477" s="27"/>
      <c r="B477" s="32"/>
      <c r="C477" s="32"/>
      <c r="D477" s="27"/>
      <c r="E477" s="31"/>
      <c r="F477" s="32"/>
      <c r="G477" s="32"/>
    </row>
    <row r="478" customFormat="false" ht="15" hidden="false" customHeight="false" outlineLevel="0" collapsed="false">
      <c r="A478" s="27"/>
      <c r="B478" s="32"/>
      <c r="C478" s="32"/>
      <c r="D478" s="27"/>
      <c r="E478" s="31"/>
      <c r="F478" s="32"/>
      <c r="G478" s="32"/>
    </row>
    <row r="479" customFormat="false" ht="15" hidden="false" customHeight="false" outlineLevel="0" collapsed="false">
      <c r="A479" s="27"/>
      <c r="B479" s="32"/>
      <c r="C479" s="32"/>
      <c r="D479" s="27"/>
      <c r="E479" s="31"/>
      <c r="F479" s="32"/>
      <c r="G479" s="32"/>
    </row>
    <row r="480" customFormat="false" ht="15" hidden="false" customHeight="false" outlineLevel="0" collapsed="false">
      <c r="A480" s="27"/>
      <c r="B480" s="32"/>
      <c r="C480" s="32"/>
      <c r="D480" s="27"/>
      <c r="E480" s="31"/>
      <c r="F480" s="32"/>
      <c r="G480" s="32"/>
    </row>
    <row r="481" customFormat="false" ht="15" hidden="false" customHeight="false" outlineLevel="0" collapsed="false">
      <c r="A481" s="27"/>
      <c r="B481" s="32"/>
      <c r="C481" s="32"/>
      <c r="D481" s="27"/>
      <c r="E481" s="31"/>
      <c r="F481" s="32"/>
      <c r="G481" s="32"/>
    </row>
    <row r="482" customFormat="false" ht="15" hidden="false" customHeight="false" outlineLevel="0" collapsed="false">
      <c r="A482" s="27"/>
      <c r="B482" s="32"/>
      <c r="C482" s="32"/>
      <c r="D482" s="27"/>
      <c r="E482" s="31"/>
      <c r="F482" s="32"/>
      <c r="G482" s="32"/>
    </row>
    <row r="483" customFormat="false" ht="15" hidden="false" customHeight="false" outlineLevel="0" collapsed="false">
      <c r="A483" s="27"/>
      <c r="B483" s="32"/>
      <c r="C483" s="32"/>
      <c r="D483" s="27"/>
      <c r="E483" s="31"/>
      <c r="F483" s="32"/>
      <c r="G483" s="32"/>
    </row>
    <row r="484" customFormat="false" ht="15" hidden="false" customHeight="false" outlineLevel="0" collapsed="false">
      <c r="A484" s="27"/>
      <c r="B484" s="32"/>
      <c r="C484" s="32"/>
      <c r="D484" s="27"/>
      <c r="E484" s="31"/>
      <c r="F484" s="32"/>
      <c r="G484" s="32"/>
    </row>
    <row r="485" customFormat="false" ht="15" hidden="false" customHeight="false" outlineLevel="0" collapsed="false">
      <c r="A485" s="27"/>
      <c r="B485" s="32"/>
      <c r="C485" s="32"/>
      <c r="D485" s="27"/>
      <c r="E485" s="31"/>
      <c r="F485" s="32"/>
      <c r="G485" s="32"/>
    </row>
    <row r="486" customFormat="false" ht="15" hidden="false" customHeight="false" outlineLevel="0" collapsed="false">
      <c r="A486" s="27"/>
      <c r="B486" s="32"/>
      <c r="C486" s="32"/>
      <c r="D486" s="27"/>
      <c r="E486" s="31"/>
      <c r="F486" s="32"/>
      <c r="G486" s="32"/>
    </row>
    <row r="487" customFormat="false" ht="15" hidden="false" customHeight="false" outlineLevel="0" collapsed="false">
      <c r="A487" s="27"/>
      <c r="B487" s="32"/>
      <c r="C487" s="32"/>
      <c r="D487" s="27"/>
      <c r="E487" s="31"/>
      <c r="F487" s="32"/>
      <c r="G487" s="32"/>
    </row>
    <row r="488" customFormat="false" ht="15" hidden="false" customHeight="false" outlineLevel="0" collapsed="false">
      <c r="A488" s="27"/>
      <c r="B488" s="32"/>
      <c r="C488" s="32"/>
      <c r="D488" s="27"/>
      <c r="E488" s="31"/>
      <c r="F488" s="32"/>
      <c r="G488" s="32"/>
    </row>
    <row r="489" customFormat="false" ht="15" hidden="false" customHeight="false" outlineLevel="0" collapsed="false">
      <c r="A489" s="27"/>
      <c r="B489" s="32"/>
      <c r="C489" s="32"/>
      <c r="D489" s="27"/>
      <c r="E489" s="31"/>
      <c r="F489" s="32"/>
      <c r="G489" s="32"/>
    </row>
    <row r="490" customFormat="false" ht="15" hidden="false" customHeight="false" outlineLevel="0" collapsed="false">
      <c r="A490" s="27"/>
      <c r="B490" s="32"/>
      <c r="C490" s="32"/>
      <c r="D490" s="27"/>
      <c r="E490" s="31"/>
      <c r="F490" s="32"/>
      <c r="G490" s="32"/>
    </row>
    <row r="491" customFormat="false" ht="15" hidden="false" customHeight="false" outlineLevel="0" collapsed="false">
      <c r="A491" s="27"/>
      <c r="B491" s="32"/>
      <c r="C491" s="32"/>
      <c r="D491" s="27"/>
      <c r="E491" s="31"/>
      <c r="F491" s="32"/>
      <c r="G491" s="32"/>
    </row>
    <row r="492" customFormat="false" ht="15" hidden="false" customHeight="false" outlineLevel="0" collapsed="false">
      <c r="A492" s="27"/>
      <c r="B492" s="32"/>
      <c r="C492" s="32"/>
      <c r="D492" s="27"/>
      <c r="E492" s="31"/>
      <c r="F492" s="32"/>
      <c r="G492" s="32"/>
    </row>
    <row r="493" customFormat="false" ht="15" hidden="false" customHeight="false" outlineLevel="0" collapsed="false">
      <c r="A493" s="27"/>
      <c r="B493" s="32"/>
      <c r="C493" s="32"/>
      <c r="D493" s="27"/>
      <c r="E493" s="31"/>
      <c r="F493" s="32"/>
      <c r="G493" s="32"/>
    </row>
    <row r="494" customFormat="false" ht="15" hidden="false" customHeight="false" outlineLevel="0" collapsed="false">
      <c r="A494" s="27"/>
      <c r="B494" s="32"/>
      <c r="C494" s="32"/>
      <c r="D494" s="27"/>
      <c r="E494" s="31"/>
      <c r="F494" s="32"/>
      <c r="G494" s="32"/>
    </row>
    <row r="495" customFormat="false" ht="15" hidden="false" customHeight="false" outlineLevel="0" collapsed="false">
      <c r="A495" s="27"/>
      <c r="B495" s="32"/>
      <c r="C495" s="32"/>
      <c r="D495" s="27"/>
      <c r="E495" s="31"/>
      <c r="F495" s="32"/>
      <c r="G495" s="32"/>
    </row>
    <row r="496" customFormat="false" ht="15" hidden="false" customHeight="false" outlineLevel="0" collapsed="false">
      <c r="A496" s="27"/>
      <c r="B496" s="32"/>
      <c r="C496" s="32"/>
      <c r="D496" s="27"/>
      <c r="E496" s="31"/>
      <c r="F496" s="32"/>
      <c r="G496" s="32"/>
    </row>
    <row r="497" customFormat="false" ht="15" hidden="false" customHeight="false" outlineLevel="0" collapsed="false">
      <c r="A497" s="27"/>
      <c r="B497" s="32"/>
      <c r="C497" s="32"/>
      <c r="D497" s="27"/>
      <c r="E497" s="31"/>
      <c r="F497" s="32"/>
      <c r="G497" s="32"/>
    </row>
    <row r="498" customFormat="false" ht="15" hidden="false" customHeight="false" outlineLevel="0" collapsed="false">
      <c r="A498" s="27"/>
      <c r="B498" s="32"/>
      <c r="C498" s="32"/>
      <c r="D498" s="27"/>
      <c r="E498" s="31"/>
      <c r="F498" s="32"/>
      <c r="G498" s="32"/>
    </row>
    <row r="499" customFormat="false" ht="15" hidden="false" customHeight="false" outlineLevel="0" collapsed="false">
      <c r="A499" s="27"/>
      <c r="B499" s="32"/>
      <c r="C499" s="32"/>
      <c r="D499" s="27"/>
      <c r="E499" s="31"/>
      <c r="F499" s="32"/>
      <c r="G499" s="32"/>
    </row>
    <row r="500" customFormat="false" ht="15" hidden="false" customHeight="false" outlineLevel="0" collapsed="false">
      <c r="A500" s="27"/>
      <c r="B500" s="32"/>
      <c r="C500" s="32"/>
      <c r="D500" s="27"/>
      <c r="E500" s="31"/>
      <c r="F500" s="32"/>
      <c r="G500" s="32"/>
    </row>
    <row r="501" customFormat="false" ht="15" hidden="false" customHeight="false" outlineLevel="0" collapsed="false">
      <c r="A501" s="27"/>
      <c r="B501" s="32"/>
      <c r="C501" s="32"/>
      <c r="D501" s="27"/>
      <c r="E501" s="31"/>
      <c r="F501" s="32"/>
      <c r="G501" s="32"/>
    </row>
    <row r="502" customFormat="false" ht="15" hidden="false" customHeight="false" outlineLevel="0" collapsed="false">
      <c r="A502" s="27"/>
      <c r="B502" s="32"/>
      <c r="C502" s="32"/>
      <c r="D502" s="27"/>
      <c r="E502" s="31"/>
      <c r="F502" s="32"/>
      <c r="G502" s="32"/>
    </row>
    <row r="503" customFormat="false" ht="15" hidden="false" customHeight="false" outlineLevel="0" collapsed="false">
      <c r="A503" s="27"/>
      <c r="B503" s="32"/>
      <c r="C503" s="32"/>
      <c r="D503" s="27"/>
      <c r="E503" s="31"/>
      <c r="F503" s="32"/>
      <c r="G503" s="32"/>
    </row>
    <row r="504" customFormat="false" ht="15" hidden="false" customHeight="false" outlineLevel="0" collapsed="false">
      <c r="A504" s="27"/>
      <c r="B504" s="32"/>
      <c r="C504" s="32"/>
      <c r="D504" s="27"/>
      <c r="E504" s="31"/>
      <c r="F504" s="32"/>
      <c r="G504" s="32"/>
    </row>
  </sheetData>
  <conditionalFormatting sqref="F5:F504">
    <cfRule type="cellIs" priority="2" operator="equal" aboveAverage="0" equalAverage="0" bottom="0" percent="0" rank="0" text="" dxfId="2">
      <formula>"Fechado"</formula>
    </cfRule>
    <cfRule type="cellIs" priority="3" operator="equal" aboveAverage="0" equalAverage="0" bottom="0" percent="0" rank="0" text="" dxfId="3">
      <formula>"Aguardando"</formula>
    </cfRule>
    <cfRule type="cellIs" priority="4" operator="equal" aboveAverage="0" equalAverage="0" bottom="0" percent="0" rank="0" text="" dxfId="4">
      <formula>"Recusado"</formula>
    </cfRule>
  </conditionalFormatting>
  <dataValidations count="3">
    <dataValidation allowBlank="true" errorStyle="stop" operator="between" showDropDown="false" showErrorMessage="false" showInputMessage="false" sqref="C5:C504" type="list">
      <formula1>Listas!$A$5:$A$30</formula1>
      <formula2>0</formula2>
    </dataValidation>
    <dataValidation allowBlank="true" errorStyle="stop" operator="between" showDropDown="false" showErrorMessage="false" showInputMessage="false" sqref="F5:F504" type="list">
      <formula1>Listas!$B$5:$B$30</formula1>
      <formula2>0</formula2>
    </dataValidation>
    <dataValidation allowBlank="true" errorStyle="stop" operator="between" prompt="Escolha um cliente da aba Clientes ou digite o nome." promptTitle="Dica" showDropDown="false" showErrorMessage="false" showInputMessage="true" sqref="B5:B504" type="list">
      <formula1>Clientes!$A$5:$A$504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H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22</v>
      </c>
    </row>
    <row r="2" customFormat="false" ht="15" hidden="false" customHeight="false" outlineLevel="0" collapsed="false">
      <c r="A2" s="2" t="s">
        <v>139</v>
      </c>
    </row>
    <row r="4" customFormat="false" ht="31.5" hidden="false" customHeight="true" outlineLevel="0" collapsed="false">
      <c r="A4" s="10" t="s">
        <v>140</v>
      </c>
      <c r="B4" s="10" t="s">
        <v>141</v>
      </c>
      <c r="C4" s="10" t="s">
        <v>142</v>
      </c>
      <c r="D4" s="10" t="s">
        <v>143</v>
      </c>
      <c r="E4" s="10" t="s">
        <v>88</v>
      </c>
      <c r="F4" s="10" t="s">
        <v>18</v>
      </c>
      <c r="G4" s="10" t="s">
        <v>144</v>
      </c>
      <c r="H4" s="10" t="s">
        <v>106</v>
      </c>
    </row>
    <row r="5" customFormat="false" ht="15" hidden="false" customHeight="false" outlineLevel="0" collapsed="false">
      <c r="A5" s="32" t="s">
        <v>109</v>
      </c>
      <c r="B5" s="32" t="s">
        <v>145</v>
      </c>
      <c r="C5" s="32" t="s">
        <v>146</v>
      </c>
      <c r="D5" s="32" t="s">
        <v>111</v>
      </c>
      <c r="E5" s="32" t="s">
        <v>142</v>
      </c>
      <c r="F5" s="35" t="n">
        <f aca="false">IF(A5="","",COUNTIF(Trabalhos!$D$5:$D$504,A5))</f>
        <v>1</v>
      </c>
      <c r="G5" s="33" t="n">
        <f aca="false">IF(A5="","",SUMIFS(Trabalhos!$G$5:$G$504,Trabalhos!$D$5:$D$504,A5))</f>
        <v>3500</v>
      </c>
      <c r="H5" s="32" t="s">
        <v>112</v>
      </c>
    </row>
    <row r="6" customFormat="false" ht="15" hidden="false" customHeight="false" outlineLevel="0" collapsed="false">
      <c r="A6" s="32" t="s">
        <v>114</v>
      </c>
      <c r="B6" s="32" t="s">
        <v>147</v>
      </c>
      <c r="C6" s="32" t="s">
        <v>148</v>
      </c>
      <c r="D6" s="32" t="s">
        <v>116</v>
      </c>
      <c r="E6" s="32" t="s">
        <v>149</v>
      </c>
      <c r="F6" s="35" t="n">
        <f aca="false">IF(A6="","",COUNTIF(Trabalhos!$D$5:$D$504,A6))</f>
        <v>1</v>
      </c>
      <c r="G6" s="33" t="n">
        <f aca="false">IF(A6="","",SUMIFS(Trabalhos!$G$5:$G$504,Trabalhos!$D$5:$D$504,A6))</f>
        <v>1800</v>
      </c>
      <c r="H6" s="32" t="s">
        <v>112</v>
      </c>
    </row>
    <row r="7" customFormat="false" ht="15" hidden="false" customHeight="false" outlineLevel="0" collapsed="false">
      <c r="A7" s="32" t="s">
        <v>118</v>
      </c>
      <c r="B7" s="32" t="s">
        <v>150</v>
      </c>
      <c r="C7" s="32" t="s">
        <v>151</v>
      </c>
      <c r="D7" s="32" t="s">
        <v>111</v>
      </c>
      <c r="E7" s="32" t="s">
        <v>142</v>
      </c>
      <c r="F7" s="35" t="n">
        <f aca="false">IF(A7="","",COUNTIF(Trabalhos!$D$5:$D$504,A7))</f>
        <v>1</v>
      </c>
      <c r="G7" s="33" t="n">
        <f aca="false">IF(A7="","",SUMIFS(Trabalhos!$G$5:$G$504,Trabalhos!$D$5:$D$504,A7))</f>
        <v>900</v>
      </c>
      <c r="H7" s="32" t="s">
        <v>112</v>
      </c>
    </row>
    <row r="8" customFormat="false" ht="15" hidden="false" customHeight="false" outlineLevel="0" collapsed="false">
      <c r="A8" s="32" t="s">
        <v>121</v>
      </c>
      <c r="B8" s="32" t="s">
        <v>152</v>
      </c>
      <c r="C8" s="32" t="s">
        <v>153</v>
      </c>
      <c r="D8" s="32" t="s">
        <v>123</v>
      </c>
      <c r="E8" s="32" t="s">
        <v>154</v>
      </c>
      <c r="F8" s="35" t="n">
        <f aca="false">IF(A8="","",COUNTIF(Trabalhos!$D$5:$D$504,A8))</f>
        <v>1</v>
      </c>
      <c r="G8" s="33" t="n">
        <f aca="false">IF(A8="","",SUMIFS(Trabalhos!$G$5:$G$504,Trabalhos!$D$5:$D$504,A8))</f>
        <v>1200</v>
      </c>
      <c r="H8" s="32" t="s">
        <v>112</v>
      </c>
    </row>
    <row r="9" customFormat="false" ht="15" hidden="false" customHeight="false" outlineLevel="0" collapsed="false">
      <c r="A9" s="32" t="s">
        <v>125</v>
      </c>
      <c r="B9" s="32" t="s">
        <v>155</v>
      </c>
      <c r="C9" s="32" t="s">
        <v>156</v>
      </c>
      <c r="D9" s="32" t="s">
        <v>126</v>
      </c>
      <c r="E9" s="32" t="s">
        <v>149</v>
      </c>
      <c r="F9" s="35" t="n">
        <f aca="false">IF(A9="","",COUNTIF(Trabalhos!$D$5:$D$504,A9))</f>
        <v>1</v>
      </c>
      <c r="G9" s="33" t="n">
        <f aca="false">IF(A9="","",SUMIFS(Trabalhos!$G$5:$G$504,Trabalhos!$D$5:$D$504,A9))</f>
        <v>4200</v>
      </c>
      <c r="H9" s="32" t="s">
        <v>112</v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5" t="str">
        <f aca="false">IF(A10="","",COUNTIF(Trabalhos!$D$5:$D$504,A10))</f>
        <v/>
      </c>
      <c r="G10" s="33" t="str">
        <f aca="false">IF(A10="","",SUMIFS(Trabalhos!$G$5:$G$504,Trabalhos!$D$5:$D$504,A10))</f>
        <v/>
      </c>
      <c r="H10" s="32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5" t="str">
        <f aca="false">IF(A11="","",COUNTIF(Trabalhos!$D$5:$D$504,A11))</f>
        <v/>
      </c>
      <c r="G11" s="33" t="str">
        <f aca="false">IF(A11="","",SUMIFS(Trabalhos!$G$5:$G$504,Trabalhos!$D$5:$D$504,A11))</f>
        <v/>
      </c>
      <c r="H11" s="32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5" t="str">
        <f aca="false">IF(A12="","",COUNTIF(Trabalhos!$D$5:$D$504,A12))</f>
        <v/>
      </c>
      <c r="G12" s="33" t="str">
        <f aca="false">IF(A12="","",SUMIFS(Trabalhos!$G$5:$G$504,Trabalhos!$D$5:$D$504,A12))</f>
        <v/>
      </c>
      <c r="H12" s="32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5" t="str">
        <f aca="false">IF(A13="","",COUNTIF(Trabalhos!$D$5:$D$504,A13))</f>
        <v/>
      </c>
      <c r="G13" s="33" t="str">
        <f aca="false">IF(A13="","",SUMIFS(Trabalhos!$G$5:$G$504,Trabalhos!$D$5:$D$504,A13))</f>
        <v/>
      </c>
      <c r="H13" s="32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5" t="str">
        <f aca="false">IF(A14="","",COUNTIF(Trabalhos!$D$5:$D$504,A14))</f>
        <v/>
      </c>
      <c r="G14" s="33" t="str">
        <f aca="false">IF(A14="","",SUMIFS(Trabalhos!$G$5:$G$504,Trabalhos!$D$5:$D$504,A14))</f>
        <v/>
      </c>
      <c r="H14" s="32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5" t="str">
        <f aca="false">IF(A15="","",COUNTIF(Trabalhos!$D$5:$D$504,A15))</f>
        <v/>
      </c>
      <c r="G15" s="33" t="str">
        <f aca="false">IF(A15="","",SUMIFS(Trabalhos!$G$5:$G$504,Trabalhos!$D$5:$D$504,A15))</f>
        <v/>
      </c>
      <c r="H15" s="32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5" t="str">
        <f aca="false">IF(A16="","",COUNTIF(Trabalhos!$D$5:$D$504,A16))</f>
        <v/>
      </c>
      <c r="G16" s="33" t="str">
        <f aca="false">IF(A16="","",SUMIFS(Trabalhos!$G$5:$G$504,Trabalhos!$D$5:$D$504,A16))</f>
        <v/>
      </c>
      <c r="H16" s="32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5" t="str">
        <f aca="false">IF(A17="","",COUNTIF(Trabalhos!$D$5:$D$504,A17))</f>
        <v/>
      </c>
      <c r="G17" s="33" t="str">
        <f aca="false">IF(A17="","",SUMIFS(Trabalhos!$G$5:$G$504,Trabalhos!$D$5:$D$504,A17))</f>
        <v/>
      </c>
      <c r="H17" s="32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5" t="str">
        <f aca="false">IF(A18="","",COUNTIF(Trabalhos!$D$5:$D$504,A18))</f>
        <v/>
      </c>
      <c r="G18" s="33" t="str">
        <f aca="false">IF(A18="","",SUMIFS(Trabalhos!$G$5:$G$504,Trabalhos!$D$5:$D$504,A18))</f>
        <v/>
      </c>
      <c r="H18" s="32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5" t="str">
        <f aca="false">IF(A19="","",COUNTIF(Trabalhos!$D$5:$D$504,A19))</f>
        <v/>
      </c>
      <c r="G19" s="33" t="str">
        <f aca="false">IF(A19="","",SUMIFS(Trabalhos!$G$5:$G$504,Trabalhos!$D$5:$D$504,A19))</f>
        <v/>
      </c>
      <c r="H19" s="32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5" t="str">
        <f aca="false">IF(A20="","",COUNTIF(Trabalhos!$D$5:$D$504,A20))</f>
        <v/>
      </c>
      <c r="G20" s="33" t="str">
        <f aca="false">IF(A20="","",SUMIFS(Trabalhos!$G$5:$G$504,Trabalhos!$D$5:$D$504,A20))</f>
        <v/>
      </c>
      <c r="H20" s="32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5" t="str">
        <f aca="false">IF(A21="","",COUNTIF(Trabalhos!$D$5:$D$504,A21))</f>
        <v/>
      </c>
      <c r="G21" s="33" t="str">
        <f aca="false">IF(A21="","",SUMIFS(Trabalhos!$G$5:$G$504,Trabalhos!$D$5:$D$504,A21))</f>
        <v/>
      </c>
      <c r="H21" s="32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5" t="str">
        <f aca="false">IF(A22="","",COUNTIF(Trabalhos!$D$5:$D$504,A22))</f>
        <v/>
      </c>
      <c r="G22" s="33" t="str">
        <f aca="false">IF(A22="","",SUMIFS(Trabalhos!$G$5:$G$504,Trabalhos!$D$5:$D$504,A22))</f>
        <v/>
      </c>
      <c r="H22" s="32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5" t="str">
        <f aca="false">IF(A23="","",COUNTIF(Trabalhos!$D$5:$D$504,A23))</f>
        <v/>
      </c>
      <c r="G23" s="33" t="str">
        <f aca="false">IF(A23="","",SUMIFS(Trabalhos!$G$5:$G$504,Trabalhos!$D$5:$D$504,A23))</f>
        <v/>
      </c>
      <c r="H23" s="32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5" t="str">
        <f aca="false">IF(A24="","",COUNTIF(Trabalhos!$D$5:$D$504,A24))</f>
        <v/>
      </c>
      <c r="G24" s="33" t="str">
        <f aca="false">IF(A24="","",SUMIFS(Trabalhos!$G$5:$G$504,Trabalhos!$D$5:$D$504,A24))</f>
        <v/>
      </c>
      <c r="H24" s="32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5" t="str">
        <f aca="false">IF(A25="","",COUNTIF(Trabalhos!$D$5:$D$504,A25))</f>
        <v/>
      </c>
      <c r="G25" s="33" t="str">
        <f aca="false">IF(A25="","",SUMIFS(Trabalhos!$G$5:$G$504,Trabalhos!$D$5:$D$504,A25))</f>
        <v/>
      </c>
      <c r="H25" s="32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5" t="str">
        <f aca="false">IF(A26="","",COUNTIF(Trabalhos!$D$5:$D$504,A26))</f>
        <v/>
      </c>
      <c r="G26" s="33" t="str">
        <f aca="false">IF(A26="","",SUMIFS(Trabalhos!$G$5:$G$504,Trabalhos!$D$5:$D$504,A26))</f>
        <v/>
      </c>
      <c r="H26" s="32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5" t="str">
        <f aca="false">IF(A27="","",COUNTIF(Trabalhos!$D$5:$D$504,A27))</f>
        <v/>
      </c>
      <c r="G27" s="33" t="str">
        <f aca="false">IF(A27="","",SUMIFS(Trabalhos!$G$5:$G$504,Trabalhos!$D$5:$D$504,A27))</f>
        <v/>
      </c>
      <c r="H27" s="32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5" t="str">
        <f aca="false">IF(A28="","",COUNTIF(Trabalhos!$D$5:$D$504,A28))</f>
        <v/>
      </c>
      <c r="G28" s="33" t="str">
        <f aca="false">IF(A28="","",SUMIFS(Trabalhos!$G$5:$G$504,Trabalhos!$D$5:$D$504,A28))</f>
        <v/>
      </c>
      <c r="H28" s="32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5" t="str">
        <f aca="false">IF(A29="","",COUNTIF(Trabalhos!$D$5:$D$504,A29))</f>
        <v/>
      </c>
      <c r="G29" s="33" t="str">
        <f aca="false">IF(A29="","",SUMIFS(Trabalhos!$G$5:$G$504,Trabalhos!$D$5:$D$504,A29))</f>
        <v/>
      </c>
      <c r="H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5" t="str">
        <f aca="false">IF(A30="","",COUNTIF(Trabalhos!$D$5:$D$504,A30))</f>
        <v/>
      </c>
      <c r="G30" s="33" t="str">
        <f aca="false">IF(A30="","",SUMIFS(Trabalhos!$G$5:$G$504,Trabalhos!$D$5:$D$504,A30))</f>
        <v/>
      </c>
      <c r="H30" s="32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5" t="str">
        <f aca="false">IF(A31="","",COUNTIF(Trabalhos!$D$5:$D$504,A31))</f>
        <v/>
      </c>
      <c r="G31" s="33" t="str">
        <f aca="false">IF(A31="","",SUMIFS(Trabalhos!$G$5:$G$504,Trabalhos!$D$5:$D$504,A31))</f>
        <v/>
      </c>
      <c r="H31" s="32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5" t="str">
        <f aca="false">IF(A32="","",COUNTIF(Trabalhos!$D$5:$D$504,A32))</f>
        <v/>
      </c>
      <c r="G32" s="33" t="str">
        <f aca="false">IF(A32="","",SUMIFS(Trabalhos!$G$5:$G$504,Trabalhos!$D$5:$D$504,A32))</f>
        <v/>
      </c>
      <c r="H32" s="32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5" t="str">
        <f aca="false">IF(A33="","",COUNTIF(Trabalhos!$D$5:$D$504,A33))</f>
        <v/>
      </c>
      <c r="G33" s="33" t="str">
        <f aca="false">IF(A33="","",SUMIFS(Trabalhos!$G$5:$G$504,Trabalhos!$D$5:$D$504,A33))</f>
        <v/>
      </c>
      <c r="H33" s="32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5" t="str">
        <f aca="false">IF(A34="","",COUNTIF(Trabalhos!$D$5:$D$504,A34))</f>
        <v/>
      </c>
      <c r="G34" s="33" t="str">
        <f aca="false">IF(A34="","",SUMIFS(Trabalhos!$G$5:$G$504,Trabalhos!$D$5:$D$504,A34))</f>
        <v/>
      </c>
      <c r="H34" s="32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5" t="str">
        <f aca="false">IF(A35="","",COUNTIF(Trabalhos!$D$5:$D$504,A35))</f>
        <v/>
      </c>
      <c r="G35" s="33" t="str">
        <f aca="false">IF(A35="","",SUMIFS(Trabalhos!$G$5:$G$504,Trabalhos!$D$5:$D$504,A35))</f>
        <v/>
      </c>
      <c r="H35" s="32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5" t="str">
        <f aca="false">IF(A36="","",COUNTIF(Trabalhos!$D$5:$D$504,A36))</f>
        <v/>
      </c>
      <c r="G36" s="33" t="str">
        <f aca="false">IF(A36="","",SUMIFS(Trabalhos!$G$5:$G$504,Trabalhos!$D$5:$D$504,A36))</f>
        <v/>
      </c>
      <c r="H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5" t="str">
        <f aca="false">IF(A37="","",COUNTIF(Trabalhos!$D$5:$D$504,A37))</f>
        <v/>
      </c>
      <c r="G37" s="33" t="str">
        <f aca="false">IF(A37="","",SUMIFS(Trabalhos!$G$5:$G$504,Trabalhos!$D$5:$D$504,A37))</f>
        <v/>
      </c>
      <c r="H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5" t="str">
        <f aca="false">IF(A38="","",COUNTIF(Trabalhos!$D$5:$D$504,A38))</f>
        <v/>
      </c>
      <c r="G38" s="33" t="str">
        <f aca="false">IF(A38="","",SUMIFS(Trabalhos!$G$5:$G$504,Trabalhos!$D$5:$D$504,A38))</f>
        <v/>
      </c>
      <c r="H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5" t="str">
        <f aca="false">IF(A39="","",COUNTIF(Trabalhos!$D$5:$D$504,A39))</f>
        <v/>
      </c>
      <c r="G39" s="33" t="str">
        <f aca="false">IF(A39="","",SUMIFS(Trabalhos!$G$5:$G$504,Trabalhos!$D$5:$D$504,A39))</f>
        <v/>
      </c>
      <c r="H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5" t="str">
        <f aca="false">IF(A40="","",COUNTIF(Trabalhos!$D$5:$D$504,A40))</f>
        <v/>
      </c>
      <c r="G40" s="33" t="str">
        <f aca="false">IF(A40="","",SUMIFS(Trabalhos!$G$5:$G$504,Trabalhos!$D$5:$D$504,A40))</f>
        <v/>
      </c>
      <c r="H40" s="32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5" t="str">
        <f aca="false">IF(A41="","",COUNTIF(Trabalhos!$D$5:$D$504,A41))</f>
        <v/>
      </c>
      <c r="G41" s="33" t="str">
        <f aca="false">IF(A41="","",SUMIFS(Trabalhos!$G$5:$G$504,Trabalhos!$D$5:$D$504,A41))</f>
        <v/>
      </c>
      <c r="H41" s="32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5" t="str">
        <f aca="false">IF(A42="","",COUNTIF(Trabalhos!$D$5:$D$504,A42))</f>
        <v/>
      </c>
      <c r="G42" s="33" t="str">
        <f aca="false">IF(A42="","",SUMIFS(Trabalhos!$G$5:$G$504,Trabalhos!$D$5:$D$504,A42))</f>
        <v/>
      </c>
      <c r="H42" s="32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5" t="str">
        <f aca="false">IF(A43="","",COUNTIF(Trabalhos!$D$5:$D$504,A43))</f>
        <v/>
      </c>
      <c r="G43" s="33" t="str">
        <f aca="false">IF(A43="","",SUMIFS(Trabalhos!$G$5:$G$504,Trabalhos!$D$5:$D$504,A43))</f>
        <v/>
      </c>
      <c r="H43" s="32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5" t="str">
        <f aca="false">IF(A44="","",COUNTIF(Trabalhos!$D$5:$D$504,A44))</f>
        <v/>
      </c>
      <c r="G44" s="33" t="str">
        <f aca="false">IF(A44="","",SUMIFS(Trabalhos!$G$5:$G$504,Trabalhos!$D$5:$D$504,A44))</f>
        <v/>
      </c>
      <c r="H44" s="32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5" t="str">
        <f aca="false">IF(A45="","",COUNTIF(Trabalhos!$D$5:$D$504,A45))</f>
        <v/>
      </c>
      <c r="G45" s="33" t="str">
        <f aca="false">IF(A45="","",SUMIFS(Trabalhos!$G$5:$G$504,Trabalhos!$D$5:$D$504,A45))</f>
        <v/>
      </c>
      <c r="H45" s="32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5" t="str">
        <f aca="false">IF(A46="","",COUNTIF(Trabalhos!$D$5:$D$504,A46))</f>
        <v/>
      </c>
      <c r="G46" s="33" t="str">
        <f aca="false">IF(A46="","",SUMIFS(Trabalhos!$G$5:$G$504,Trabalhos!$D$5:$D$504,A46))</f>
        <v/>
      </c>
      <c r="H46" s="32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5" t="str">
        <f aca="false">IF(A47="","",COUNTIF(Trabalhos!$D$5:$D$504,A47))</f>
        <v/>
      </c>
      <c r="G47" s="33" t="str">
        <f aca="false">IF(A47="","",SUMIFS(Trabalhos!$G$5:$G$504,Trabalhos!$D$5:$D$504,A47))</f>
        <v/>
      </c>
      <c r="H47" s="32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5" t="str">
        <f aca="false">IF(A48="","",COUNTIF(Trabalhos!$D$5:$D$504,A48))</f>
        <v/>
      </c>
      <c r="G48" s="33" t="str">
        <f aca="false">IF(A48="","",SUMIFS(Trabalhos!$G$5:$G$504,Trabalhos!$D$5:$D$504,A48))</f>
        <v/>
      </c>
      <c r="H48" s="32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5" t="str">
        <f aca="false">IF(A49="","",COUNTIF(Trabalhos!$D$5:$D$504,A49))</f>
        <v/>
      </c>
      <c r="G49" s="33" t="str">
        <f aca="false">IF(A49="","",SUMIFS(Trabalhos!$G$5:$G$504,Trabalhos!$D$5:$D$504,A49))</f>
        <v/>
      </c>
      <c r="H49" s="32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5" t="str">
        <f aca="false">IF(A50="","",COUNTIF(Trabalhos!$D$5:$D$504,A50))</f>
        <v/>
      </c>
      <c r="G50" s="33" t="str">
        <f aca="false">IF(A50="","",SUMIFS(Trabalhos!$G$5:$G$504,Trabalhos!$D$5:$D$504,A50))</f>
        <v/>
      </c>
      <c r="H50" s="32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5" t="str">
        <f aca="false">IF(A51="","",COUNTIF(Trabalhos!$D$5:$D$504,A51))</f>
        <v/>
      </c>
      <c r="G51" s="33" t="str">
        <f aca="false">IF(A51="","",SUMIFS(Trabalhos!$G$5:$G$504,Trabalhos!$D$5:$D$504,A51))</f>
        <v/>
      </c>
      <c r="H51" s="32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5" t="str">
        <f aca="false">IF(A52="","",COUNTIF(Trabalhos!$D$5:$D$504,A52))</f>
        <v/>
      </c>
      <c r="G52" s="33" t="str">
        <f aca="false">IF(A52="","",SUMIFS(Trabalhos!$G$5:$G$504,Trabalhos!$D$5:$D$504,A52))</f>
        <v/>
      </c>
      <c r="H52" s="32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5" t="str">
        <f aca="false">IF(A53="","",COUNTIF(Trabalhos!$D$5:$D$504,A53))</f>
        <v/>
      </c>
      <c r="G53" s="33" t="str">
        <f aca="false">IF(A53="","",SUMIFS(Trabalhos!$G$5:$G$504,Trabalhos!$D$5:$D$504,A53))</f>
        <v/>
      </c>
      <c r="H53" s="32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5" t="str">
        <f aca="false">IF(A54="","",COUNTIF(Trabalhos!$D$5:$D$504,A54))</f>
        <v/>
      </c>
      <c r="G54" s="33" t="str">
        <f aca="false">IF(A54="","",SUMIFS(Trabalhos!$G$5:$G$504,Trabalhos!$D$5:$D$504,A54))</f>
        <v/>
      </c>
      <c r="H54" s="32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5" t="str">
        <f aca="false">IF(A55="","",COUNTIF(Trabalhos!$D$5:$D$504,A55))</f>
        <v/>
      </c>
      <c r="G55" s="33" t="str">
        <f aca="false">IF(A55="","",SUMIFS(Trabalhos!$G$5:$G$504,Trabalhos!$D$5:$D$504,A55))</f>
        <v/>
      </c>
      <c r="H55" s="32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5" t="str">
        <f aca="false">IF(A56="","",COUNTIF(Trabalhos!$D$5:$D$504,A56))</f>
        <v/>
      </c>
      <c r="G56" s="33" t="str">
        <f aca="false">IF(A56="","",SUMIFS(Trabalhos!$G$5:$G$504,Trabalhos!$D$5:$D$504,A56))</f>
        <v/>
      </c>
      <c r="H56" s="32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5" t="str">
        <f aca="false">IF(A57="","",COUNTIF(Trabalhos!$D$5:$D$504,A57))</f>
        <v/>
      </c>
      <c r="G57" s="33" t="str">
        <f aca="false">IF(A57="","",SUMIFS(Trabalhos!$G$5:$G$504,Trabalhos!$D$5:$D$504,A57))</f>
        <v/>
      </c>
      <c r="H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5" t="str">
        <f aca="false">IF(A58="","",COUNTIF(Trabalhos!$D$5:$D$504,A58))</f>
        <v/>
      </c>
      <c r="G58" s="33" t="str">
        <f aca="false">IF(A58="","",SUMIFS(Trabalhos!$G$5:$G$504,Trabalhos!$D$5:$D$504,A58))</f>
        <v/>
      </c>
      <c r="H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5" t="str">
        <f aca="false">IF(A59="","",COUNTIF(Trabalhos!$D$5:$D$504,A59))</f>
        <v/>
      </c>
      <c r="G59" s="33" t="str">
        <f aca="false">IF(A59="","",SUMIFS(Trabalhos!$G$5:$G$504,Trabalhos!$D$5:$D$504,A59))</f>
        <v/>
      </c>
      <c r="H59" s="32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5" t="str">
        <f aca="false">IF(A60="","",COUNTIF(Trabalhos!$D$5:$D$504,A60))</f>
        <v/>
      </c>
      <c r="G60" s="33" t="str">
        <f aca="false">IF(A60="","",SUMIFS(Trabalhos!$G$5:$G$504,Trabalhos!$D$5:$D$504,A60))</f>
        <v/>
      </c>
      <c r="H60" s="32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5" t="str">
        <f aca="false">IF(A61="","",COUNTIF(Trabalhos!$D$5:$D$504,A61))</f>
        <v/>
      </c>
      <c r="G61" s="33" t="str">
        <f aca="false">IF(A61="","",SUMIFS(Trabalhos!$G$5:$G$504,Trabalhos!$D$5:$D$504,A61))</f>
        <v/>
      </c>
      <c r="H61" s="32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5" t="str">
        <f aca="false">IF(A62="","",COUNTIF(Trabalhos!$D$5:$D$504,A62))</f>
        <v/>
      </c>
      <c r="G62" s="33" t="str">
        <f aca="false">IF(A62="","",SUMIFS(Trabalhos!$G$5:$G$504,Trabalhos!$D$5:$D$504,A62))</f>
        <v/>
      </c>
      <c r="H62" s="32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5" t="str">
        <f aca="false">IF(A63="","",COUNTIF(Trabalhos!$D$5:$D$504,A63))</f>
        <v/>
      </c>
      <c r="G63" s="33" t="str">
        <f aca="false">IF(A63="","",SUMIFS(Trabalhos!$G$5:$G$504,Trabalhos!$D$5:$D$504,A63))</f>
        <v/>
      </c>
      <c r="H63" s="32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5" t="str">
        <f aca="false">IF(A64="","",COUNTIF(Trabalhos!$D$5:$D$504,A64))</f>
        <v/>
      </c>
      <c r="G64" s="33" t="str">
        <f aca="false">IF(A64="","",SUMIFS(Trabalhos!$G$5:$G$504,Trabalhos!$D$5:$D$504,A64))</f>
        <v/>
      </c>
      <c r="H64" s="32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5" t="str">
        <f aca="false">IF(A65="","",COUNTIF(Trabalhos!$D$5:$D$504,A65))</f>
        <v/>
      </c>
      <c r="G65" s="33" t="str">
        <f aca="false">IF(A65="","",SUMIFS(Trabalhos!$G$5:$G$504,Trabalhos!$D$5:$D$504,A65))</f>
        <v/>
      </c>
      <c r="H65" s="32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5" t="str">
        <f aca="false">IF(A66="","",COUNTIF(Trabalhos!$D$5:$D$504,A66))</f>
        <v/>
      </c>
      <c r="G66" s="33" t="str">
        <f aca="false">IF(A66="","",SUMIFS(Trabalhos!$G$5:$G$504,Trabalhos!$D$5:$D$504,A66))</f>
        <v/>
      </c>
      <c r="H66" s="32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5" t="str">
        <f aca="false">IF(A67="","",COUNTIF(Trabalhos!$D$5:$D$504,A67))</f>
        <v/>
      </c>
      <c r="G67" s="33" t="str">
        <f aca="false">IF(A67="","",SUMIFS(Trabalhos!$G$5:$G$504,Trabalhos!$D$5:$D$504,A67))</f>
        <v/>
      </c>
      <c r="H67" s="32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5" t="str">
        <f aca="false">IF(A68="","",COUNTIF(Trabalhos!$D$5:$D$504,A68))</f>
        <v/>
      </c>
      <c r="G68" s="33" t="str">
        <f aca="false">IF(A68="","",SUMIFS(Trabalhos!$G$5:$G$504,Trabalhos!$D$5:$D$504,A68))</f>
        <v/>
      </c>
      <c r="H68" s="32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5" t="str">
        <f aca="false">IF(A69="","",COUNTIF(Trabalhos!$D$5:$D$504,A69))</f>
        <v/>
      </c>
      <c r="G69" s="33" t="str">
        <f aca="false">IF(A69="","",SUMIFS(Trabalhos!$G$5:$G$504,Trabalhos!$D$5:$D$504,A69))</f>
        <v/>
      </c>
      <c r="H69" s="32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5" t="str">
        <f aca="false">IF(A70="","",COUNTIF(Trabalhos!$D$5:$D$504,A70))</f>
        <v/>
      </c>
      <c r="G70" s="33" t="str">
        <f aca="false">IF(A70="","",SUMIFS(Trabalhos!$G$5:$G$504,Trabalhos!$D$5:$D$504,A70))</f>
        <v/>
      </c>
      <c r="H70" s="32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5" t="str">
        <f aca="false">IF(A71="","",COUNTIF(Trabalhos!$D$5:$D$504,A71))</f>
        <v/>
      </c>
      <c r="G71" s="33" t="str">
        <f aca="false">IF(A71="","",SUMIFS(Trabalhos!$G$5:$G$504,Trabalhos!$D$5:$D$504,A71))</f>
        <v/>
      </c>
      <c r="H71" s="32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5" t="str">
        <f aca="false">IF(A72="","",COUNTIF(Trabalhos!$D$5:$D$504,A72))</f>
        <v/>
      </c>
      <c r="G72" s="33" t="str">
        <f aca="false">IF(A72="","",SUMIFS(Trabalhos!$G$5:$G$504,Trabalhos!$D$5:$D$504,A72))</f>
        <v/>
      </c>
      <c r="H72" s="32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5" t="str">
        <f aca="false">IF(A73="","",COUNTIF(Trabalhos!$D$5:$D$504,A73))</f>
        <v/>
      </c>
      <c r="G73" s="33" t="str">
        <f aca="false">IF(A73="","",SUMIFS(Trabalhos!$G$5:$G$504,Trabalhos!$D$5:$D$504,A73))</f>
        <v/>
      </c>
      <c r="H73" s="32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5" t="str">
        <f aca="false">IF(A74="","",COUNTIF(Trabalhos!$D$5:$D$504,A74))</f>
        <v/>
      </c>
      <c r="G74" s="33" t="str">
        <f aca="false">IF(A74="","",SUMIFS(Trabalhos!$G$5:$G$504,Trabalhos!$D$5:$D$504,A74))</f>
        <v/>
      </c>
      <c r="H74" s="32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5" t="str">
        <f aca="false">IF(A75="","",COUNTIF(Trabalhos!$D$5:$D$504,A75))</f>
        <v/>
      </c>
      <c r="G75" s="33" t="str">
        <f aca="false">IF(A75="","",SUMIFS(Trabalhos!$G$5:$G$504,Trabalhos!$D$5:$D$504,A75))</f>
        <v/>
      </c>
      <c r="H75" s="32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5" t="str">
        <f aca="false">IF(A76="","",COUNTIF(Trabalhos!$D$5:$D$504,A76))</f>
        <v/>
      </c>
      <c r="G76" s="33" t="str">
        <f aca="false">IF(A76="","",SUMIFS(Trabalhos!$G$5:$G$504,Trabalhos!$D$5:$D$504,A76))</f>
        <v/>
      </c>
      <c r="H76" s="32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5" t="str">
        <f aca="false">IF(A77="","",COUNTIF(Trabalhos!$D$5:$D$504,A77))</f>
        <v/>
      </c>
      <c r="G77" s="33" t="str">
        <f aca="false">IF(A77="","",SUMIFS(Trabalhos!$G$5:$G$504,Trabalhos!$D$5:$D$504,A77))</f>
        <v/>
      </c>
      <c r="H77" s="32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5" t="str">
        <f aca="false">IF(A78="","",COUNTIF(Trabalhos!$D$5:$D$504,A78))</f>
        <v/>
      </c>
      <c r="G78" s="33" t="str">
        <f aca="false">IF(A78="","",SUMIFS(Trabalhos!$G$5:$G$504,Trabalhos!$D$5:$D$504,A78))</f>
        <v/>
      </c>
      <c r="H78" s="32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5" t="str">
        <f aca="false">IF(A79="","",COUNTIF(Trabalhos!$D$5:$D$504,A79))</f>
        <v/>
      </c>
      <c r="G79" s="33" t="str">
        <f aca="false">IF(A79="","",SUMIFS(Trabalhos!$G$5:$G$504,Trabalhos!$D$5:$D$504,A79))</f>
        <v/>
      </c>
      <c r="H79" s="32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5" t="str">
        <f aca="false">IF(A80="","",COUNTIF(Trabalhos!$D$5:$D$504,A80))</f>
        <v/>
      </c>
      <c r="G80" s="33" t="str">
        <f aca="false">IF(A80="","",SUMIFS(Trabalhos!$G$5:$G$504,Trabalhos!$D$5:$D$504,A80))</f>
        <v/>
      </c>
      <c r="H80" s="32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5" t="str">
        <f aca="false">IF(A81="","",COUNTIF(Trabalhos!$D$5:$D$504,A81))</f>
        <v/>
      </c>
      <c r="G81" s="33" t="str">
        <f aca="false">IF(A81="","",SUMIFS(Trabalhos!$G$5:$G$504,Trabalhos!$D$5:$D$504,A81))</f>
        <v/>
      </c>
      <c r="H81" s="32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5" t="str">
        <f aca="false">IF(A82="","",COUNTIF(Trabalhos!$D$5:$D$504,A82))</f>
        <v/>
      </c>
      <c r="G82" s="33" t="str">
        <f aca="false">IF(A82="","",SUMIFS(Trabalhos!$G$5:$G$504,Trabalhos!$D$5:$D$504,A82))</f>
        <v/>
      </c>
      <c r="H82" s="32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5" t="str">
        <f aca="false">IF(A83="","",COUNTIF(Trabalhos!$D$5:$D$504,A83))</f>
        <v/>
      </c>
      <c r="G83" s="33" t="str">
        <f aca="false">IF(A83="","",SUMIFS(Trabalhos!$G$5:$G$504,Trabalhos!$D$5:$D$504,A83))</f>
        <v/>
      </c>
      <c r="H83" s="32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5" t="str">
        <f aca="false">IF(A84="","",COUNTIF(Trabalhos!$D$5:$D$504,A84))</f>
        <v/>
      </c>
      <c r="G84" s="33" t="str">
        <f aca="false">IF(A84="","",SUMIFS(Trabalhos!$G$5:$G$504,Trabalhos!$D$5:$D$504,A84))</f>
        <v/>
      </c>
      <c r="H84" s="32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5" t="str">
        <f aca="false">IF(A85="","",COUNTIF(Trabalhos!$D$5:$D$504,A85))</f>
        <v/>
      </c>
      <c r="G85" s="33" t="str">
        <f aca="false">IF(A85="","",SUMIFS(Trabalhos!$G$5:$G$504,Trabalhos!$D$5:$D$504,A85))</f>
        <v/>
      </c>
      <c r="H85" s="32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5" t="str">
        <f aca="false">IF(A86="","",COUNTIF(Trabalhos!$D$5:$D$504,A86))</f>
        <v/>
      </c>
      <c r="G86" s="33" t="str">
        <f aca="false">IF(A86="","",SUMIFS(Trabalhos!$G$5:$G$504,Trabalhos!$D$5:$D$504,A86))</f>
        <v/>
      </c>
      <c r="H86" s="32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5" t="str">
        <f aca="false">IF(A87="","",COUNTIF(Trabalhos!$D$5:$D$504,A87))</f>
        <v/>
      </c>
      <c r="G87" s="33" t="str">
        <f aca="false">IF(A87="","",SUMIFS(Trabalhos!$G$5:$G$504,Trabalhos!$D$5:$D$504,A87))</f>
        <v/>
      </c>
      <c r="H87" s="32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5" t="str">
        <f aca="false">IF(A88="","",COUNTIF(Trabalhos!$D$5:$D$504,A88))</f>
        <v/>
      </c>
      <c r="G88" s="33" t="str">
        <f aca="false">IF(A88="","",SUMIFS(Trabalhos!$G$5:$G$504,Trabalhos!$D$5:$D$504,A88))</f>
        <v/>
      </c>
      <c r="H88" s="32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5" t="str">
        <f aca="false">IF(A89="","",COUNTIF(Trabalhos!$D$5:$D$504,A89))</f>
        <v/>
      </c>
      <c r="G89" s="33" t="str">
        <f aca="false">IF(A89="","",SUMIFS(Trabalhos!$G$5:$G$504,Trabalhos!$D$5:$D$504,A89))</f>
        <v/>
      </c>
      <c r="H89" s="32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5" t="str">
        <f aca="false">IF(A90="","",COUNTIF(Trabalhos!$D$5:$D$504,A90))</f>
        <v/>
      </c>
      <c r="G90" s="33" t="str">
        <f aca="false">IF(A90="","",SUMIFS(Trabalhos!$G$5:$G$504,Trabalhos!$D$5:$D$504,A90))</f>
        <v/>
      </c>
      <c r="H90" s="32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5" t="str">
        <f aca="false">IF(A91="","",COUNTIF(Trabalhos!$D$5:$D$504,A91))</f>
        <v/>
      </c>
      <c r="G91" s="33" t="str">
        <f aca="false">IF(A91="","",SUMIFS(Trabalhos!$G$5:$G$504,Trabalhos!$D$5:$D$504,A91))</f>
        <v/>
      </c>
      <c r="H91" s="32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5" t="str">
        <f aca="false">IF(A92="","",COUNTIF(Trabalhos!$D$5:$D$504,A92))</f>
        <v/>
      </c>
      <c r="G92" s="33" t="str">
        <f aca="false">IF(A92="","",SUMIFS(Trabalhos!$G$5:$G$504,Trabalhos!$D$5:$D$504,A92))</f>
        <v/>
      </c>
      <c r="H92" s="32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5" t="str">
        <f aca="false">IF(A93="","",COUNTIF(Trabalhos!$D$5:$D$504,A93))</f>
        <v/>
      </c>
      <c r="G93" s="33" t="str">
        <f aca="false">IF(A93="","",SUMIFS(Trabalhos!$G$5:$G$504,Trabalhos!$D$5:$D$504,A93))</f>
        <v/>
      </c>
      <c r="H93" s="32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5" t="str">
        <f aca="false">IF(A94="","",COUNTIF(Trabalhos!$D$5:$D$504,A94))</f>
        <v/>
      </c>
      <c r="G94" s="33" t="str">
        <f aca="false">IF(A94="","",SUMIFS(Trabalhos!$G$5:$G$504,Trabalhos!$D$5:$D$504,A94))</f>
        <v/>
      </c>
      <c r="H94" s="32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5" t="str">
        <f aca="false">IF(A95="","",COUNTIF(Trabalhos!$D$5:$D$504,A95))</f>
        <v/>
      </c>
      <c r="G95" s="33" t="str">
        <f aca="false">IF(A95="","",SUMIFS(Trabalhos!$G$5:$G$504,Trabalhos!$D$5:$D$504,A95))</f>
        <v/>
      </c>
      <c r="H95" s="32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5" t="str">
        <f aca="false">IF(A96="","",COUNTIF(Trabalhos!$D$5:$D$504,A96))</f>
        <v/>
      </c>
      <c r="G96" s="33" t="str">
        <f aca="false">IF(A96="","",SUMIFS(Trabalhos!$G$5:$G$504,Trabalhos!$D$5:$D$504,A96))</f>
        <v/>
      </c>
      <c r="H96" s="32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5" t="str">
        <f aca="false">IF(A97="","",COUNTIF(Trabalhos!$D$5:$D$504,A97))</f>
        <v/>
      </c>
      <c r="G97" s="33" t="str">
        <f aca="false">IF(A97="","",SUMIFS(Trabalhos!$G$5:$G$504,Trabalhos!$D$5:$D$504,A97))</f>
        <v/>
      </c>
      <c r="H97" s="32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5" t="str">
        <f aca="false">IF(A98="","",COUNTIF(Trabalhos!$D$5:$D$504,A98))</f>
        <v/>
      </c>
      <c r="G98" s="33" t="str">
        <f aca="false">IF(A98="","",SUMIFS(Trabalhos!$G$5:$G$504,Trabalhos!$D$5:$D$504,A98))</f>
        <v/>
      </c>
      <c r="H98" s="32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5" t="str">
        <f aca="false">IF(A99="","",COUNTIF(Trabalhos!$D$5:$D$504,A99))</f>
        <v/>
      </c>
      <c r="G99" s="33" t="str">
        <f aca="false">IF(A99="","",SUMIFS(Trabalhos!$G$5:$G$504,Trabalhos!$D$5:$D$504,A99))</f>
        <v/>
      </c>
      <c r="H99" s="32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5" t="str">
        <f aca="false">IF(A100="","",COUNTIF(Trabalhos!$D$5:$D$504,A100))</f>
        <v/>
      </c>
      <c r="G100" s="33" t="str">
        <f aca="false">IF(A100="","",SUMIFS(Trabalhos!$G$5:$G$504,Trabalhos!$D$5:$D$504,A100))</f>
        <v/>
      </c>
      <c r="H100" s="32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5" t="str">
        <f aca="false">IF(A101="","",COUNTIF(Trabalhos!$D$5:$D$504,A101))</f>
        <v/>
      </c>
      <c r="G101" s="33" t="str">
        <f aca="false">IF(A101="","",SUMIFS(Trabalhos!$G$5:$G$504,Trabalhos!$D$5:$D$504,A101))</f>
        <v/>
      </c>
      <c r="H101" s="32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5" t="str">
        <f aca="false">IF(A102="","",COUNTIF(Trabalhos!$D$5:$D$504,A102))</f>
        <v/>
      </c>
      <c r="G102" s="33" t="str">
        <f aca="false">IF(A102="","",SUMIFS(Trabalhos!$G$5:$G$504,Trabalhos!$D$5:$D$504,A102))</f>
        <v/>
      </c>
      <c r="H102" s="32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5" t="str">
        <f aca="false">IF(A103="","",COUNTIF(Trabalhos!$D$5:$D$504,A103))</f>
        <v/>
      </c>
      <c r="G103" s="33" t="str">
        <f aca="false">IF(A103="","",SUMIFS(Trabalhos!$G$5:$G$504,Trabalhos!$D$5:$D$504,A103))</f>
        <v/>
      </c>
      <c r="H103" s="32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5" t="str">
        <f aca="false">IF(A104="","",COUNTIF(Trabalhos!$D$5:$D$504,A104))</f>
        <v/>
      </c>
      <c r="G104" s="33" t="str">
        <f aca="false">IF(A104="","",SUMIFS(Trabalhos!$G$5:$G$504,Trabalhos!$D$5:$D$504,A104))</f>
        <v/>
      </c>
      <c r="H104" s="32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5" t="str">
        <f aca="false">IF(A105="","",COUNTIF(Trabalhos!$D$5:$D$504,A105))</f>
        <v/>
      </c>
      <c r="G105" s="33" t="str">
        <f aca="false">IF(A105="","",SUMIFS(Trabalhos!$G$5:$G$504,Trabalhos!$D$5:$D$504,A105))</f>
        <v/>
      </c>
      <c r="H105" s="32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5" t="str">
        <f aca="false">IF(A106="","",COUNTIF(Trabalhos!$D$5:$D$504,A106))</f>
        <v/>
      </c>
      <c r="G106" s="33" t="str">
        <f aca="false">IF(A106="","",SUMIFS(Trabalhos!$G$5:$G$504,Trabalhos!$D$5:$D$504,A106))</f>
        <v/>
      </c>
      <c r="H106" s="32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5" t="str">
        <f aca="false">IF(A107="","",COUNTIF(Trabalhos!$D$5:$D$504,A107))</f>
        <v/>
      </c>
      <c r="G107" s="33" t="str">
        <f aca="false">IF(A107="","",SUMIFS(Trabalhos!$G$5:$G$504,Trabalhos!$D$5:$D$504,A107))</f>
        <v/>
      </c>
      <c r="H107" s="32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5" t="str">
        <f aca="false">IF(A108="","",COUNTIF(Trabalhos!$D$5:$D$504,A108))</f>
        <v/>
      </c>
      <c r="G108" s="33" t="str">
        <f aca="false">IF(A108="","",SUMIFS(Trabalhos!$G$5:$G$504,Trabalhos!$D$5:$D$504,A108))</f>
        <v/>
      </c>
      <c r="H108" s="32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5" t="str">
        <f aca="false">IF(A109="","",COUNTIF(Trabalhos!$D$5:$D$504,A109))</f>
        <v/>
      </c>
      <c r="G109" s="33" t="str">
        <f aca="false">IF(A109="","",SUMIFS(Trabalhos!$G$5:$G$504,Trabalhos!$D$5:$D$504,A109))</f>
        <v/>
      </c>
      <c r="H109" s="32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5" t="str">
        <f aca="false">IF(A110="","",COUNTIF(Trabalhos!$D$5:$D$504,A110))</f>
        <v/>
      </c>
      <c r="G110" s="33" t="str">
        <f aca="false">IF(A110="","",SUMIFS(Trabalhos!$G$5:$G$504,Trabalhos!$D$5:$D$504,A110))</f>
        <v/>
      </c>
      <c r="H110" s="32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5" t="str">
        <f aca="false">IF(A111="","",COUNTIF(Trabalhos!$D$5:$D$504,A111))</f>
        <v/>
      </c>
      <c r="G111" s="33" t="str">
        <f aca="false">IF(A111="","",SUMIFS(Trabalhos!$G$5:$G$504,Trabalhos!$D$5:$D$504,A111))</f>
        <v/>
      </c>
      <c r="H111" s="32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5" t="str">
        <f aca="false">IF(A112="","",COUNTIF(Trabalhos!$D$5:$D$504,A112))</f>
        <v/>
      </c>
      <c r="G112" s="33" t="str">
        <f aca="false">IF(A112="","",SUMIFS(Trabalhos!$G$5:$G$504,Trabalhos!$D$5:$D$504,A112))</f>
        <v/>
      </c>
      <c r="H112" s="32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5" t="str">
        <f aca="false">IF(A113="","",COUNTIF(Trabalhos!$D$5:$D$504,A113))</f>
        <v/>
      </c>
      <c r="G113" s="33" t="str">
        <f aca="false">IF(A113="","",SUMIFS(Trabalhos!$G$5:$G$504,Trabalhos!$D$5:$D$504,A113))</f>
        <v/>
      </c>
      <c r="H113" s="32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5" t="str">
        <f aca="false">IF(A114="","",COUNTIF(Trabalhos!$D$5:$D$504,A114))</f>
        <v/>
      </c>
      <c r="G114" s="33" t="str">
        <f aca="false">IF(A114="","",SUMIFS(Trabalhos!$G$5:$G$504,Trabalhos!$D$5:$D$504,A114))</f>
        <v/>
      </c>
      <c r="H114" s="32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5" t="str">
        <f aca="false">IF(A115="","",COUNTIF(Trabalhos!$D$5:$D$504,A115))</f>
        <v/>
      </c>
      <c r="G115" s="33" t="str">
        <f aca="false">IF(A115="","",SUMIFS(Trabalhos!$G$5:$G$504,Trabalhos!$D$5:$D$504,A115))</f>
        <v/>
      </c>
      <c r="H115" s="32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5" t="str">
        <f aca="false">IF(A116="","",COUNTIF(Trabalhos!$D$5:$D$504,A116))</f>
        <v/>
      </c>
      <c r="G116" s="33" t="str">
        <f aca="false">IF(A116="","",SUMIFS(Trabalhos!$G$5:$G$504,Trabalhos!$D$5:$D$504,A116))</f>
        <v/>
      </c>
      <c r="H116" s="32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5" t="str">
        <f aca="false">IF(A117="","",COUNTIF(Trabalhos!$D$5:$D$504,A117))</f>
        <v/>
      </c>
      <c r="G117" s="33" t="str">
        <f aca="false">IF(A117="","",SUMIFS(Trabalhos!$G$5:$G$504,Trabalhos!$D$5:$D$504,A117))</f>
        <v/>
      </c>
      <c r="H117" s="32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5" t="str">
        <f aca="false">IF(A118="","",COUNTIF(Trabalhos!$D$5:$D$504,A118))</f>
        <v/>
      </c>
      <c r="G118" s="33" t="str">
        <f aca="false">IF(A118="","",SUMIFS(Trabalhos!$G$5:$G$504,Trabalhos!$D$5:$D$504,A118))</f>
        <v/>
      </c>
      <c r="H118" s="32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5" t="str">
        <f aca="false">IF(A119="","",COUNTIF(Trabalhos!$D$5:$D$504,A119))</f>
        <v/>
      </c>
      <c r="G119" s="33" t="str">
        <f aca="false">IF(A119="","",SUMIFS(Trabalhos!$G$5:$G$504,Trabalhos!$D$5:$D$504,A119))</f>
        <v/>
      </c>
      <c r="H119" s="32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5" t="str">
        <f aca="false">IF(A120="","",COUNTIF(Trabalhos!$D$5:$D$504,A120))</f>
        <v/>
      </c>
      <c r="G120" s="33" t="str">
        <f aca="false">IF(A120="","",SUMIFS(Trabalhos!$G$5:$G$504,Trabalhos!$D$5:$D$504,A120))</f>
        <v/>
      </c>
      <c r="H120" s="32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5" t="str">
        <f aca="false">IF(A121="","",COUNTIF(Trabalhos!$D$5:$D$504,A121))</f>
        <v/>
      </c>
      <c r="G121" s="33" t="str">
        <f aca="false">IF(A121="","",SUMIFS(Trabalhos!$G$5:$G$504,Trabalhos!$D$5:$D$504,A121))</f>
        <v/>
      </c>
      <c r="H121" s="32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5" t="str">
        <f aca="false">IF(A122="","",COUNTIF(Trabalhos!$D$5:$D$504,A122))</f>
        <v/>
      </c>
      <c r="G122" s="33" t="str">
        <f aca="false">IF(A122="","",SUMIFS(Trabalhos!$G$5:$G$504,Trabalhos!$D$5:$D$504,A122))</f>
        <v/>
      </c>
      <c r="H122" s="32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5" t="str">
        <f aca="false">IF(A123="","",COUNTIF(Trabalhos!$D$5:$D$504,A123))</f>
        <v/>
      </c>
      <c r="G123" s="33" t="str">
        <f aca="false">IF(A123="","",SUMIFS(Trabalhos!$G$5:$G$504,Trabalhos!$D$5:$D$504,A123))</f>
        <v/>
      </c>
      <c r="H123" s="32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5" t="str">
        <f aca="false">IF(A124="","",COUNTIF(Trabalhos!$D$5:$D$504,A124))</f>
        <v/>
      </c>
      <c r="G124" s="33" t="str">
        <f aca="false">IF(A124="","",SUMIFS(Trabalhos!$G$5:$G$504,Trabalhos!$D$5:$D$504,A124))</f>
        <v/>
      </c>
      <c r="H124" s="32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5" t="str">
        <f aca="false">IF(A125="","",COUNTIF(Trabalhos!$D$5:$D$504,A125))</f>
        <v/>
      </c>
      <c r="G125" s="33" t="str">
        <f aca="false">IF(A125="","",SUMIFS(Trabalhos!$G$5:$G$504,Trabalhos!$D$5:$D$504,A125))</f>
        <v/>
      </c>
      <c r="H125" s="32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5" t="str">
        <f aca="false">IF(A126="","",COUNTIF(Trabalhos!$D$5:$D$504,A126))</f>
        <v/>
      </c>
      <c r="G126" s="33" t="str">
        <f aca="false">IF(A126="","",SUMIFS(Trabalhos!$G$5:$G$504,Trabalhos!$D$5:$D$504,A126))</f>
        <v/>
      </c>
      <c r="H126" s="32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5" t="str">
        <f aca="false">IF(A127="","",COUNTIF(Trabalhos!$D$5:$D$504,A127))</f>
        <v/>
      </c>
      <c r="G127" s="33" t="str">
        <f aca="false">IF(A127="","",SUMIFS(Trabalhos!$G$5:$G$504,Trabalhos!$D$5:$D$504,A127))</f>
        <v/>
      </c>
      <c r="H127" s="32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5" t="str">
        <f aca="false">IF(A128="","",COUNTIF(Trabalhos!$D$5:$D$504,A128))</f>
        <v/>
      </c>
      <c r="G128" s="33" t="str">
        <f aca="false">IF(A128="","",SUMIFS(Trabalhos!$G$5:$G$504,Trabalhos!$D$5:$D$504,A128))</f>
        <v/>
      </c>
      <c r="H128" s="32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5" t="str">
        <f aca="false">IF(A129="","",COUNTIF(Trabalhos!$D$5:$D$504,A129))</f>
        <v/>
      </c>
      <c r="G129" s="33" t="str">
        <f aca="false">IF(A129="","",SUMIFS(Trabalhos!$G$5:$G$504,Trabalhos!$D$5:$D$504,A129))</f>
        <v/>
      </c>
      <c r="H129" s="32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5" t="str">
        <f aca="false">IF(A130="","",COUNTIF(Trabalhos!$D$5:$D$504,A130))</f>
        <v/>
      </c>
      <c r="G130" s="33" t="str">
        <f aca="false">IF(A130="","",SUMIFS(Trabalhos!$G$5:$G$504,Trabalhos!$D$5:$D$504,A130))</f>
        <v/>
      </c>
      <c r="H130" s="32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5" t="str">
        <f aca="false">IF(A131="","",COUNTIF(Trabalhos!$D$5:$D$504,A131))</f>
        <v/>
      </c>
      <c r="G131" s="33" t="str">
        <f aca="false">IF(A131="","",SUMIFS(Trabalhos!$G$5:$G$504,Trabalhos!$D$5:$D$504,A131))</f>
        <v/>
      </c>
      <c r="H131" s="32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5" t="str">
        <f aca="false">IF(A132="","",COUNTIF(Trabalhos!$D$5:$D$504,A132))</f>
        <v/>
      </c>
      <c r="G132" s="33" t="str">
        <f aca="false">IF(A132="","",SUMIFS(Trabalhos!$G$5:$G$504,Trabalhos!$D$5:$D$504,A132))</f>
        <v/>
      </c>
      <c r="H132" s="32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5" t="str">
        <f aca="false">IF(A133="","",COUNTIF(Trabalhos!$D$5:$D$504,A133))</f>
        <v/>
      </c>
      <c r="G133" s="33" t="str">
        <f aca="false">IF(A133="","",SUMIFS(Trabalhos!$G$5:$G$504,Trabalhos!$D$5:$D$504,A133))</f>
        <v/>
      </c>
      <c r="H133" s="32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5" t="str">
        <f aca="false">IF(A134="","",COUNTIF(Trabalhos!$D$5:$D$504,A134))</f>
        <v/>
      </c>
      <c r="G134" s="33" t="str">
        <f aca="false">IF(A134="","",SUMIFS(Trabalhos!$G$5:$G$504,Trabalhos!$D$5:$D$504,A134))</f>
        <v/>
      </c>
      <c r="H134" s="32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5" t="str">
        <f aca="false">IF(A135="","",COUNTIF(Trabalhos!$D$5:$D$504,A135))</f>
        <v/>
      </c>
      <c r="G135" s="33" t="str">
        <f aca="false">IF(A135="","",SUMIFS(Trabalhos!$G$5:$G$504,Trabalhos!$D$5:$D$504,A135))</f>
        <v/>
      </c>
      <c r="H135" s="32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5" t="str">
        <f aca="false">IF(A136="","",COUNTIF(Trabalhos!$D$5:$D$504,A136))</f>
        <v/>
      </c>
      <c r="G136" s="33" t="str">
        <f aca="false">IF(A136="","",SUMIFS(Trabalhos!$G$5:$G$504,Trabalhos!$D$5:$D$504,A136))</f>
        <v/>
      </c>
      <c r="H136" s="32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5" t="str">
        <f aca="false">IF(A137="","",COUNTIF(Trabalhos!$D$5:$D$504,A137))</f>
        <v/>
      </c>
      <c r="G137" s="33" t="str">
        <f aca="false">IF(A137="","",SUMIFS(Trabalhos!$G$5:$G$504,Trabalhos!$D$5:$D$504,A137))</f>
        <v/>
      </c>
      <c r="H137" s="32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5" t="str">
        <f aca="false">IF(A138="","",COUNTIF(Trabalhos!$D$5:$D$504,A138))</f>
        <v/>
      </c>
      <c r="G138" s="33" t="str">
        <f aca="false">IF(A138="","",SUMIFS(Trabalhos!$G$5:$G$504,Trabalhos!$D$5:$D$504,A138))</f>
        <v/>
      </c>
      <c r="H138" s="32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5" t="str">
        <f aca="false">IF(A139="","",COUNTIF(Trabalhos!$D$5:$D$504,A139))</f>
        <v/>
      </c>
      <c r="G139" s="33" t="str">
        <f aca="false">IF(A139="","",SUMIFS(Trabalhos!$G$5:$G$504,Trabalhos!$D$5:$D$504,A139))</f>
        <v/>
      </c>
      <c r="H139" s="32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5" t="str">
        <f aca="false">IF(A140="","",COUNTIF(Trabalhos!$D$5:$D$504,A140))</f>
        <v/>
      </c>
      <c r="G140" s="33" t="str">
        <f aca="false">IF(A140="","",SUMIFS(Trabalhos!$G$5:$G$504,Trabalhos!$D$5:$D$504,A140))</f>
        <v/>
      </c>
      <c r="H140" s="32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5" t="str">
        <f aca="false">IF(A141="","",COUNTIF(Trabalhos!$D$5:$D$504,A141))</f>
        <v/>
      </c>
      <c r="G141" s="33" t="str">
        <f aca="false">IF(A141="","",SUMIFS(Trabalhos!$G$5:$G$504,Trabalhos!$D$5:$D$504,A141))</f>
        <v/>
      </c>
      <c r="H141" s="32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5" t="str">
        <f aca="false">IF(A142="","",COUNTIF(Trabalhos!$D$5:$D$504,A142))</f>
        <v/>
      </c>
      <c r="G142" s="33" t="str">
        <f aca="false">IF(A142="","",SUMIFS(Trabalhos!$G$5:$G$504,Trabalhos!$D$5:$D$504,A142))</f>
        <v/>
      </c>
      <c r="H142" s="32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5" t="str">
        <f aca="false">IF(A143="","",COUNTIF(Trabalhos!$D$5:$D$504,A143))</f>
        <v/>
      </c>
      <c r="G143" s="33" t="str">
        <f aca="false">IF(A143="","",SUMIFS(Trabalhos!$G$5:$G$504,Trabalhos!$D$5:$D$504,A143))</f>
        <v/>
      </c>
      <c r="H143" s="32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5" t="str">
        <f aca="false">IF(A144="","",COUNTIF(Trabalhos!$D$5:$D$504,A144))</f>
        <v/>
      </c>
      <c r="G144" s="33" t="str">
        <f aca="false">IF(A144="","",SUMIFS(Trabalhos!$G$5:$G$504,Trabalhos!$D$5:$D$504,A144))</f>
        <v/>
      </c>
      <c r="H144" s="32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5" t="str">
        <f aca="false">IF(A145="","",COUNTIF(Trabalhos!$D$5:$D$504,A145))</f>
        <v/>
      </c>
      <c r="G145" s="33" t="str">
        <f aca="false">IF(A145="","",SUMIFS(Trabalhos!$G$5:$G$504,Trabalhos!$D$5:$D$504,A145))</f>
        <v/>
      </c>
      <c r="H145" s="32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5" t="str">
        <f aca="false">IF(A146="","",COUNTIF(Trabalhos!$D$5:$D$504,A146))</f>
        <v/>
      </c>
      <c r="G146" s="33" t="str">
        <f aca="false">IF(A146="","",SUMIFS(Trabalhos!$G$5:$G$504,Trabalhos!$D$5:$D$504,A146))</f>
        <v/>
      </c>
      <c r="H146" s="32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5" t="str">
        <f aca="false">IF(A147="","",COUNTIF(Trabalhos!$D$5:$D$504,A147))</f>
        <v/>
      </c>
      <c r="G147" s="33" t="str">
        <f aca="false">IF(A147="","",SUMIFS(Trabalhos!$G$5:$G$504,Trabalhos!$D$5:$D$504,A147))</f>
        <v/>
      </c>
      <c r="H147" s="32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5" t="str">
        <f aca="false">IF(A148="","",COUNTIF(Trabalhos!$D$5:$D$504,A148))</f>
        <v/>
      </c>
      <c r="G148" s="33" t="str">
        <f aca="false">IF(A148="","",SUMIFS(Trabalhos!$G$5:$G$504,Trabalhos!$D$5:$D$504,A148))</f>
        <v/>
      </c>
      <c r="H148" s="32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5" t="str">
        <f aca="false">IF(A149="","",COUNTIF(Trabalhos!$D$5:$D$504,A149))</f>
        <v/>
      </c>
      <c r="G149" s="33" t="str">
        <f aca="false">IF(A149="","",SUMIFS(Trabalhos!$G$5:$G$504,Trabalhos!$D$5:$D$504,A149))</f>
        <v/>
      </c>
      <c r="H149" s="32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5" t="str">
        <f aca="false">IF(A150="","",COUNTIF(Trabalhos!$D$5:$D$504,A150))</f>
        <v/>
      </c>
      <c r="G150" s="33" t="str">
        <f aca="false">IF(A150="","",SUMIFS(Trabalhos!$G$5:$G$504,Trabalhos!$D$5:$D$504,A150))</f>
        <v/>
      </c>
      <c r="H150" s="32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5" t="str">
        <f aca="false">IF(A151="","",COUNTIF(Trabalhos!$D$5:$D$504,A151))</f>
        <v/>
      </c>
      <c r="G151" s="33" t="str">
        <f aca="false">IF(A151="","",SUMIFS(Trabalhos!$G$5:$G$504,Trabalhos!$D$5:$D$504,A151))</f>
        <v/>
      </c>
      <c r="H151" s="32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5" t="str">
        <f aca="false">IF(A152="","",COUNTIF(Trabalhos!$D$5:$D$504,A152))</f>
        <v/>
      </c>
      <c r="G152" s="33" t="str">
        <f aca="false">IF(A152="","",SUMIFS(Trabalhos!$G$5:$G$504,Trabalhos!$D$5:$D$504,A152))</f>
        <v/>
      </c>
      <c r="H152" s="32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5" t="str">
        <f aca="false">IF(A153="","",COUNTIF(Trabalhos!$D$5:$D$504,A153))</f>
        <v/>
      </c>
      <c r="G153" s="33" t="str">
        <f aca="false">IF(A153="","",SUMIFS(Trabalhos!$G$5:$G$504,Trabalhos!$D$5:$D$504,A153))</f>
        <v/>
      </c>
      <c r="H153" s="32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5" t="str">
        <f aca="false">IF(A154="","",COUNTIF(Trabalhos!$D$5:$D$504,A154))</f>
        <v/>
      </c>
      <c r="G154" s="33" t="str">
        <f aca="false">IF(A154="","",SUMIFS(Trabalhos!$G$5:$G$504,Trabalhos!$D$5:$D$504,A154))</f>
        <v/>
      </c>
      <c r="H154" s="32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5" t="str">
        <f aca="false">IF(A155="","",COUNTIF(Trabalhos!$D$5:$D$504,A155))</f>
        <v/>
      </c>
      <c r="G155" s="33" t="str">
        <f aca="false">IF(A155="","",SUMIFS(Trabalhos!$G$5:$G$504,Trabalhos!$D$5:$D$504,A155))</f>
        <v/>
      </c>
      <c r="H155" s="32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5" t="str">
        <f aca="false">IF(A156="","",COUNTIF(Trabalhos!$D$5:$D$504,A156))</f>
        <v/>
      </c>
      <c r="G156" s="33" t="str">
        <f aca="false">IF(A156="","",SUMIFS(Trabalhos!$G$5:$G$504,Trabalhos!$D$5:$D$504,A156))</f>
        <v/>
      </c>
      <c r="H156" s="32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5" t="str">
        <f aca="false">IF(A157="","",COUNTIF(Trabalhos!$D$5:$D$504,A157))</f>
        <v/>
      </c>
      <c r="G157" s="33" t="str">
        <f aca="false">IF(A157="","",SUMIFS(Trabalhos!$G$5:$G$504,Trabalhos!$D$5:$D$504,A157))</f>
        <v/>
      </c>
      <c r="H157" s="32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5" t="str">
        <f aca="false">IF(A158="","",COUNTIF(Trabalhos!$D$5:$D$504,A158))</f>
        <v/>
      </c>
      <c r="G158" s="33" t="str">
        <f aca="false">IF(A158="","",SUMIFS(Trabalhos!$G$5:$G$504,Trabalhos!$D$5:$D$504,A158))</f>
        <v/>
      </c>
      <c r="H158" s="32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5" t="str">
        <f aca="false">IF(A159="","",COUNTIF(Trabalhos!$D$5:$D$504,A159))</f>
        <v/>
      </c>
      <c r="G159" s="33" t="str">
        <f aca="false">IF(A159="","",SUMIFS(Trabalhos!$G$5:$G$504,Trabalhos!$D$5:$D$504,A159))</f>
        <v/>
      </c>
      <c r="H159" s="32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5" t="str">
        <f aca="false">IF(A160="","",COUNTIF(Trabalhos!$D$5:$D$504,A160))</f>
        <v/>
      </c>
      <c r="G160" s="33" t="str">
        <f aca="false">IF(A160="","",SUMIFS(Trabalhos!$G$5:$G$504,Trabalhos!$D$5:$D$504,A160))</f>
        <v/>
      </c>
      <c r="H160" s="32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5" t="str">
        <f aca="false">IF(A161="","",COUNTIF(Trabalhos!$D$5:$D$504,A161))</f>
        <v/>
      </c>
      <c r="G161" s="33" t="str">
        <f aca="false">IF(A161="","",SUMIFS(Trabalhos!$G$5:$G$504,Trabalhos!$D$5:$D$504,A161))</f>
        <v/>
      </c>
      <c r="H161" s="32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5" t="str">
        <f aca="false">IF(A162="","",COUNTIF(Trabalhos!$D$5:$D$504,A162))</f>
        <v/>
      </c>
      <c r="G162" s="33" t="str">
        <f aca="false">IF(A162="","",SUMIFS(Trabalhos!$G$5:$G$504,Trabalhos!$D$5:$D$504,A162))</f>
        <v/>
      </c>
      <c r="H162" s="32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5" t="str">
        <f aca="false">IF(A163="","",COUNTIF(Trabalhos!$D$5:$D$504,A163))</f>
        <v/>
      </c>
      <c r="G163" s="33" t="str">
        <f aca="false">IF(A163="","",SUMIFS(Trabalhos!$G$5:$G$504,Trabalhos!$D$5:$D$504,A163))</f>
        <v/>
      </c>
      <c r="H163" s="32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5" t="str">
        <f aca="false">IF(A164="","",COUNTIF(Trabalhos!$D$5:$D$504,A164))</f>
        <v/>
      </c>
      <c r="G164" s="33" t="str">
        <f aca="false">IF(A164="","",SUMIFS(Trabalhos!$G$5:$G$504,Trabalhos!$D$5:$D$504,A164))</f>
        <v/>
      </c>
      <c r="H164" s="32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5" t="str">
        <f aca="false">IF(A165="","",COUNTIF(Trabalhos!$D$5:$D$504,A165))</f>
        <v/>
      </c>
      <c r="G165" s="33" t="str">
        <f aca="false">IF(A165="","",SUMIFS(Trabalhos!$G$5:$G$504,Trabalhos!$D$5:$D$504,A165))</f>
        <v/>
      </c>
      <c r="H165" s="32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5" t="str">
        <f aca="false">IF(A166="","",COUNTIF(Trabalhos!$D$5:$D$504,A166))</f>
        <v/>
      </c>
      <c r="G166" s="33" t="str">
        <f aca="false">IF(A166="","",SUMIFS(Trabalhos!$G$5:$G$504,Trabalhos!$D$5:$D$504,A166))</f>
        <v/>
      </c>
      <c r="H166" s="32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5" t="str">
        <f aca="false">IF(A167="","",COUNTIF(Trabalhos!$D$5:$D$504,A167))</f>
        <v/>
      </c>
      <c r="G167" s="33" t="str">
        <f aca="false">IF(A167="","",SUMIFS(Trabalhos!$G$5:$G$504,Trabalhos!$D$5:$D$504,A167))</f>
        <v/>
      </c>
      <c r="H167" s="32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5" t="str">
        <f aca="false">IF(A168="","",COUNTIF(Trabalhos!$D$5:$D$504,A168))</f>
        <v/>
      </c>
      <c r="G168" s="33" t="str">
        <f aca="false">IF(A168="","",SUMIFS(Trabalhos!$G$5:$G$504,Trabalhos!$D$5:$D$504,A168))</f>
        <v/>
      </c>
      <c r="H168" s="32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5" t="str">
        <f aca="false">IF(A169="","",COUNTIF(Trabalhos!$D$5:$D$504,A169))</f>
        <v/>
      </c>
      <c r="G169" s="33" t="str">
        <f aca="false">IF(A169="","",SUMIFS(Trabalhos!$G$5:$G$504,Trabalhos!$D$5:$D$504,A169))</f>
        <v/>
      </c>
      <c r="H169" s="32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5" t="str">
        <f aca="false">IF(A170="","",COUNTIF(Trabalhos!$D$5:$D$504,A170))</f>
        <v/>
      </c>
      <c r="G170" s="33" t="str">
        <f aca="false">IF(A170="","",SUMIFS(Trabalhos!$G$5:$G$504,Trabalhos!$D$5:$D$504,A170))</f>
        <v/>
      </c>
      <c r="H170" s="32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5" t="str">
        <f aca="false">IF(A171="","",COUNTIF(Trabalhos!$D$5:$D$504,A171))</f>
        <v/>
      </c>
      <c r="G171" s="33" t="str">
        <f aca="false">IF(A171="","",SUMIFS(Trabalhos!$G$5:$G$504,Trabalhos!$D$5:$D$504,A171))</f>
        <v/>
      </c>
      <c r="H171" s="32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5" t="str">
        <f aca="false">IF(A172="","",COUNTIF(Trabalhos!$D$5:$D$504,A172))</f>
        <v/>
      </c>
      <c r="G172" s="33" t="str">
        <f aca="false">IF(A172="","",SUMIFS(Trabalhos!$G$5:$G$504,Trabalhos!$D$5:$D$504,A172))</f>
        <v/>
      </c>
      <c r="H172" s="32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5" t="str">
        <f aca="false">IF(A173="","",COUNTIF(Trabalhos!$D$5:$D$504,A173))</f>
        <v/>
      </c>
      <c r="G173" s="33" t="str">
        <f aca="false">IF(A173="","",SUMIFS(Trabalhos!$G$5:$G$504,Trabalhos!$D$5:$D$504,A173))</f>
        <v/>
      </c>
      <c r="H173" s="32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5" t="str">
        <f aca="false">IF(A174="","",COUNTIF(Trabalhos!$D$5:$D$504,A174))</f>
        <v/>
      </c>
      <c r="G174" s="33" t="str">
        <f aca="false">IF(A174="","",SUMIFS(Trabalhos!$G$5:$G$504,Trabalhos!$D$5:$D$504,A174))</f>
        <v/>
      </c>
      <c r="H174" s="32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5" t="str">
        <f aca="false">IF(A175="","",COUNTIF(Trabalhos!$D$5:$D$504,A175))</f>
        <v/>
      </c>
      <c r="G175" s="33" t="str">
        <f aca="false">IF(A175="","",SUMIFS(Trabalhos!$G$5:$G$504,Trabalhos!$D$5:$D$504,A175))</f>
        <v/>
      </c>
      <c r="H175" s="32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5" t="str">
        <f aca="false">IF(A176="","",COUNTIF(Trabalhos!$D$5:$D$504,A176))</f>
        <v/>
      </c>
      <c r="G176" s="33" t="str">
        <f aca="false">IF(A176="","",SUMIFS(Trabalhos!$G$5:$G$504,Trabalhos!$D$5:$D$504,A176))</f>
        <v/>
      </c>
      <c r="H176" s="32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5" t="str">
        <f aca="false">IF(A177="","",COUNTIF(Trabalhos!$D$5:$D$504,A177))</f>
        <v/>
      </c>
      <c r="G177" s="33" t="str">
        <f aca="false">IF(A177="","",SUMIFS(Trabalhos!$G$5:$G$504,Trabalhos!$D$5:$D$504,A177))</f>
        <v/>
      </c>
      <c r="H177" s="32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5" t="str">
        <f aca="false">IF(A178="","",COUNTIF(Trabalhos!$D$5:$D$504,A178))</f>
        <v/>
      </c>
      <c r="G178" s="33" t="str">
        <f aca="false">IF(A178="","",SUMIFS(Trabalhos!$G$5:$G$504,Trabalhos!$D$5:$D$504,A178))</f>
        <v/>
      </c>
      <c r="H178" s="32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5" t="str">
        <f aca="false">IF(A179="","",COUNTIF(Trabalhos!$D$5:$D$504,A179))</f>
        <v/>
      </c>
      <c r="G179" s="33" t="str">
        <f aca="false">IF(A179="","",SUMIFS(Trabalhos!$G$5:$G$504,Trabalhos!$D$5:$D$504,A179))</f>
        <v/>
      </c>
      <c r="H179" s="32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5" t="str">
        <f aca="false">IF(A180="","",COUNTIF(Trabalhos!$D$5:$D$504,A180))</f>
        <v/>
      </c>
      <c r="G180" s="33" t="str">
        <f aca="false">IF(A180="","",SUMIFS(Trabalhos!$G$5:$G$504,Trabalhos!$D$5:$D$504,A180))</f>
        <v/>
      </c>
      <c r="H180" s="32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5" t="str">
        <f aca="false">IF(A181="","",COUNTIF(Trabalhos!$D$5:$D$504,A181))</f>
        <v/>
      </c>
      <c r="G181" s="33" t="str">
        <f aca="false">IF(A181="","",SUMIFS(Trabalhos!$G$5:$G$504,Trabalhos!$D$5:$D$504,A181))</f>
        <v/>
      </c>
      <c r="H181" s="32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5" t="str">
        <f aca="false">IF(A182="","",COUNTIF(Trabalhos!$D$5:$D$504,A182))</f>
        <v/>
      </c>
      <c r="G182" s="33" t="str">
        <f aca="false">IF(A182="","",SUMIFS(Trabalhos!$G$5:$G$504,Trabalhos!$D$5:$D$504,A182))</f>
        <v/>
      </c>
      <c r="H182" s="32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5" t="str">
        <f aca="false">IF(A183="","",COUNTIF(Trabalhos!$D$5:$D$504,A183))</f>
        <v/>
      </c>
      <c r="G183" s="33" t="str">
        <f aca="false">IF(A183="","",SUMIFS(Trabalhos!$G$5:$G$504,Trabalhos!$D$5:$D$504,A183))</f>
        <v/>
      </c>
      <c r="H183" s="32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5" t="str">
        <f aca="false">IF(A184="","",COUNTIF(Trabalhos!$D$5:$D$504,A184))</f>
        <v/>
      </c>
      <c r="G184" s="33" t="str">
        <f aca="false">IF(A184="","",SUMIFS(Trabalhos!$G$5:$G$504,Trabalhos!$D$5:$D$504,A184))</f>
        <v/>
      </c>
      <c r="H184" s="32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5" t="str">
        <f aca="false">IF(A185="","",COUNTIF(Trabalhos!$D$5:$D$504,A185))</f>
        <v/>
      </c>
      <c r="G185" s="33" t="str">
        <f aca="false">IF(A185="","",SUMIFS(Trabalhos!$G$5:$G$504,Trabalhos!$D$5:$D$504,A185))</f>
        <v/>
      </c>
      <c r="H185" s="32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5" t="str">
        <f aca="false">IF(A186="","",COUNTIF(Trabalhos!$D$5:$D$504,A186))</f>
        <v/>
      </c>
      <c r="G186" s="33" t="str">
        <f aca="false">IF(A186="","",SUMIFS(Trabalhos!$G$5:$G$504,Trabalhos!$D$5:$D$504,A186))</f>
        <v/>
      </c>
      <c r="H186" s="32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5" t="str">
        <f aca="false">IF(A187="","",COUNTIF(Trabalhos!$D$5:$D$504,A187))</f>
        <v/>
      </c>
      <c r="G187" s="33" t="str">
        <f aca="false">IF(A187="","",SUMIFS(Trabalhos!$G$5:$G$504,Trabalhos!$D$5:$D$504,A187))</f>
        <v/>
      </c>
      <c r="H187" s="32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5" t="str">
        <f aca="false">IF(A188="","",COUNTIF(Trabalhos!$D$5:$D$504,A188))</f>
        <v/>
      </c>
      <c r="G188" s="33" t="str">
        <f aca="false">IF(A188="","",SUMIFS(Trabalhos!$G$5:$G$504,Trabalhos!$D$5:$D$504,A188))</f>
        <v/>
      </c>
      <c r="H188" s="32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5" t="str">
        <f aca="false">IF(A189="","",COUNTIF(Trabalhos!$D$5:$D$504,A189))</f>
        <v/>
      </c>
      <c r="G189" s="33" t="str">
        <f aca="false">IF(A189="","",SUMIFS(Trabalhos!$G$5:$G$504,Trabalhos!$D$5:$D$504,A189))</f>
        <v/>
      </c>
      <c r="H189" s="32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5" t="str">
        <f aca="false">IF(A190="","",COUNTIF(Trabalhos!$D$5:$D$504,A190))</f>
        <v/>
      </c>
      <c r="G190" s="33" t="str">
        <f aca="false">IF(A190="","",SUMIFS(Trabalhos!$G$5:$G$504,Trabalhos!$D$5:$D$504,A190))</f>
        <v/>
      </c>
      <c r="H190" s="32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5" t="str">
        <f aca="false">IF(A191="","",COUNTIF(Trabalhos!$D$5:$D$504,A191))</f>
        <v/>
      </c>
      <c r="G191" s="33" t="str">
        <f aca="false">IF(A191="","",SUMIFS(Trabalhos!$G$5:$G$504,Trabalhos!$D$5:$D$504,A191))</f>
        <v/>
      </c>
      <c r="H191" s="32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5" t="str">
        <f aca="false">IF(A192="","",COUNTIF(Trabalhos!$D$5:$D$504,A192))</f>
        <v/>
      </c>
      <c r="G192" s="33" t="str">
        <f aca="false">IF(A192="","",SUMIFS(Trabalhos!$G$5:$G$504,Trabalhos!$D$5:$D$504,A192))</f>
        <v/>
      </c>
      <c r="H192" s="32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5" t="str">
        <f aca="false">IF(A193="","",COUNTIF(Trabalhos!$D$5:$D$504,A193))</f>
        <v/>
      </c>
      <c r="G193" s="33" t="str">
        <f aca="false">IF(A193="","",SUMIFS(Trabalhos!$G$5:$G$504,Trabalhos!$D$5:$D$504,A193))</f>
        <v/>
      </c>
      <c r="H193" s="32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5" t="str">
        <f aca="false">IF(A194="","",COUNTIF(Trabalhos!$D$5:$D$504,A194))</f>
        <v/>
      </c>
      <c r="G194" s="33" t="str">
        <f aca="false">IF(A194="","",SUMIFS(Trabalhos!$G$5:$G$504,Trabalhos!$D$5:$D$504,A194))</f>
        <v/>
      </c>
      <c r="H194" s="32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5" t="str">
        <f aca="false">IF(A195="","",COUNTIF(Trabalhos!$D$5:$D$504,A195))</f>
        <v/>
      </c>
      <c r="G195" s="33" t="str">
        <f aca="false">IF(A195="","",SUMIFS(Trabalhos!$G$5:$G$504,Trabalhos!$D$5:$D$504,A195))</f>
        <v/>
      </c>
      <c r="H195" s="32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5" t="str">
        <f aca="false">IF(A196="","",COUNTIF(Trabalhos!$D$5:$D$504,A196))</f>
        <v/>
      </c>
      <c r="G196" s="33" t="str">
        <f aca="false">IF(A196="","",SUMIFS(Trabalhos!$G$5:$G$504,Trabalhos!$D$5:$D$504,A196))</f>
        <v/>
      </c>
      <c r="H196" s="32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5" t="str">
        <f aca="false">IF(A197="","",COUNTIF(Trabalhos!$D$5:$D$504,A197))</f>
        <v/>
      </c>
      <c r="G197" s="33" t="str">
        <f aca="false">IF(A197="","",SUMIFS(Trabalhos!$G$5:$G$504,Trabalhos!$D$5:$D$504,A197))</f>
        <v/>
      </c>
      <c r="H197" s="32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5" t="str">
        <f aca="false">IF(A198="","",COUNTIF(Trabalhos!$D$5:$D$504,A198))</f>
        <v/>
      </c>
      <c r="G198" s="33" t="str">
        <f aca="false">IF(A198="","",SUMIFS(Trabalhos!$G$5:$G$504,Trabalhos!$D$5:$D$504,A198))</f>
        <v/>
      </c>
      <c r="H198" s="32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5" t="str">
        <f aca="false">IF(A199="","",COUNTIF(Trabalhos!$D$5:$D$504,A199))</f>
        <v/>
      </c>
      <c r="G199" s="33" t="str">
        <f aca="false">IF(A199="","",SUMIFS(Trabalhos!$G$5:$G$504,Trabalhos!$D$5:$D$504,A199))</f>
        <v/>
      </c>
      <c r="H199" s="32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5" t="str">
        <f aca="false">IF(A200="","",COUNTIF(Trabalhos!$D$5:$D$504,A200))</f>
        <v/>
      </c>
      <c r="G200" s="33" t="str">
        <f aca="false">IF(A200="","",SUMIFS(Trabalhos!$G$5:$G$504,Trabalhos!$D$5:$D$504,A200))</f>
        <v/>
      </c>
      <c r="H200" s="32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5" t="str">
        <f aca="false">IF(A201="","",COUNTIF(Trabalhos!$D$5:$D$504,A201))</f>
        <v/>
      </c>
      <c r="G201" s="33" t="str">
        <f aca="false">IF(A201="","",SUMIFS(Trabalhos!$G$5:$G$504,Trabalhos!$D$5:$D$504,A201))</f>
        <v/>
      </c>
      <c r="H201" s="32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5" t="str">
        <f aca="false">IF(A202="","",COUNTIF(Trabalhos!$D$5:$D$504,A202))</f>
        <v/>
      </c>
      <c r="G202" s="33" t="str">
        <f aca="false">IF(A202="","",SUMIFS(Trabalhos!$G$5:$G$504,Trabalhos!$D$5:$D$504,A202))</f>
        <v/>
      </c>
      <c r="H202" s="32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5" t="str">
        <f aca="false">IF(A203="","",COUNTIF(Trabalhos!$D$5:$D$504,A203))</f>
        <v/>
      </c>
      <c r="G203" s="33" t="str">
        <f aca="false">IF(A203="","",SUMIFS(Trabalhos!$G$5:$G$504,Trabalhos!$D$5:$D$504,A203))</f>
        <v/>
      </c>
      <c r="H203" s="32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5" t="str">
        <f aca="false">IF(A204="","",COUNTIF(Trabalhos!$D$5:$D$504,A204))</f>
        <v/>
      </c>
      <c r="G204" s="33" t="str">
        <f aca="false">IF(A204="","",SUMIFS(Trabalhos!$G$5:$G$504,Trabalhos!$D$5:$D$504,A204))</f>
        <v/>
      </c>
      <c r="H204" s="32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5" t="str">
        <f aca="false">IF(A205="","",COUNTIF(Trabalhos!$D$5:$D$504,A205))</f>
        <v/>
      </c>
      <c r="G205" s="33" t="str">
        <f aca="false">IF(A205="","",SUMIFS(Trabalhos!$G$5:$G$504,Trabalhos!$D$5:$D$504,A205))</f>
        <v/>
      </c>
      <c r="H205" s="32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5" t="str">
        <f aca="false">IF(A206="","",COUNTIF(Trabalhos!$D$5:$D$504,A206))</f>
        <v/>
      </c>
      <c r="G206" s="33" t="str">
        <f aca="false">IF(A206="","",SUMIFS(Trabalhos!$G$5:$G$504,Trabalhos!$D$5:$D$504,A206))</f>
        <v/>
      </c>
      <c r="H206" s="32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5" t="str">
        <f aca="false">IF(A207="","",COUNTIF(Trabalhos!$D$5:$D$504,A207))</f>
        <v/>
      </c>
      <c r="G207" s="33" t="str">
        <f aca="false">IF(A207="","",SUMIFS(Trabalhos!$G$5:$G$504,Trabalhos!$D$5:$D$504,A207))</f>
        <v/>
      </c>
      <c r="H207" s="32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5" t="str">
        <f aca="false">IF(A208="","",COUNTIF(Trabalhos!$D$5:$D$504,A208))</f>
        <v/>
      </c>
      <c r="G208" s="33" t="str">
        <f aca="false">IF(A208="","",SUMIFS(Trabalhos!$G$5:$G$504,Trabalhos!$D$5:$D$504,A208))</f>
        <v/>
      </c>
      <c r="H208" s="32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5" t="str">
        <f aca="false">IF(A209="","",COUNTIF(Trabalhos!$D$5:$D$504,A209))</f>
        <v/>
      </c>
      <c r="G209" s="33" t="str">
        <f aca="false">IF(A209="","",SUMIFS(Trabalhos!$G$5:$G$504,Trabalhos!$D$5:$D$504,A209))</f>
        <v/>
      </c>
      <c r="H209" s="32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5" t="str">
        <f aca="false">IF(A210="","",COUNTIF(Trabalhos!$D$5:$D$504,A210))</f>
        <v/>
      </c>
      <c r="G210" s="33" t="str">
        <f aca="false">IF(A210="","",SUMIFS(Trabalhos!$G$5:$G$504,Trabalhos!$D$5:$D$504,A210))</f>
        <v/>
      </c>
      <c r="H210" s="32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5" t="str">
        <f aca="false">IF(A211="","",COUNTIF(Trabalhos!$D$5:$D$504,A211))</f>
        <v/>
      </c>
      <c r="G211" s="33" t="str">
        <f aca="false">IF(A211="","",SUMIFS(Trabalhos!$G$5:$G$504,Trabalhos!$D$5:$D$504,A211))</f>
        <v/>
      </c>
      <c r="H211" s="32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5" t="str">
        <f aca="false">IF(A212="","",COUNTIF(Trabalhos!$D$5:$D$504,A212))</f>
        <v/>
      </c>
      <c r="G212" s="33" t="str">
        <f aca="false">IF(A212="","",SUMIFS(Trabalhos!$G$5:$G$504,Trabalhos!$D$5:$D$504,A212))</f>
        <v/>
      </c>
      <c r="H212" s="32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5" t="str">
        <f aca="false">IF(A213="","",COUNTIF(Trabalhos!$D$5:$D$504,A213))</f>
        <v/>
      </c>
      <c r="G213" s="33" t="str">
        <f aca="false">IF(A213="","",SUMIFS(Trabalhos!$G$5:$G$504,Trabalhos!$D$5:$D$504,A213))</f>
        <v/>
      </c>
      <c r="H213" s="32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5" t="str">
        <f aca="false">IF(A214="","",COUNTIF(Trabalhos!$D$5:$D$504,A214))</f>
        <v/>
      </c>
      <c r="G214" s="33" t="str">
        <f aca="false">IF(A214="","",SUMIFS(Trabalhos!$G$5:$G$504,Trabalhos!$D$5:$D$504,A214))</f>
        <v/>
      </c>
      <c r="H214" s="32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5" t="str">
        <f aca="false">IF(A215="","",COUNTIF(Trabalhos!$D$5:$D$504,A215))</f>
        <v/>
      </c>
      <c r="G215" s="33" t="str">
        <f aca="false">IF(A215="","",SUMIFS(Trabalhos!$G$5:$G$504,Trabalhos!$D$5:$D$504,A215))</f>
        <v/>
      </c>
      <c r="H215" s="32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5" t="str">
        <f aca="false">IF(A216="","",COUNTIF(Trabalhos!$D$5:$D$504,A216))</f>
        <v/>
      </c>
      <c r="G216" s="33" t="str">
        <f aca="false">IF(A216="","",SUMIFS(Trabalhos!$G$5:$G$504,Trabalhos!$D$5:$D$504,A216))</f>
        <v/>
      </c>
      <c r="H216" s="32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5" t="str">
        <f aca="false">IF(A217="","",COUNTIF(Trabalhos!$D$5:$D$504,A217))</f>
        <v/>
      </c>
      <c r="G217" s="33" t="str">
        <f aca="false">IF(A217="","",SUMIFS(Trabalhos!$G$5:$G$504,Trabalhos!$D$5:$D$504,A217))</f>
        <v/>
      </c>
      <c r="H217" s="32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5" t="str">
        <f aca="false">IF(A218="","",COUNTIF(Trabalhos!$D$5:$D$504,A218))</f>
        <v/>
      </c>
      <c r="G218" s="33" t="str">
        <f aca="false">IF(A218="","",SUMIFS(Trabalhos!$G$5:$G$504,Trabalhos!$D$5:$D$504,A218))</f>
        <v/>
      </c>
      <c r="H218" s="32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5" t="str">
        <f aca="false">IF(A219="","",COUNTIF(Trabalhos!$D$5:$D$504,A219))</f>
        <v/>
      </c>
      <c r="G219" s="33" t="str">
        <f aca="false">IF(A219="","",SUMIFS(Trabalhos!$G$5:$G$504,Trabalhos!$D$5:$D$504,A219))</f>
        <v/>
      </c>
      <c r="H219" s="32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5" t="str">
        <f aca="false">IF(A220="","",COUNTIF(Trabalhos!$D$5:$D$504,A220))</f>
        <v/>
      </c>
      <c r="G220" s="33" t="str">
        <f aca="false">IF(A220="","",SUMIFS(Trabalhos!$G$5:$G$504,Trabalhos!$D$5:$D$504,A220))</f>
        <v/>
      </c>
      <c r="H220" s="32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5" t="str">
        <f aca="false">IF(A221="","",COUNTIF(Trabalhos!$D$5:$D$504,A221))</f>
        <v/>
      </c>
      <c r="G221" s="33" t="str">
        <f aca="false">IF(A221="","",SUMIFS(Trabalhos!$G$5:$G$504,Trabalhos!$D$5:$D$504,A221))</f>
        <v/>
      </c>
      <c r="H221" s="32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5" t="str">
        <f aca="false">IF(A222="","",COUNTIF(Trabalhos!$D$5:$D$504,A222))</f>
        <v/>
      </c>
      <c r="G222" s="33" t="str">
        <f aca="false">IF(A222="","",SUMIFS(Trabalhos!$G$5:$G$504,Trabalhos!$D$5:$D$504,A222))</f>
        <v/>
      </c>
      <c r="H222" s="32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5" t="str">
        <f aca="false">IF(A223="","",COUNTIF(Trabalhos!$D$5:$D$504,A223))</f>
        <v/>
      </c>
      <c r="G223" s="33" t="str">
        <f aca="false">IF(A223="","",SUMIFS(Trabalhos!$G$5:$G$504,Trabalhos!$D$5:$D$504,A223))</f>
        <v/>
      </c>
      <c r="H223" s="32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5" t="str">
        <f aca="false">IF(A224="","",COUNTIF(Trabalhos!$D$5:$D$504,A224))</f>
        <v/>
      </c>
      <c r="G224" s="33" t="str">
        <f aca="false">IF(A224="","",SUMIFS(Trabalhos!$G$5:$G$504,Trabalhos!$D$5:$D$504,A224))</f>
        <v/>
      </c>
      <c r="H224" s="32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5" t="str">
        <f aca="false">IF(A225="","",COUNTIF(Trabalhos!$D$5:$D$504,A225))</f>
        <v/>
      </c>
      <c r="G225" s="33" t="str">
        <f aca="false">IF(A225="","",SUMIFS(Trabalhos!$G$5:$G$504,Trabalhos!$D$5:$D$504,A225))</f>
        <v/>
      </c>
      <c r="H225" s="32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5" t="str">
        <f aca="false">IF(A226="","",COUNTIF(Trabalhos!$D$5:$D$504,A226))</f>
        <v/>
      </c>
      <c r="G226" s="33" t="str">
        <f aca="false">IF(A226="","",SUMIFS(Trabalhos!$G$5:$G$504,Trabalhos!$D$5:$D$504,A226))</f>
        <v/>
      </c>
      <c r="H226" s="32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5" t="str">
        <f aca="false">IF(A227="","",COUNTIF(Trabalhos!$D$5:$D$504,A227))</f>
        <v/>
      </c>
      <c r="G227" s="33" t="str">
        <f aca="false">IF(A227="","",SUMIFS(Trabalhos!$G$5:$G$504,Trabalhos!$D$5:$D$504,A227))</f>
        <v/>
      </c>
      <c r="H227" s="32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5" t="str">
        <f aca="false">IF(A228="","",COUNTIF(Trabalhos!$D$5:$D$504,A228))</f>
        <v/>
      </c>
      <c r="G228" s="33" t="str">
        <f aca="false">IF(A228="","",SUMIFS(Trabalhos!$G$5:$G$504,Trabalhos!$D$5:$D$504,A228))</f>
        <v/>
      </c>
      <c r="H228" s="32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5" t="str">
        <f aca="false">IF(A229="","",COUNTIF(Trabalhos!$D$5:$D$504,A229))</f>
        <v/>
      </c>
      <c r="G229" s="33" t="str">
        <f aca="false">IF(A229="","",SUMIFS(Trabalhos!$G$5:$G$504,Trabalhos!$D$5:$D$504,A229))</f>
        <v/>
      </c>
      <c r="H229" s="32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5" t="str">
        <f aca="false">IF(A230="","",COUNTIF(Trabalhos!$D$5:$D$504,A230))</f>
        <v/>
      </c>
      <c r="G230" s="33" t="str">
        <f aca="false">IF(A230="","",SUMIFS(Trabalhos!$G$5:$G$504,Trabalhos!$D$5:$D$504,A230))</f>
        <v/>
      </c>
      <c r="H230" s="32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5" t="str">
        <f aca="false">IF(A231="","",COUNTIF(Trabalhos!$D$5:$D$504,A231))</f>
        <v/>
      </c>
      <c r="G231" s="33" t="str">
        <f aca="false">IF(A231="","",SUMIFS(Trabalhos!$G$5:$G$504,Trabalhos!$D$5:$D$504,A231))</f>
        <v/>
      </c>
      <c r="H231" s="32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5" t="str">
        <f aca="false">IF(A232="","",COUNTIF(Trabalhos!$D$5:$D$504,A232))</f>
        <v/>
      </c>
      <c r="G232" s="33" t="str">
        <f aca="false">IF(A232="","",SUMIFS(Trabalhos!$G$5:$G$504,Trabalhos!$D$5:$D$504,A232))</f>
        <v/>
      </c>
      <c r="H232" s="32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5" t="str">
        <f aca="false">IF(A233="","",COUNTIF(Trabalhos!$D$5:$D$504,A233))</f>
        <v/>
      </c>
      <c r="G233" s="33" t="str">
        <f aca="false">IF(A233="","",SUMIFS(Trabalhos!$G$5:$G$504,Trabalhos!$D$5:$D$504,A233))</f>
        <v/>
      </c>
      <c r="H233" s="32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5" t="str">
        <f aca="false">IF(A234="","",COUNTIF(Trabalhos!$D$5:$D$504,A234))</f>
        <v/>
      </c>
      <c r="G234" s="33" t="str">
        <f aca="false">IF(A234="","",SUMIFS(Trabalhos!$G$5:$G$504,Trabalhos!$D$5:$D$504,A234))</f>
        <v/>
      </c>
      <c r="H234" s="32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5" t="str">
        <f aca="false">IF(A235="","",COUNTIF(Trabalhos!$D$5:$D$504,A235))</f>
        <v/>
      </c>
      <c r="G235" s="33" t="str">
        <f aca="false">IF(A235="","",SUMIFS(Trabalhos!$G$5:$G$504,Trabalhos!$D$5:$D$504,A235))</f>
        <v/>
      </c>
      <c r="H235" s="32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5" t="str">
        <f aca="false">IF(A236="","",COUNTIF(Trabalhos!$D$5:$D$504,A236))</f>
        <v/>
      </c>
      <c r="G236" s="33" t="str">
        <f aca="false">IF(A236="","",SUMIFS(Trabalhos!$G$5:$G$504,Trabalhos!$D$5:$D$504,A236))</f>
        <v/>
      </c>
      <c r="H236" s="32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5" t="str">
        <f aca="false">IF(A237="","",COUNTIF(Trabalhos!$D$5:$D$504,A237))</f>
        <v/>
      </c>
      <c r="G237" s="33" t="str">
        <f aca="false">IF(A237="","",SUMIFS(Trabalhos!$G$5:$G$504,Trabalhos!$D$5:$D$504,A237))</f>
        <v/>
      </c>
      <c r="H237" s="32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5" t="str">
        <f aca="false">IF(A238="","",COUNTIF(Trabalhos!$D$5:$D$504,A238))</f>
        <v/>
      </c>
      <c r="G238" s="33" t="str">
        <f aca="false">IF(A238="","",SUMIFS(Trabalhos!$G$5:$G$504,Trabalhos!$D$5:$D$504,A238))</f>
        <v/>
      </c>
      <c r="H238" s="32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5" t="str">
        <f aca="false">IF(A239="","",COUNTIF(Trabalhos!$D$5:$D$504,A239))</f>
        <v/>
      </c>
      <c r="G239" s="33" t="str">
        <f aca="false">IF(A239="","",SUMIFS(Trabalhos!$G$5:$G$504,Trabalhos!$D$5:$D$504,A239))</f>
        <v/>
      </c>
      <c r="H239" s="32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5" t="str">
        <f aca="false">IF(A240="","",COUNTIF(Trabalhos!$D$5:$D$504,A240))</f>
        <v/>
      </c>
      <c r="G240" s="33" t="str">
        <f aca="false">IF(A240="","",SUMIFS(Trabalhos!$G$5:$G$504,Trabalhos!$D$5:$D$504,A240))</f>
        <v/>
      </c>
      <c r="H240" s="32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5" t="str">
        <f aca="false">IF(A241="","",COUNTIF(Trabalhos!$D$5:$D$504,A241))</f>
        <v/>
      </c>
      <c r="G241" s="33" t="str">
        <f aca="false">IF(A241="","",SUMIFS(Trabalhos!$G$5:$G$504,Trabalhos!$D$5:$D$504,A241))</f>
        <v/>
      </c>
      <c r="H241" s="32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5" t="str">
        <f aca="false">IF(A242="","",COUNTIF(Trabalhos!$D$5:$D$504,A242))</f>
        <v/>
      </c>
      <c r="G242" s="33" t="str">
        <f aca="false">IF(A242="","",SUMIFS(Trabalhos!$G$5:$G$504,Trabalhos!$D$5:$D$504,A242))</f>
        <v/>
      </c>
      <c r="H242" s="32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5" t="str">
        <f aca="false">IF(A243="","",COUNTIF(Trabalhos!$D$5:$D$504,A243))</f>
        <v/>
      </c>
      <c r="G243" s="33" t="str">
        <f aca="false">IF(A243="","",SUMIFS(Trabalhos!$G$5:$G$504,Trabalhos!$D$5:$D$504,A243))</f>
        <v/>
      </c>
      <c r="H243" s="32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5" t="str">
        <f aca="false">IF(A244="","",COUNTIF(Trabalhos!$D$5:$D$504,A244))</f>
        <v/>
      </c>
      <c r="G244" s="33" t="str">
        <f aca="false">IF(A244="","",SUMIFS(Trabalhos!$G$5:$G$504,Trabalhos!$D$5:$D$504,A244))</f>
        <v/>
      </c>
      <c r="H244" s="32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5" t="str">
        <f aca="false">IF(A245="","",COUNTIF(Trabalhos!$D$5:$D$504,A245))</f>
        <v/>
      </c>
      <c r="G245" s="33" t="str">
        <f aca="false">IF(A245="","",SUMIFS(Trabalhos!$G$5:$G$504,Trabalhos!$D$5:$D$504,A245))</f>
        <v/>
      </c>
      <c r="H245" s="32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5" t="str">
        <f aca="false">IF(A246="","",COUNTIF(Trabalhos!$D$5:$D$504,A246))</f>
        <v/>
      </c>
      <c r="G246" s="33" t="str">
        <f aca="false">IF(A246="","",SUMIFS(Trabalhos!$G$5:$G$504,Trabalhos!$D$5:$D$504,A246))</f>
        <v/>
      </c>
      <c r="H246" s="32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5" t="str">
        <f aca="false">IF(A247="","",COUNTIF(Trabalhos!$D$5:$D$504,A247))</f>
        <v/>
      </c>
      <c r="G247" s="33" t="str">
        <f aca="false">IF(A247="","",SUMIFS(Trabalhos!$G$5:$G$504,Trabalhos!$D$5:$D$504,A247))</f>
        <v/>
      </c>
      <c r="H247" s="32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5" t="str">
        <f aca="false">IF(A248="","",COUNTIF(Trabalhos!$D$5:$D$504,A248))</f>
        <v/>
      </c>
      <c r="G248" s="33" t="str">
        <f aca="false">IF(A248="","",SUMIFS(Trabalhos!$G$5:$G$504,Trabalhos!$D$5:$D$504,A248))</f>
        <v/>
      </c>
      <c r="H248" s="32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5" t="str">
        <f aca="false">IF(A249="","",COUNTIF(Trabalhos!$D$5:$D$504,A249))</f>
        <v/>
      </c>
      <c r="G249" s="33" t="str">
        <f aca="false">IF(A249="","",SUMIFS(Trabalhos!$G$5:$G$504,Trabalhos!$D$5:$D$504,A249))</f>
        <v/>
      </c>
      <c r="H249" s="32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5" t="str">
        <f aca="false">IF(A250="","",COUNTIF(Trabalhos!$D$5:$D$504,A250))</f>
        <v/>
      </c>
      <c r="G250" s="33" t="str">
        <f aca="false">IF(A250="","",SUMIFS(Trabalhos!$G$5:$G$504,Trabalhos!$D$5:$D$504,A250))</f>
        <v/>
      </c>
      <c r="H250" s="32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5" t="str">
        <f aca="false">IF(A251="","",COUNTIF(Trabalhos!$D$5:$D$504,A251))</f>
        <v/>
      </c>
      <c r="G251" s="33" t="str">
        <f aca="false">IF(A251="","",SUMIFS(Trabalhos!$G$5:$G$504,Trabalhos!$D$5:$D$504,A251))</f>
        <v/>
      </c>
      <c r="H251" s="32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5" t="str">
        <f aca="false">IF(A252="","",COUNTIF(Trabalhos!$D$5:$D$504,A252))</f>
        <v/>
      </c>
      <c r="G252" s="33" t="str">
        <f aca="false">IF(A252="","",SUMIFS(Trabalhos!$G$5:$G$504,Trabalhos!$D$5:$D$504,A252))</f>
        <v/>
      </c>
      <c r="H252" s="32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5" t="str">
        <f aca="false">IF(A253="","",COUNTIF(Trabalhos!$D$5:$D$504,A253))</f>
        <v/>
      </c>
      <c r="G253" s="33" t="str">
        <f aca="false">IF(A253="","",SUMIFS(Trabalhos!$G$5:$G$504,Trabalhos!$D$5:$D$504,A253))</f>
        <v/>
      </c>
      <c r="H253" s="32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5" t="str">
        <f aca="false">IF(A254="","",COUNTIF(Trabalhos!$D$5:$D$504,A254))</f>
        <v/>
      </c>
      <c r="G254" s="33" t="str">
        <f aca="false">IF(A254="","",SUMIFS(Trabalhos!$G$5:$G$504,Trabalhos!$D$5:$D$504,A254))</f>
        <v/>
      </c>
      <c r="H254" s="32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5" t="str">
        <f aca="false">IF(A255="","",COUNTIF(Trabalhos!$D$5:$D$504,A255))</f>
        <v/>
      </c>
      <c r="G255" s="33" t="str">
        <f aca="false">IF(A255="","",SUMIFS(Trabalhos!$G$5:$G$504,Trabalhos!$D$5:$D$504,A255))</f>
        <v/>
      </c>
      <c r="H255" s="32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5" t="str">
        <f aca="false">IF(A256="","",COUNTIF(Trabalhos!$D$5:$D$504,A256))</f>
        <v/>
      </c>
      <c r="G256" s="33" t="str">
        <f aca="false">IF(A256="","",SUMIFS(Trabalhos!$G$5:$G$504,Trabalhos!$D$5:$D$504,A256))</f>
        <v/>
      </c>
      <c r="H256" s="32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5" t="str">
        <f aca="false">IF(A257="","",COUNTIF(Trabalhos!$D$5:$D$504,A257))</f>
        <v/>
      </c>
      <c r="G257" s="33" t="str">
        <f aca="false">IF(A257="","",SUMIFS(Trabalhos!$G$5:$G$504,Trabalhos!$D$5:$D$504,A257))</f>
        <v/>
      </c>
      <c r="H257" s="32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5" t="str">
        <f aca="false">IF(A258="","",COUNTIF(Trabalhos!$D$5:$D$504,A258))</f>
        <v/>
      </c>
      <c r="G258" s="33" t="str">
        <f aca="false">IF(A258="","",SUMIFS(Trabalhos!$G$5:$G$504,Trabalhos!$D$5:$D$504,A258))</f>
        <v/>
      </c>
      <c r="H258" s="32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5" t="str">
        <f aca="false">IF(A259="","",COUNTIF(Trabalhos!$D$5:$D$504,A259))</f>
        <v/>
      </c>
      <c r="G259" s="33" t="str">
        <f aca="false">IF(A259="","",SUMIFS(Trabalhos!$G$5:$G$504,Trabalhos!$D$5:$D$504,A259))</f>
        <v/>
      </c>
      <c r="H259" s="32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5" t="str">
        <f aca="false">IF(A260="","",COUNTIF(Trabalhos!$D$5:$D$504,A260))</f>
        <v/>
      </c>
      <c r="G260" s="33" t="str">
        <f aca="false">IF(A260="","",SUMIFS(Trabalhos!$G$5:$G$504,Trabalhos!$D$5:$D$504,A260))</f>
        <v/>
      </c>
      <c r="H260" s="32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5" t="str">
        <f aca="false">IF(A261="","",COUNTIF(Trabalhos!$D$5:$D$504,A261))</f>
        <v/>
      </c>
      <c r="G261" s="33" t="str">
        <f aca="false">IF(A261="","",SUMIFS(Trabalhos!$G$5:$G$504,Trabalhos!$D$5:$D$504,A261))</f>
        <v/>
      </c>
      <c r="H261" s="32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5" t="str">
        <f aca="false">IF(A262="","",COUNTIF(Trabalhos!$D$5:$D$504,A262))</f>
        <v/>
      </c>
      <c r="G262" s="33" t="str">
        <f aca="false">IF(A262="","",SUMIFS(Trabalhos!$G$5:$G$504,Trabalhos!$D$5:$D$504,A262))</f>
        <v/>
      </c>
      <c r="H262" s="32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5" t="str">
        <f aca="false">IF(A263="","",COUNTIF(Trabalhos!$D$5:$D$504,A263))</f>
        <v/>
      </c>
      <c r="G263" s="33" t="str">
        <f aca="false">IF(A263="","",SUMIFS(Trabalhos!$G$5:$G$504,Trabalhos!$D$5:$D$504,A263))</f>
        <v/>
      </c>
      <c r="H263" s="32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5" t="str">
        <f aca="false">IF(A264="","",COUNTIF(Trabalhos!$D$5:$D$504,A264))</f>
        <v/>
      </c>
      <c r="G264" s="33" t="str">
        <f aca="false">IF(A264="","",SUMIFS(Trabalhos!$G$5:$G$504,Trabalhos!$D$5:$D$504,A264))</f>
        <v/>
      </c>
      <c r="H264" s="32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5" t="str">
        <f aca="false">IF(A265="","",COUNTIF(Trabalhos!$D$5:$D$504,A265))</f>
        <v/>
      </c>
      <c r="G265" s="33" t="str">
        <f aca="false">IF(A265="","",SUMIFS(Trabalhos!$G$5:$G$504,Trabalhos!$D$5:$D$504,A265))</f>
        <v/>
      </c>
      <c r="H265" s="32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5" t="str">
        <f aca="false">IF(A266="","",COUNTIF(Trabalhos!$D$5:$D$504,A266))</f>
        <v/>
      </c>
      <c r="G266" s="33" t="str">
        <f aca="false">IF(A266="","",SUMIFS(Trabalhos!$G$5:$G$504,Trabalhos!$D$5:$D$504,A266))</f>
        <v/>
      </c>
      <c r="H266" s="32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5" t="str">
        <f aca="false">IF(A267="","",COUNTIF(Trabalhos!$D$5:$D$504,A267))</f>
        <v/>
      </c>
      <c r="G267" s="33" t="str">
        <f aca="false">IF(A267="","",SUMIFS(Trabalhos!$G$5:$G$504,Trabalhos!$D$5:$D$504,A267))</f>
        <v/>
      </c>
      <c r="H267" s="32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5" t="str">
        <f aca="false">IF(A268="","",COUNTIF(Trabalhos!$D$5:$D$504,A268))</f>
        <v/>
      </c>
      <c r="G268" s="33" t="str">
        <f aca="false">IF(A268="","",SUMIFS(Trabalhos!$G$5:$G$504,Trabalhos!$D$5:$D$504,A268))</f>
        <v/>
      </c>
      <c r="H268" s="32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5" t="str">
        <f aca="false">IF(A269="","",COUNTIF(Trabalhos!$D$5:$D$504,A269))</f>
        <v/>
      </c>
      <c r="G269" s="33" t="str">
        <f aca="false">IF(A269="","",SUMIFS(Trabalhos!$G$5:$G$504,Trabalhos!$D$5:$D$504,A269))</f>
        <v/>
      </c>
      <c r="H269" s="32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5" t="str">
        <f aca="false">IF(A270="","",COUNTIF(Trabalhos!$D$5:$D$504,A270))</f>
        <v/>
      </c>
      <c r="G270" s="33" t="str">
        <f aca="false">IF(A270="","",SUMIFS(Trabalhos!$G$5:$G$504,Trabalhos!$D$5:$D$504,A270))</f>
        <v/>
      </c>
      <c r="H270" s="32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5" t="str">
        <f aca="false">IF(A271="","",COUNTIF(Trabalhos!$D$5:$D$504,A271))</f>
        <v/>
      </c>
      <c r="G271" s="33" t="str">
        <f aca="false">IF(A271="","",SUMIFS(Trabalhos!$G$5:$G$504,Trabalhos!$D$5:$D$504,A271))</f>
        <v/>
      </c>
      <c r="H271" s="32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5" t="str">
        <f aca="false">IF(A272="","",COUNTIF(Trabalhos!$D$5:$D$504,A272))</f>
        <v/>
      </c>
      <c r="G272" s="33" t="str">
        <f aca="false">IF(A272="","",SUMIFS(Trabalhos!$G$5:$G$504,Trabalhos!$D$5:$D$504,A272))</f>
        <v/>
      </c>
      <c r="H272" s="32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5" t="str">
        <f aca="false">IF(A273="","",COUNTIF(Trabalhos!$D$5:$D$504,A273))</f>
        <v/>
      </c>
      <c r="G273" s="33" t="str">
        <f aca="false">IF(A273="","",SUMIFS(Trabalhos!$G$5:$G$504,Trabalhos!$D$5:$D$504,A273))</f>
        <v/>
      </c>
      <c r="H273" s="32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5" t="str">
        <f aca="false">IF(A274="","",COUNTIF(Trabalhos!$D$5:$D$504,A274))</f>
        <v/>
      </c>
      <c r="G274" s="33" t="str">
        <f aca="false">IF(A274="","",SUMIFS(Trabalhos!$G$5:$G$504,Trabalhos!$D$5:$D$504,A274))</f>
        <v/>
      </c>
      <c r="H274" s="32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5" t="str">
        <f aca="false">IF(A275="","",COUNTIF(Trabalhos!$D$5:$D$504,A275))</f>
        <v/>
      </c>
      <c r="G275" s="33" t="str">
        <f aca="false">IF(A275="","",SUMIFS(Trabalhos!$G$5:$G$504,Trabalhos!$D$5:$D$504,A275))</f>
        <v/>
      </c>
      <c r="H275" s="32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5" t="str">
        <f aca="false">IF(A276="","",COUNTIF(Trabalhos!$D$5:$D$504,A276))</f>
        <v/>
      </c>
      <c r="G276" s="33" t="str">
        <f aca="false">IF(A276="","",SUMIFS(Trabalhos!$G$5:$G$504,Trabalhos!$D$5:$D$504,A276))</f>
        <v/>
      </c>
      <c r="H276" s="32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5" t="str">
        <f aca="false">IF(A277="","",COUNTIF(Trabalhos!$D$5:$D$504,A277))</f>
        <v/>
      </c>
      <c r="G277" s="33" t="str">
        <f aca="false">IF(A277="","",SUMIFS(Trabalhos!$G$5:$G$504,Trabalhos!$D$5:$D$504,A277))</f>
        <v/>
      </c>
      <c r="H277" s="32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5" t="str">
        <f aca="false">IF(A278="","",COUNTIF(Trabalhos!$D$5:$D$504,A278))</f>
        <v/>
      </c>
      <c r="G278" s="33" t="str">
        <f aca="false">IF(A278="","",SUMIFS(Trabalhos!$G$5:$G$504,Trabalhos!$D$5:$D$504,A278))</f>
        <v/>
      </c>
      <c r="H278" s="32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5" t="str">
        <f aca="false">IF(A279="","",COUNTIF(Trabalhos!$D$5:$D$504,A279))</f>
        <v/>
      </c>
      <c r="G279" s="33" t="str">
        <f aca="false">IF(A279="","",SUMIFS(Trabalhos!$G$5:$G$504,Trabalhos!$D$5:$D$504,A279))</f>
        <v/>
      </c>
      <c r="H279" s="32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5" t="str">
        <f aca="false">IF(A280="","",COUNTIF(Trabalhos!$D$5:$D$504,A280))</f>
        <v/>
      </c>
      <c r="G280" s="33" t="str">
        <f aca="false">IF(A280="","",SUMIFS(Trabalhos!$G$5:$G$504,Trabalhos!$D$5:$D$504,A280))</f>
        <v/>
      </c>
      <c r="H280" s="32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5" t="str">
        <f aca="false">IF(A281="","",COUNTIF(Trabalhos!$D$5:$D$504,A281))</f>
        <v/>
      </c>
      <c r="G281" s="33" t="str">
        <f aca="false">IF(A281="","",SUMIFS(Trabalhos!$G$5:$G$504,Trabalhos!$D$5:$D$504,A281))</f>
        <v/>
      </c>
      <c r="H281" s="32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5" t="str">
        <f aca="false">IF(A282="","",COUNTIF(Trabalhos!$D$5:$D$504,A282))</f>
        <v/>
      </c>
      <c r="G282" s="33" t="str">
        <f aca="false">IF(A282="","",SUMIFS(Trabalhos!$G$5:$G$504,Trabalhos!$D$5:$D$504,A282))</f>
        <v/>
      </c>
      <c r="H282" s="32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5" t="str">
        <f aca="false">IF(A283="","",COUNTIF(Trabalhos!$D$5:$D$504,A283))</f>
        <v/>
      </c>
      <c r="G283" s="33" t="str">
        <f aca="false">IF(A283="","",SUMIFS(Trabalhos!$G$5:$G$504,Trabalhos!$D$5:$D$504,A283))</f>
        <v/>
      </c>
      <c r="H283" s="32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5" t="str">
        <f aca="false">IF(A284="","",COUNTIF(Trabalhos!$D$5:$D$504,A284))</f>
        <v/>
      </c>
      <c r="G284" s="33" t="str">
        <f aca="false">IF(A284="","",SUMIFS(Trabalhos!$G$5:$G$504,Trabalhos!$D$5:$D$504,A284))</f>
        <v/>
      </c>
      <c r="H284" s="32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5" t="str">
        <f aca="false">IF(A285="","",COUNTIF(Trabalhos!$D$5:$D$504,A285))</f>
        <v/>
      </c>
      <c r="G285" s="33" t="str">
        <f aca="false">IF(A285="","",SUMIFS(Trabalhos!$G$5:$G$504,Trabalhos!$D$5:$D$504,A285))</f>
        <v/>
      </c>
      <c r="H285" s="32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5" t="str">
        <f aca="false">IF(A286="","",COUNTIF(Trabalhos!$D$5:$D$504,A286))</f>
        <v/>
      </c>
      <c r="G286" s="33" t="str">
        <f aca="false">IF(A286="","",SUMIFS(Trabalhos!$G$5:$G$504,Trabalhos!$D$5:$D$504,A286))</f>
        <v/>
      </c>
      <c r="H286" s="32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5" t="str">
        <f aca="false">IF(A287="","",COUNTIF(Trabalhos!$D$5:$D$504,A287))</f>
        <v/>
      </c>
      <c r="G287" s="33" t="str">
        <f aca="false">IF(A287="","",SUMIFS(Trabalhos!$G$5:$G$504,Trabalhos!$D$5:$D$504,A287))</f>
        <v/>
      </c>
      <c r="H287" s="32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5" t="str">
        <f aca="false">IF(A288="","",COUNTIF(Trabalhos!$D$5:$D$504,A288))</f>
        <v/>
      </c>
      <c r="G288" s="33" t="str">
        <f aca="false">IF(A288="","",SUMIFS(Trabalhos!$G$5:$G$504,Trabalhos!$D$5:$D$504,A288))</f>
        <v/>
      </c>
      <c r="H288" s="32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5" t="str">
        <f aca="false">IF(A289="","",COUNTIF(Trabalhos!$D$5:$D$504,A289))</f>
        <v/>
      </c>
      <c r="G289" s="33" t="str">
        <f aca="false">IF(A289="","",SUMIFS(Trabalhos!$G$5:$G$504,Trabalhos!$D$5:$D$504,A289))</f>
        <v/>
      </c>
      <c r="H289" s="32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5" t="str">
        <f aca="false">IF(A290="","",COUNTIF(Trabalhos!$D$5:$D$504,A290))</f>
        <v/>
      </c>
      <c r="G290" s="33" t="str">
        <f aca="false">IF(A290="","",SUMIFS(Trabalhos!$G$5:$G$504,Trabalhos!$D$5:$D$504,A290))</f>
        <v/>
      </c>
      <c r="H290" s="32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5" t="str">
        <f aca="false">IF(A291="","",COUNTIF(Trabalhos!$D$5:$D$504,A291))</f>
        <v/>
      </c>
      <c r="G291" s="33" t="str">
        <f aca="false">IF(A291="","",SUMIFS(Trabalhos!$G$5:$G$504,Trabalhos!$D$5:$D$504,A291))</f>
        <v/>
      </c>
      <c r="H291" s="32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5" t="str">
        <f aca="false">IF(A292="","",COUNTIF(Trabalhos!$D$5:$D$504,A292))</f>
        <v/>
      </c>
      <c r="G292" s="33" t="str">
        <f aca="false">IF(A292="","",SUMIFS(Trabalhos!$G$5:$G$504,Trabalhos!$D$5:$D$504,A292))</f>
        <v/>
      </c>
      <c r="H292" s="32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5" t="str">
        <f aca="false">IF(A293="","",COUNTIF(Trabalhos!$D$5:$D$504,A293))</f>
        <v/>
      </c>
      <c r="G293" s="33" t="str">
        <f aca="false">IF(A293="","",SUMIFS(Trabalhos!$G$5:$G$504,Trabalhos!$D$5:$D$504,A293))</f>
        <v/>
      </c>
      <c r="H293" s="32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5" t="str">
        <f aca="false">IF(A294="","",COUNTIF(Trabalhos!$D$5:$D$504,A294))</f>
        <v/>
      </c>
      <c r="G294" s="33" t="str">
        <f aca="false">IF(A294="","",SUMIFS(Trabalhos!$G$5:$G$504,Trabalhos!$D$5:$D$504,A294))</f>
        <v/>
      </c>
      <c r="H294" s="32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5" t="str">
        <f aca="false">IF(A295="","",COUNTIF(Trabalhos!$D$5:$D$504,A295))</f>
        <v/>
      </c>
      <c r="G295" s="33" t="str">
        <f aca="false">IF(A295="","",SUMIFS(Trabalhos!$G$5:$G$504,Trabalhos!$D$5:$D$504,A295))</f>
        <v/>
      </c>
      <c r="H295" s="32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5" t="str">
        <f aca="false">IF(A296="","",COUNTIF(Trabalhos!$D$5:$D$504,A296))</f>
        <v/>
      </c>
      <c r="G296" s="33" t="str">
        <f aca="false">IF(A296="","",SUMIFS(Trabalhos!$G$5:$G$504,Trabalhos!$D$5:$D$504,A296))</f>
        <v/>
      </c>
      <c r="H296" s="32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5" t="str">
        <f aca="false">IF(A297="","",COUNTIF(Trabalhos!$D$5:$D$504,A297))</f>
        <v/>
      </c>
      <c r="G297" s="33" t="str">
        <f aca="false">IF(A297="","",SUMIFS(Trabalhos!$G$5:$G$504,Trabalhos!$D$5:$D$504,A297))</f>
        <v/>
      </c>
      <c r="H297" s="32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5" t="str">
        <f aca="false">IF(A298="","",COUNTIF(Trabalhos!$D$5:$D$504,A298))</f>
        <v/>
      </c>
      <c r="G298" s="33" t="str">
        <f aca="false">IF(A298="","",SUMIFS(Trabalhos!$G$5:$G$504,Trabalhos!$D$5:$D$504,A298))</f>
        <v/>
      </c>
      <c r="H298" s="32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5" t="str">
        <f aca="false">IF(A299="","",COUNTIF(Trabalhos!$D$5:$D$504,A299))</f>
        <v/>
      </c>
      <c r="G299" s="33" t="str">
        <f aca="false">IF(A299="","",SUMIFS(Trabalhos!$G$5:$G$504,Trabalhos!$D$5:$D$504,A299))</f>
        <v/>
      </c>
      <c r="H299" s="32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5" t="str">
        <f aca="false">IF(A300="","",COUNTIF(Trabalhos!$D$5:$D$504,A300))</f>
        <v/>
      </c>
      <c r="G300" s="33" t="str">
        <f aca="false">IF(A300="","",SUMIFS(Trabalhos!$G$5:$G$504,Trabalhos!$D$5:$D$504,A300))</f>
        <v/>
      </c>
      <c r="H300" s="32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5" t="str">
        <f aca="false">IF(A301="","",COUNTIF(Trabalhos!$D$5:$D$504,A301))</f>
        <v/>
      </c>
      <c r="G301" s="33" t="str">
        <f aca="false">IF(A301="","",SUMIFS(Trabalhos!$G$5:$G$504,Trabalhos!$D$5:$D$504,A301))</f>
        <v/>
      </c>
      <c r="H301" s="32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5" t="str">
        <f aca="false">IF(A302="","",COUNTIF(Trabalhos!$D$5:$D$504,A302))</f>
        <v/>
      </c>
      <c r="G302" s="33" t="str">
        <f aca="false">IF(A302="","",SUMIFS(Trabalhos!$G$5:$G$504,Trabalhos!$D$5:$D$504,A302))</f>
        <v/>
      </c>
      <c r="H302" s="32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5" t="str">
        <f aca="false">IF(A303="","",COUNTIF(Trabalhos!$D$5:$D$504,A303))</f>
        <v/>
      </c>
      <c r="G303" s="33" t="str">
        <f aca="false">IF(A303="","",SUMIFS(Trabalhos!$G$5:$G$504,Trabalhos!$D$5:$D$504,A303))</f>
        <v/>
      </c>
      <c r="H303" s="32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5" t="str">
        <f aca="false">IF(A304="","",COUNTIF(Trabalhos!$D$5:$D$504,A304))</f>
        <v/>
      </c>
      <c r="G304" s="33" t="str">
        <f aca="false">IF(A304="","",SUMIFS(Trabalhos!$G$5:$G$504,Trabalhos!$D$5:$D$504,A304))</f>
        <v/>
      </c>
      <c r="H304" s="32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5" t="str">
        <f aca="false">IF(A305="","",COUNTIF(Trabalhos!$D$5:$D$504,A305))</f>
        <v/>
      </c>
      <c r="G305" s="33" t="str">
        <f aca="false">IF(A305="","",SUMIFS(Trabalhos!$G$5:$G$504,Trabalhos!$D$5:$D$504,A305))</f>
        <v/>
      </c>
      <c r="H305" s="32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5" t="str">
        <f aca="false">IF(A306="","",COUNTIF(Trabalhos!$D$5:$D$504,A306))</f>
        <v/>
      </c>
      <c r="G306" s="33" t="str">
        <f aca="false">IF(A306="","",SUMIFS(Trabalhos!$G$5:$G$504,Trabalhos!$D$5:$D$504,A306))</f>
        <v/>
      </c>
      <c r="H306" s="32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5" t="str">
        <f aca="false">IF(A307="","",COUNTIF(Trabalhos!$D$5:$D$504,A307))</f>
        <v/>
      </c>
      <c r="G307" s="33" t="str">
        <f aca="false">IF(A307="","",SUMIFS(Trabalhos!$G$5:$G$504,Trabalhos!$D$5:$D$504,A307))</f>
        <v/>
      </c>
      <c r="H307" s="32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5" t="str">
        <f aca="false">IF(A308="","",COUNTIF(Trabalhos!$D$5:$D$504,A308))</f>
        <v/>
      </c>
      <c r="G308" s="33" t="str">
        <f aca="false">IF(A308="","",SUMIFS(Trabalhos!$G$5:$G$504,Trabalhos!$D$5:$D$504,A308))</f>
        <v/>
      </c>
      <c r="H308" s="32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5" t="str">
        <f aca="false">IF(A309="","",COUNTIF(Trabalhos!$D$5:$D$504,A309))</f>
        <v/>
      </c>
      <c r="G309" s="33" t="str">
        <f aca="false">IF(A309="","",SUMIFS(Trabalhos!$G$5:$G$504,Trabalhos!$D$5:$D$504,A309))</f>
        <v/>
      </c>
      <c r="H309" s="32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5" t="str">
        <f aca="false">IF(A310="","",COUNTIF(Trabalhos!$D$5:$D$504,A310))</f>
        <v/>
      </c>
      <c r="G310" s="33" t="str">
        <f aca="false">IF(A310="","",SUMIFS(Trabalhos!$G$5:$G$504,Trabalhos!$D$5:$D$504,A310))</f>
        <v/>
      </c>
      <c r="H310" s="32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5" t="str">
        <f aca="false">IF(A311="","",COUNTIF(Trabalhos!$D$5:$D$504,A311))</f>
        <v/>
      </c>
      <c r="G311" s="33" t="str">
        <f aca="false">IF(A311="","",SUMIFS(Trabalhos!$G$5:$G$504,Trabalhos!$D$5:$D$504,A311))</f>
        <v/>
      </c>
      <c r="H311" s="32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5" t="str">
        <f aca="false">IF(A312="","",COUNTIF(Trabalhos!$D$5:$D$504,A312))</f>
        <v/>
      </c>
      <c r="G312" s="33" t="str">
        <f aca="false">IF(A312="","",SUMIFS(Trabalhos!$G$5:$G$504,Trabalhos!$D$5:$D$504,A312))</f>
        <v/>
      </c>
      <c r="H312" s="32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5" t="str">
        <f aca="false">IF(A313="","",COUNTIF(Trabalhos!$D$5:$D$504,A313))</f>
        <v/>
      </c>
      <c r="G313" s="33" t="str">
        <f aca="false">IF(A313="","",SUMIFS(Trabalhos!$G$5:$G$504,Trabalhos!$D$5:$D$504,A313))</f>
        <v/>
      </c>
      <c r="H313" s="32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5" t="str">
        <f aca="false">IF(A314="","",COUNTIF(Trabalhos!$D$5:$D$504,A314))</f>
        <v/>
      </c>
      <c r="G314" s="33" t="str">
        <f aca="false">IF(A314="","",SUMIFS(Trabalhos!$G$5:$G$504,Trabalhos!$D$5:$D$504,A314))</f>
        <v/>
      </c>
      <c r="H314" s="32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5" t="str">
        <f aca="false">IF(A315="","",COUNTIF(Trabalhos!$D$5:$D$504,A315))</f>
        <v/>
      </c>
      <c r="G315" s="33" t="str">
        <f aca="false">IF(A315="","",SUMIFS(Trabalhos!$G$5:$G$504,Trabalhos!$D$5:$D$504,A315))</f>
        <v/>
      </c>
      <c r="H315" s="32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5" t="str">
        <f aca="false">IF(A316="","",COUNTIF(Trabalhos!$D$5:$D$504,A316))</f>
        <v/>
      </c>
      <c r="G316" s="33" t="str">
        <f aca="false">IF(A316="","",SUMIFS(Trabalhos!$G$5:$G$504,Trabalhos!$D$5:$D$504,A316))</f>
        <v/>
      </c>
      <c r="H316" s="32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5" t="str">
        <f aca="false">IF(A317="","",COUNTIF(Trabalhos!$D$5:$D$504,A317))</f>
        <v/>
      </c>
      <c r="G317" s="33" t="str">
        <f aca="false">IF(A317="","",SUMIFS(Trabalhos!$G$5:$G$504,Trabalhos!$D$5:$D$504,A317))</f>
        <v/>
      </c>
      <c r="H317" s="32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5" t="str">
        <f aca="false">IF(A318="","",COUNTIF(Trabalhos!$D$5:$D$504,A318))</f>
        <v/>
      </c>
      <c r="G318" s="33" t="str">
        <f aca="false">IF(A318="","",SUMIFS(Trabalhos!$G$5:$G$504,Trabalhos!$D$5:$D$504,A318))</f>
        <v/>
      </c>
      <c r="H318" s="32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5" t="str">
        <f aca="false">IF(A319="","",COUNTIF(Trabalhos!$D$5:$D$504,A319))</f>
        <v/>
      </c>
      <c r="G319" s="33" t="str">
        <f aca="false">IF(A319="","",SUMIFS(Trabalhos!$G$5:$G$504,Trabalhos!$D$5:$D$504,A319))</f>
        <v/>
      </c>
      <c r="H319" s="32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5" t="str">
        <f aca="false">IF(A320="","",COUNTIF(Trabalhos!$D$5:$D$504,A320))</f>
        <v/>
      </c>
      <c r="G320" s="33" t="str">
        <f aca="false">IF(A320="","",SUMIFS(Trabalhos!$G$5:$G$504,Trabalhos!$D$5:$D$504,A320))</f>
        <v/>
      </c>
      <c r="H320" s="32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5" t="str">
        <f aca="false">IF(A321="","",COUNTIF(Trabalhos!$D$5:$D$504,A321))</f>
        <v/>
      </c>
      <c r="G321" s="33" t="str">
        <f aca="false">IF(A321="","",SUMIFS(Trabalhos!$G$5:$G$504,Trabalhos!$D$5:$D$504,A321))</f>
        <v/>
      </c>
      <c r="H321" s="32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5" t="str">
        <f aca="false">IF(A322="","",COUNTIF(Trabalhos!$D$5:$D$504,A322))</f>
        <v/>
      </c>
      <c r="G322" s="33" t="str">
        <f aca="false">IF(A322="","",SUMIFS(Trabalhos!$G$5:$G$504,Trabalhos!$D$5:$D$504,A322))</f>
        <v/>
      </c>
      <c r="H322" s="32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5" t="str">
        <f aca="false">IF(A323="","",COUNTIF(Trabalhos!$D$5:$D$504,A323))</f>
        <v/>
      </c>
      <c r="G323" s="33" t="str">
        <f aca="false">IF(A323="","",SUMIFS(Trabalhos!$G$5:$G$504,Trabalhos!$D$5:$D$504,A323))</f>
        <v/>
      </c>
      <c r="H323" s="32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5" t="str">
        <f aca="false">IF(A324="","",COUNTIF(Trabalhos!$D$5:$D$504,A324))</f>
        <v/>
      </c>
      <c r="G324" s="33" t="str">
        <f aca="false">IF(A324="","",SUMIFS(Trabalhos!$G$5:$G$504,Trabalhos!$D$5:$D$504,A324))</f>
        <v/>
      </c>
      <c r="H324" s="32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5" t="str">
        <f aca="false">IF(A325="","",COUNTIF(Trabalhos!$D$5:$D$504,A325))</f>
        <v/>
      </c>
      <c r="G325" s="33" t="str">
        <f aca="false">IF(A325="","",SUMIFS(Trabalhos!$G$5:$G$504,Trabalhos!$D$5:$D$504,A325))</f>
        <v/>
      </c>
      <c r="H325" s="32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5" t="str">
        <f aca="false">IF(A326="","",COUNTIF(Trabalhos!$D$5:$D$504,A326))</f>
        <v/>
      </c>
      <c r="G326" s="33" t="str">
        <f aca="false">IF(A326="","",SUMIFS(Trabalhos!$G$5:$G$504,Trabalhos!$D$5:$D$504,A326))</f>
        <v/>
      </c>
      <c r="H326" s="32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5" t="str">
        <f aca="false">IF(A327="","",COUNTIF(Trabalhos!$D$5:$D$504,A327))</f>
        <v/>
      </c>
      <c r="G327" s="33" t="str">
        <f aca="false">IF(A327="","",SUMIFS(Trabalhos!$G$5:$G$504,Trabalhos!$D$5:$D$504,A327))</f>
        <v/>
      </c>
      <c r="H327" s="32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5" t="str">
        <f aca="false">IF(A328="","",COUNTIF(Trabalhos!$D$5:$D$504,A328))</f>
        <v/>
      </c>
      <c r="G328" s="33" t="str">
        <f aca="false">IF(A328="","",SUMIFS(Trabalhos!$G$5:$G$504,Trabalhos!$D$5:$D$504,A328))</f>
        <v/>
      </c>
      <c r="H328" s="32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5" t="str">
        <f aca="false">IF(A329="","",COUNTIF(Trabalhos!$D$5:$D$504,A329))</f>
        <v/>
      </c>
      <c r="G329" s="33" t="str">
        <f aca="false">IF(A329="","",SUMIFS(Trabalhos!$G$5:$G$504,Trabalhos!$D$5:$D$504,A329))</f>
        <v/>
      </c>
      <c r="H329" s="32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5" t="str">
        <f aca="false">IF(A330="","",COUNTIF(Trabalhos!$D$5:$D$504,A330))</f>
        <v/>
      </c>
      <c r="G330" s="33" t="str">
        <f aca="false">IF(A330="","",SUMIFS(Trabalhos!$G$5:$G$504,Trabalhos!$D$5:$D$504,A330))</f>
        <v/>
      </c>
      <c r="H330" s="32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5" t="str">
        <f aca="false">IF(A331="","",COUNTIF(Trabalhos!$D$5:$D$504,A331))</f>
        <v/>
      </c>
      <c r="G331" s="33" t="str">
        <f aca="false">IF(A331="","",SUMIFS(Trabalhos!$G$5:$G$504,Trabalhos!$D$5:$D$504,A331))</f>
        <v/>
      </c>
      <c r="H331" s="32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5" t="str">
        <f aca="false">IF(A332="","",COUNTIF(Trabalhos!$D$5:$D$504,A332))</f>
        <v/>
      </c>
      <c r="G332" s="33" t="str">
        <f aca="false">IF(A332="","",SUMIFS(Trabalhos!$G$5:$G$504,Trabalhos!$D$5:$D$504,A332))</f>
        <v/>
      </c>
      <c r="H332" s="32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5" t="str">
        <f aca="false">IF(A333="","",COUNTIF(Trabalhos!$D$5:$D$504,A333))</f>
        <v/>
      </c>
      <c r="G333" s="33" t="str">
        <f aca="false">IF(A333="","",SUMIFS(Trabalhos!$G$5:$G$504,Trabalhos!$D$5:$D$504,A333))</f>
        <v/>
      </c>
      <c r="H333" s="32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5" t="str">
        <f aca="false">IF(A334="","",COUNTIF(Trabalhos!$D$5:$D$504,A334))</f>
        <v/>
      </c>
      <c r="G334" s="33" t="str">
        <f aca="false">IF(A334="","",SUMIFS(Trabalhos!$G$5:$G$504,Trabalhos!$D$5:$D$504,A334))</f>
        <v/>
      </c>
      <c r="H334" s="32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5" t="str">
        <f aca="false">IF(A335="","",COUNTIF(Trabalhos!$D$5:$D$504,A335))</f>
        <v/>
      </c>
      <c r="G335" s="33" t="str">
        <f aca="false">IF(A335="","",SUMIFS(Trabalhos!$G$5:$G$504,Trabalhos!$D$5:$D$504,A335))</f>
        <v/>
      </c>
      <c r="H335" s="32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5" t="str">
        <f aca="false">IF(A336="","",COUNTIF(Trabalhos!$D$5:$D$504,A336))</f>
        <v/>
      </c>
      <c r="G336" s="33" t="str">
        <f aca="false">IF(A336="","",SUMIFS(Trabalhos!$G$5:$G$504,Trabalhos!$D$5:$D$504,A336))</f>
        <v/>
      </c>
      <c r="H336" s="32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5" t="str">
        <f aca="false">IF(A337="","",COUNTIF(Trabalhos!$D$5:$D$504,A337))</f>
        <v/>
      </c>
      <c r="G337" s="33" t="str">
        <f aca="false">IF(A337="","",SUMIFS(Trabalhos!$G$5:$G$504,Trabalhos!$D$5:$D$504,A337))</f>
        <v/>
      </c>
      <c r="H337" s="32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5" t="str">
        <f aca="false">IF(A338="","",COUNTIF(Trabalhos!$D$5:$D$504,A338))</f>
        <v/>
      </c>
      <c r="G338" s="33" t="str">
        <f aca="false">IF(A338="","",SUMIFS(Trabalhos!$G$5:$G$504,Trabalhos!$D$5:$D$504,A338))</f>
        <v/>
      </c>
      <c r="H338" s="32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5" t="str">
        <f aca="false">IF(A339="","",COUNTIF(Trabalhos!$D$5:$D$504,A339))</f>
        <v/>
      </c>
      <c r="G339" s="33" t="str">
        <f aca="false">IF(A339="","",SUMIFS(Trabalhos!$G$5:$G$504,Trabalhos!$D$5:$D$504,A339))</f>
        <v/>
      </c>
      <c r="H339" s="32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5" t="str">
        <f aca="false">IF(A340="","",COUNTIF(Trabalhos!$D$5:$D$504,A340))</f>
        <v/>
      </c>
      <c r="G340" s="33" t="str">
        <f aca="false">IF(A340="","",SUMIFS(Trabalhos!$G$5:$G$504,Trabalhos!$D$5:$D$504,A340))</f>
        <v/>
      </c>
      <c r="H340" s="32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5" t="str">
        <f aca="false">IF(A341="","",COUNTIF(Trabalhos!$D$5:$D$504,A341))</f>
        <v/>
      </c>
      <c r="G341" s="33" t="str">
        <f aca="false">IF(A341="","",SUMIFS(Trabalhos!$G$5:$G$504,Trabalhos!$D$5:$D$504,A341))</f>
        <v/>
      </c>
      <c r="H341" s="32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5" t="str">
        <f aca="false">IF(A342="","",COUNTIF(Trabalhos!$D$5:$D$504,A342))</f>
        <v/>
      </c>
      <c r="G342" s="33" t="str">
        <f aca="false">IF(A342="","",SUMIFS(Trabalhos!$G$5:$G$504,Trabalhos!$D$5:$D$504,A342))</f>
        <v/>
      </c>
      <c r="H342" s="32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5" t="str">
        <f aca="false">IF(A343="","",COUNTIF(Trabalhos!$D$5:$D$504,A343))</f>
        <v/>
      </c>
      <c r="G343" s="33" t="str">
        <f aca="false">IF(A343="","",SUMIFS(Trabalhos!$G$5:$G$504,Trabalhos!$D$5:$D$504,A343))</f>
        <v/>
      </c>
      <c r="H343" s="32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5" t="str">
        <f aca="false">IF(A344="","",COUNTIF(Trabalhos!$D$5:$D$504,A344))</f>
        <v/>
      </c>
      <c r="G344" s="33" t="str">
        <f aca="false">IF(A344="","",SUMIFS(Trabalhos!$G$5:$G$504,Trabalhos!$D$5:$D$504,A344))</f>
        <v/>
      </c>
      <c r="H344" s="32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5" t="str">
        <f aca="false">IF(A345="","",COUNTIF(Trabalhos!$D$5:$D$504,A345))</f>
        <v/>
      </c>
      <c r="G345" s="33" t="str">
        <f aca="false">IF(A345="","",SUMIFS(Trabalhos!$G$5:$G$504,Trabalhos!$D$5:$D$504,A345))</f>
        <v/>
      </c>
      <c r="H345" s="32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5" t="str">
        <f aca="false">IF(A346="","",COUNTIF(Trabalhos!$D$5:$D$504,A346))</f>
        <v/>
      </c>
      <c r="G346" s="33" t="str">
        <f aca="false">IF(A346="","",SUMIFS(Trabalhos!$G$5:$G$504,Trabalhos!$D$5:$D$504,A346))</f>
        <v/>
      </c>
      <c r="H346" s="32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5" t="str">
        <f aca="false">IF(A347="","",COUNTIF(Trabalhos!$D$5:$D$504,A347))</f>
        <v/>
      </c>
      <c r="G347" s="33" t="str">
        <f aca="false">IF(A347="","",SUMIFS(Trabalhos!$G$5:$G$504,Trabalhos!$D$5:$D$504,A347))</f>
        <v/>
      </c>
      <c r="H347" s="32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5" t="str">
        <f aca="false">IF(A348="","",COUNTIF(Trabalhos!$D$5:$D$504,A348))</f>
        <v/>
      </c>
      <c r="G348" s="33" t="str">
        <f aca="false">IF(A348="","",SUMIFS(Trabalhos!$G$5:$G$504,Trabalhos!$D$5:$D$504,A348))</f>
        <v/>
      </c>
      <c r="H348" s="32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5" t="str">
        <f aca="false">IF(A349="","",COUNTIF(Trabalhos!$D$5:$D$504,A349))</f>
        <v/>
      </c>
      <c r="G349" s="33" t="str">
        <f aca="false">IF(A349="","",SUMIFS(Trabalhos!$G$5:$G$504,Trabalhos!$D$5:$D$504,A349))</f>
        <v/>
      </c>
      <c r="H349" s="32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5" t="str">
        <f aca="false">IF(A350="","",COUNTIF(Trabalhos!$D$5:$D$504,A350))</f>
        <v/>
      </c>
      <c r="G350" s="33" t="str">
        <f aca="false">IF(A350="","",SUMIFS(Trabalhos!$G$5:$G$504,Trabalhos!$D$5:$D$504,A350))</f>
        <v/>
      </c>
      <c r="H350" s="32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5" t="str">
        <f aca="false">IF(A351="","",COUNTIF(Trabalhos!$D$5:$D$504,A351))</f>
        <v/>
      </c>
      <c r="G351" s="33" t="str">
        <f aca="false">IF(A351="","",SUMIFS(Trabalhos!$G$5:$G$504,Trabalhos!$D$5:$D$504,A351))</f>
        <v/>
      </c>
      <c r="H351" s="32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5" t="str">
        <f aca="false">IF(A352="","",COUNTIF(Trabalhos!$D$5:$D$504,A352))</f>
        <v/>
      </c>
      <c r="G352" s="33" t="str">
        <f aca="false">IF(A352="","",SUMIFS(Trabalhos!$G$5:$G$504,Trabalhos!$D$5:$D$504,A352))</f>
        <v/>
      </c>
      <c r="H352" s="32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5" t="str">
        <f aca="false">IF(A353="","",COUNTIF(Trabalhos!$D$5:$D$504,A353))</f>
        <v/>
      </c>
      <c r="G353" s="33" t="str">
        <f aca="false">IF(A353="","",SUMIFS(Trabalhos!$G$5:$G$504,Trabalhos!$D$5:$D$504,A353))</f>
        <v/>
      </c>
      <c r="H353" s="32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5" t="str">
        <f aca="false">IF(A354="","",COUNTIF(Trabalhos!$D$5:$D$504,A354))</f>
        <v/>
      </c>
      <c r="G354" s="33" t="str">
        <f aca="false">IF(A354="","",SUMIFS(Trabalhos!$G$5:$G$504,Trabalhos!$D$5:$D$504,A354))</f>
        <v/>
      </c>
      <c r="H354" s="32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5" t="str">
        <f aca="false">IF(A355="","",COUNTIF(Trabalhos!$D$5:$D$504,A355))</f>
        <v/>
      </c>
      <c r="G355" s="33" t="str">
        <f aca="false">IF(A355="","",SUMIFS(Trabalhos!$G$5:$G$504,Trabalhos!$D$5:$D$504,A355))</f>
        <v/>
      </c>
      <c r="H355" s="32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5" t="str">
        <f aca="false">IF(A356="","",COUNTIF(Trabalhos!$D$5:$D$504,A356))</f>
        <v/>
      </c>
      <c r="G356" s="33" t="str">
        <f aca="false">IF(A356="","",SUMIFS(Trabalhos!$G$5:$G$504,Trabalhos!$D$5:$D$504,A356))</f>
        <v/>
      </c>
      <c r="H356" s="32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5" t="str">
        <f aca="false">IF(A357="","",COUNTIF(Trabalhos!$D$5:$D$504,A357))</f>
        <v/>
      </c>
      <c r="G357" s="33" t="str">
        <f aca="false">IF(A357="","",SUMIFS(Trabalhos!$G$5:$G$504,Trabalhos!$D$5:$D$504,A357))</f>
        <v/>
      </c>
      <c r="H357" s="32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5" t="str">
        <f aca="false">IF(A358="","",COUNTIF(Trabalhos!$D$5:$D$504,A358))</f>
        <v/>
      </c>
      <c r="G358" s="33" t="str">
        <f aca="false">IF(A358="","",SUMIFS(Trabalhos!$G$5:$G$504,Trabalhos!$D$5:$D$504,A358))</f>
        <v/>
      </c>
      <c r="H358" s="32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5" t="str">
        <f aca="false">IF(A359="","",COUNTIF(Trabalhos!$D$5:$D$504,A359))</f>
        <v/>
      </c>
      <c r="G359" s="33" t="str">
        <f aca="false">IF(A359="","",SUMIFS(Trabalhos!$G$5:$G$504,Trabalhos!$D$5:$D$504,A359))</f>
        <v/>
      </c>
      <c r="H359" s="32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5" t="str">
        <f aca="false">IF(A360="","",COUNTIF(Trabalhos!$D$5:$D$504,A360))</f>
        <v/>
      </c>
      <c r="G360" s="33" t="str">
        <f aca="false">IF(A360="","",SUMIFS(Trabalhos!$G$5:$G$504,Trabalhos!$D$5:$D$504,A360))</f>
        <v/>
      </c>
      <c r="H360" s="32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5" t="str">
        <f aca="false">IF(A361="","",COUNTIF(Trabalhos!$D$5:$D$504,A361))</f>
        <v/>
      </c>
      <c r="G361" s="33" t="str">
        <f aca="false">IF(A361="","",SUMIFS(Trabalhos!$G$5:$G$504,Trabalhos!$D$5:$D$504,A361))</f>
        <v/>
      </c>
      <c r="H361" s="32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5" t="str">
        <f aca="false">IF(A362="","",COUNTIF(Trabalhos!$D$5:$D$504,A362))</f>
        <v/>
      </c>
      <c r="G362" s="33" t="str">
        <f aca="false">IF(A362="","",SUMIFS(Trabalhos!$G$5:$G$504,Trabalhos!$D$5:$D$504,A362))</f>
        <v/>
      </c>
      <c r="H362" s="32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5" t="str">
        <f aca="false">IF(A363="","",COUNTIF(Trabalhos!$D$5:$D$504,A363))</f>
        <v/>
      </c>
      <c r="G363" s="33" t="str">
        <f aca="false">IF(A363="","",SUMIFS(Trabalhos!$G$5:$G$504,Trabalhos!$D$5:$D$504,A363))</f>
        <v/>
      </c>
      <c r="H363" s="32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5" t="str">
        <f aca="false">IF(A364="","",COUNTIF(Trabalhos!$D$5:$D$504,A364))</f>
        <v/>
      </c>
      <c r="G364" s="33" t="str">
        <f aca="false">IF(A364="","",SUMIFS(Trabalhos!$G$5:$G$504,Trabalhos!$D$5:$D$504,A364))</f>
        <v/>
      </c>
      <c r="H364" s="32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5" t="str">
        <f aca="false">IF(A365="","",COUNTIF(Trabalhos!$D$5:$D$504,A365))</f>
        <v/>
      </c>
      <c r="G365" s="33" t="str">
        <f aca="false">IF(A365="","",SUMIFS(Trabalhos!$G$5:$G$504,Trabalhos!$D$5:$D$504,A365))</f>
        <v/>
      </c>
      <c r="H365" s="32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5" t="str">
        <f aca="false">IF(A366="","",COUNTIF(Trabalhos!$D$5:$D$504,A366))</f>
        <v/>
      </c>
      <c r="G366" s="33" t="str">
        <f aca="false">IF(A366="","",SUMIFS(Trabalhos!$G$5:$G$504,Trabalhos!$D$5:$D$504,A366))</f>
        <v/>
      </c>
      <c r="H366" s="32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5" t="str">
        <f aca="false">IF(A367="","",COUNTIF(Trabalhos!$D$5:$D$504,A367))</f>
        <v/>
      </c>
      <c r="G367" s="33" t="str">
        <f aca="false">IF(A367="","",SUMIFS(Trabalhos!$G$5:$G$504,Trabalhos!$D$5:$D$504,A367))</f>
        <v/>
      </c>
      <c r="H367" s="32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5" t="str">
        <f aca="false">IF(A368="","",COUNTIF(Trabalhos!$D$5:$D$504,A368))</f>
        <v/>
      </c>
      <c r="G368" s="33" t="str">
        <f aca="false">IF(A368="","",SUMIFS(Trabalhos!$G$5:$G$504,Trabalhos!$D$5:$D$504,A368))</f>
        <v/>
      </c>
      <c r="H368" s="32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5" t="str">
        <f aca="false">IF(A369="","",COUNTIF(Trabalhos!$D$5:$D$504,A369))</f>
        <v/>
      </c>
      <c r="G369" s="33" t="str">
        <f aca="false">IF(A369="","",SUMIFS(Trabalhos!$G$5:$G$504,Trabalhos!$D$5:$D$504,A369))</f>
        <v/>
      </c>
      <c r="H369" s="32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5" t="str">
        <f aca="false">IF(A370="","",COUNTIF(Trabalhos!$D$5:$D$504,A370))</f>
        <v/>
      </c>
      <c r="G370" s="33" t="str">
        <f aca="false">IF(A370="","",SUMIFS(Trabalhos!$G$5:$G$504,Trabalhos!$D$5:$D$504,A370))</f>
        <v/>
      </c>
      <c r="H370" s="32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5" t="str">
        <f aca="false">IF(A371="","",COUNTIF(Trabalhos!$D$5:$D$504,A371))</f>
        <v/>
      </c>
      <c r="G371" s="33" t="str">
        <f aca="false">IF(A371="","",SUMIFS(Trabalhos!$G$5:$G$504,Trabalhos!$D$5:$D$504,A371))</f>
        <v/>
      </c>
      <c r="H371" s="32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5" t="str">
        <f aca="false">IF(A372="","",COUNTIF(Trabalhos!$D$5:$D$504,A372))</f>
        <v/>
      </c>
      <c r="G372" s="33" t="str">
        <f aca="false">IF(A372="","",SUMIFS(Trabalhos!$G$5:$G$504,Trabalhos!$D$5:$D$504,A372))</f>
        <v/>
      </c>
      <c r="H372" s="32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5" t="str">
        <f aca="false">IF(A373="","",COUNTIF(Trabalhos!$D$5:$D$504,A373))</f>
        <v/>
      </c>
      <c r="G373" s="33" t="str">
        <f aca="false">IF(A373="","",SUMIFS(Trabalhos!$G$5:$G$504,Trabalhos!$D$5:$D$504,A373))</f>
        <v/>
      </c>
      <c r="H373" s="32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5" t="str">
        <f aca="false">IF(A374="","",COUNTIF(Trabalhos!$D$5:$D$504,A374))</f>
        <v/>
      </c>
      <c r="G374" s="33" t="str">
        <f aca="false">IF(A374="","",SUMIFS(Trabalhos!$G$5:$G$504,Trabalhos!$D$5:$D$504,A374))</f>
        <v/>
      </c>
      <c r="H374" s="32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5" t="str">
        <f aca="false">IF(A375="","",COUNTIF(Trabalhos!$D$5:$D$504,A375))</f>
        <v/>
      </c>
      <c r="G375" s="33" t="str">
        <f aca="false">IF(A375="","",SUMIFS(Trabalhos!$G$5:$G$504,Trabalhos!$D$5:$D$504,A375))</f>
        <v/>
      </c>
      <c r="H375" s="32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5" t="str">
        <f aca="false">IF(A376="","",COUNTIF(Trabalhos!$D$5:$D$504,A376))</f>
        <v/>
      </c>
      <c r="G376" s="33" t="str">
        <f aca="false">IF(A376="","",SUMIFS(Trabalhos!$G$5:$G$504,Trabalhos!$D$5:$D$504,A376))</f>
        <v/>
      </c>
      <c r="H376" s="32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5" t="str">
        <f aca="false">IF(A377="","",COUNTIF(Trabalhos!$D$5:$D$504,A377))</f>
        <v/>
      </c>
      <c r="G377" s="33" t="str">
        <f aca="false">IF(A377="","",SUMIFS(Trabalhos!$G$5:$G$504,Trabalhos!$D$5:$D$504,A377))</f>
        <v/>
      </c>
      <c r="H377" s="32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5" t="str">
        <f aca="false">IF(A378="","",COUNTIF(Trabalhos!$D$5:$D$504,A378))</f>
        <v/>
      </c>
      <c r="G378" s="33" t="str">
        <f aca="false">IF(A378="","",SUMIFS(Trabalhos!$G$5:$G$504,Trabalhos!$D$5:$D$504,A378))</f>
        <v/>
      </c>
      <c r="H378" s="32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5" t="str">
        <f aca="false">IF(A379="","",COUNTIF(Trabalhos!$D$5:$D$504,A379))</f>
        <v/>
      </c>
      <c r="G379" s="33" t="str">
        <f aca="false">IF(A379="","",SUMIFS(Trabalhos!$G$5:$G$504,Trabalhos!$D$5:$D$504,A379))</f>
        <v/>
      </c>
      <c r="H379" s="32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5" t="str">
        <f aca="false">IF(A380="","",COUNTIF(Trabalhos!$D$5:$D$504,A380))</f>
        <v/>
      </c>
      <c r="G380" s="33" t="str">
        <f aca="false">IF(A380="","",SUMIFS(Trabalhos!$G$5:$G$504,Trabalhos!$D$5:$D$504,A380))</f>
        <v/>
      </c>
      <c r="H380" s="32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5" t="str">
        <f aca="false">IF(A381="","",COUNTIF(Trabalhos!$D$5:$D$504,A381))</f>
        <v/>
      </c>
      <c r="G381" s="33" t="str">
        <f aca="false">IF(A381="","",SUMIFS(Trabalhos!$G$5:$G$504,Trabalhos!$D$5:$D$504,A381))</f>
        <v/>
      </c>
      <c r="H381" s="32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5" t="str">
        <f aca="false">IF(A382="","",COUNTIF(Trabalhos!$D$5:$D$504,A382))</f>
        <v/>
      </c>
      <c r="G382" s="33" t="str">
        <f aca="false">IF(A382="","",SUMIFS(Trabalhos!$G$5:$G$504,Trabalhos!$D$5:$D$504,A382))</f>
        <v/>
      </c>
      <c r="H382" s="32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5" t="str">
        <f aca="false">IF(A383="","",COUNTIF(Trabalhos!$D$5:$D$504,A383))</f>
        <v/>
      </c>
      <c r="G383" s="33" t="str">
        <f aca="false">IF(A383="","",SUMIFS(Trabalhos!$G$5:$G$504,Trabalhos!$D$5:$D$504,A383))</f>
        <v/>
      </c>
      <c r="H383" s="32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5" t="str">
        <f aca="false">IF(A384="","",COUNTIF(Trabalhos!$D$5:$D$504,A384))</f>
        <v/>
      </c>
      <c r="G384" s="33" t="str">
        <f aca="false">IF(A384="","",SUMIFS(Trabalhos!$G$5:$G$504,Trabalhos!$D$5:$D$504,A384))</f>
        <v/>
      </c>
      <c r="H384" s="32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5" t="str">
        <f aca="false">IF(A385="","",COUNTIF(Trabalhos!$D$5:$D$504,A385))</f>
        <v/>
      </c>
      <c r="G385" s="33" t="str">
        <f aca="false">IF(A385="","",SUMIFS(Trabalhos!$G$5:$G$504,Trabalhos!$D$5:$D$504,A385))</f>
        <v/>
      </c>
      <c r="H385" s="32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5" t="str">
        <f aca="false">IF(A386="","",COUNTIF(Trabalhos!$D$5:$D$504,A386))</f>
        <v/>
      </c>
      <c r="G386" s="33" t="str">
        <f aca="false">IF(A386="","",SUMIFS(Trabalhos!$G$5:$G$504,Trabalhos!$D$5:$D$504,A386))</f>
        <v/>
      </c>
      <c r="H386" s="32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5" t="str">
        <f aca="false">IF(A387="","",COUNTIF(Trabalhos!$D$5:$D$504,A387))</f>
        <v/>
      </c>
      <c r="G387" s="33" t="str">
        <f aca="false">IF(A387="","",SUMIFS(Trabalhos!$G$5:$G$504,Trabalhos!$D$5:$D$504,A387))</f>
        <v/>
      </c>
      <c r="H387" s="32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5" t="str">
        <f aca="false">IF(A388="","",COUNTIF(Trabalhos!$D$5:$D$504,A388))</f>
        <v/>
      </c>
      <c r="G388" s="33" t="str">
        <f aca="false">IF(A388="","",SUMIFS(Trabalhos!$G$5:$G$504,Trabalhos!$D$5:$D$504,A388))</f>
        <v/>
      </c>
      <c r="H388" s="32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5" t="str">
        <f aca="false">IF(A389="","",COUNTIF(Trabalhos!$D$5:$D$504,A389))</f>
        <v/>
      </c>
      <c r="G389" s="33" t="str">
        <f aca="false">IF(A389="","",SUMIFS(Trabalhos!$G$5:$G$504,Trabalhos!$D$5:$D$504,A389))</f>
        <v/>
      </c>
      <c r="H389" s="32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5" t="str">
        <f aca="false">IF(A390="","",COUNTIF(Trabalhos!$D$5:$D$504,A390))</f>
        <v/>
      </c>
      <c r="G390" s="33" t="str">
        <f aca="false">IF(A390="","",SUMIFS(Trabalhos!$G$5:$G$504,Trabalhos!$D$5:$D$504,A390))</f>
        <v/>
      </c>
      <c r="H390" s="32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5" t="str">
        <f aca="false">IF(A391="","",COUNTIF(Trabalhos!$D$5:$D$504,A391))</f>
        <v/>
      </c>
      <c r="G391" s="33" t="str">
        <f aca="false">IF(A391="","",SUMIFS(Trabalhos!$G$5:$G$504,Trabalhos!$D$5:$D$504,A391))</f>
        <v/>
      </c>
      <c r="H391" s="32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5" t="str">
        <f aca="false">IF(A392="","",COUNTIF(Trabalhos!$D$5:$D$504,A392))</f>
        <v/>
      </c>
      <c r="G392" s="33" t="str">
        <f aca="false">IF(A392="","",SUMIFS(Trabalhos!$G$5:$G$504,Trabalhos!$D$5:$D$504,A392))</f>
        <v/>
      </c>
      <c r="H392" s="32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5" t="str">
        <f aca="false">IF(A393="","",COUNTIF(Trabalhos!$D$5:$D$504,A393))</f>
        <v/>
      </c>
      <c r="G393" s="33" t="str">
        <f aca="false">IF(A393="","",SUMIFS(Trabalhos!$G$5:$G$504,Trabalhos!$D$5:$D$504,A393))</f>
        <v/>
      </c>
      <c r="H393" s="32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5" t="str">
        <f aca="false">IF(A394="","",COUNTIF(Trabalhos!$D$5:$D$504,A394))</f>
        <v/>
      </c>
      <c r="G394" s="33" t="str">
        <f aca="false">IF(A394="","",SUMIFS(Trabalhos!$G$5:$G$504,Trabalhos!$D$5:$D$504,A394))</f>
        <v/>
      </c>
      <c r="H394" s="32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5" t="str">
        <f aca="false">IF(A395="","",COUNTIF(Trabalhos!$D$5:$D$504,A395))</f>
        <v/>
      </c>
      <c r="G395" s="33" t="str">
        <f aca="false">IF(A395="","",SUMIFS(Trabalhos!$G$5:$G$504,Trabalhos!$D$5:$D$504,A395))</f>
        <v/>
      </c>
      <c r="H395" s="32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5" t="str">
        <f aca="false">IF(A396="","",COUNTIF(Trabalhos!$D$5:$D$504,A396))</f>
        <v/>
      </c>
      <c r="G396" s="33" t="str">
        <f aca="false">IF(A396="","",SUMIFS(Trabalhos!$G$5:$G$504,Trabalhos!$D$5:$D$504,A396))</f>
        <v/>
      </c>
      <c r="H396" s="32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5" t="str">
        <f aca="false">IF(A397="","",COUNTIF(Trabalhos!$D$5:$D$504,A397))</f>
        <v/>
      </c>
      <c r="G397" s="33" t="str">
        <f aca="false">IF(A397="","",SUMIFS(Trabalhos!$G$5:$G$504,Trabalhos!$D$5:$D$504,A397))</f>
        <v/>
      </c>
      <c r="H397" s="32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5" t="str">
        <f aca="false">IF(A398="","",COUNTIF(Trabalhos!$D$5:$D$504,A398))</f>
        <v/>
      </c>
      <c r="G398" s="33" t="str">
        <f aca="false">IF(A398="","",SUMIFS(Trabalhos!$G$5:$G$504,Trabalhos!$D$5:$D$504,A398))</f>
        <v/>
      </c>
      <c r="H398" s="32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5" t="str">
        <f aca="false">IF(A399="","",COUNTIF(Trabalhos!$D$5:$D$504,A399))</f>
        <v/>
      </c>
      <c r="G399" s="33" t="str">
        <f aca="false">IF(A399="","",SUMIFS(Trabalhos!$G$5:$G$504,Trabalhos!$D$5:$D$504,A399))</f>
        <v/>
      </c>
      <c r="H399" s="32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5" t="str">
        <f aca="false">IF(A400="","",COUNTIF(Trabalhos!$D$5:$D$504,A400))</f>
        <v/>
      </c>
      <c r="G400" s="33" t="str">
        <f aca="false">IF(A400="","",SUMIFS(Trabalhos!$G$5:$G$504,Trabalhos!$D$5:$D$504,A400))</f>
        <v/>
      </c>
      <c r="H400" s="32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5" t="str">
        <f aca="false">IF(A401="","",COUNTIF(Trabalhos!$D$5:$D$504,A401))</f>
        <v/>
      </c>
      <c r="G401" s="33" t="str">
        <f aca="false">IF(A401="","",SUMIFS(Trabalhos!$G$5:$G$504,Trabalhos!$D$5:$D$504,A401))</f>
        <v/>
      </c>
      <c r="H401" s="32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5" t="str">
        <f aca="false">IF(A402="","",COUNTIF(Trabalhos!$D$5:$D$504,A402))</f>
        <v/>
      </c>
      <c r="G402" s="33" t="str">
        <f aca="false">IF(A402="","",SUMIFS(Trabalhos!$G$5:$G$504,Trabalhos!$D$5:$D$504,A402))</f>
        <v/>
      </c>
      <c r="H402" s="32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5" t="str">
        <f aca="false">IF(A403="","",COUNTIF(Trabalhos!$D$5:$D$504,A403))</f>
        <v/>
      </c>
      <c r="G403" s="33" t="str">
        <f aca="false">IF(A403="","",SUMIFS(Trabalhos!$G$5:$G$504,Trabalhos!$D$5:$D$504,A403))</f>
        <v/>
      </c>
      <c r="H403" s="32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5" t="str">
        <f aca="false">IF(A404="","",COUNTIF(Trabalhos!$D$5:$D$504,A404))</f>
        <v/>
      </c>
      <c r="G404" s="33" t="str">
        <f aca="false">IF(A404="","",SUMIFS(Trabalhos!$G$5:$G$504,Trabalhos!$D$5:$D$504,A404))</f>
        <v/>
      </c>
      <c r="H404" s="32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5" t="str">
        <f aca="false">IF(A405="","",COUNTIF(Trabalhos!$D$5:$D$504,A405))</f>
        <v/>
      </c>
      <c r="G405" s="33" t="str">
        <f aca="false">IF(A405="","",SUMIFS(Trabalhos!$G$5:$G$504,Trabalhos!$D$5:$D$504,A405))</f>
        <v/>
      </c>
      <c r="H405" s="32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5" t="str">
        <f aca="false">IF(A406="","",COUNTIF(Trabalhos!$D$5:$D$504,A406))</f>
        <v/>
      </c>
      <c r="G406" s="33" t="str">
        <f aca="false">IF(A406="","",SUMIFS(Trabalhos!$G$5:$G$504,Trabalhos!$D$5:$D$504,A406))</f>
        <v/>
      </c>
      <c r="H406" s="32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5" t="str">
        <f aca="false">IF(A407="","",COUNTIF(Trabalhos!$D$5:$D$504,A407))</f>
        <v/>
      </c>
      <c r="G407" s="33" t="str">
        <f aca="false">IF(A407="","",SUMIFS(Trabalhos!$G$5:$G$504,Trabalhos!$D$5:$D$504,A407))</f>
        <v/>
      </c>
      <c r="H407" s="32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5" t="str">
        <f aca="false">IF(A408="","",COUNTIF(Trabalhos!$D$5:$D$504,A408))</f>
        <v/>
      </c>
      <c r="G408" s="33" t="str">
        <f aca="false">IF(A408="","",SUMIFS(Trabalhos!$G$5:$G$504,Trabalhos!$D$5:$D$504,A408))</f>
        <v/>
      </c>
      <c r="H408" s="32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5" t="str">
        <f aca="false">IF(A409="","",COUNTIF(Trabalhos!$D$5:$D$504,A409))</f>
        <v/>
      </c>
      <c r="G409" s="33" t="str">
        <f aca="false">IF(A409="","",SUMIFS(Trabalhos!$G$5:$G$504,Trabalhos!$D$5:$D$504,A409))</f>
        <v/>
      </c>
      <c r="H409" s="32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5" t="str">
        <f aca="false">IF(A410="","",COUNTIF(Trabalhos!$D$5:$D$504,A410))</f>
        <v/>
      </c>
      <c r="G410" s="33" t="str">
        <f aca="false">IF(A410="","",SUMIFS(Trabalhos!$G$5:$G$504,Trabalhos!$D$5:$D$504,A410))</f>
        <v/>
      </c>
      <c r="H410" s="32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5" t="str">
        <f aca="false">IF(A411="","",COUNTIF(Trabalhos!$D$5:$D$504,A411))</f>
        <v/>
      </c>
      <c r="G411" s="33" t="str">
        <f aca="false">IF(A411="","",SUMIFS(Trabalhos!$G$5:$G$504,Trabalhos!$D$5:$D$504,A411))</f>
        <v/>
      </c>
      <c r="H411" s="32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5" t="str">
        <f aca="false">IF(A412="","",COUNTIF(Trabalhos!$D$5:$D$504,A412))</f>
        <v/>
      </c>
      <c r="G412" s="33" t="str">
        <f aca="false">IF(A412="","",SUMIFS(Trabalhos!$G$5:$G$504,Trabalhos!$D$5:$D$504,A412))</f>
        <v/>
      </c>
      <c r="H412" s="32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5" t="str">
        <f aca="false">IF(A413="","",COUNTIF(Trabalhos!$D$5:$D$504,A413))</f>
        <v/>
      </c>
      <c r="G413" s="33" t="str">
        <f aca="false">IF(A413="","",SUMIFS(Trabalhos!$G$5:$G$504,Trabalhos!$D$5:$D$504,A413))</f>
        <v/>
      </c>
      <c r="H413" s="32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5" t="str">
        <f aca="false">IF(A414="","",COUNTIF(Trabalhos!$D$5:$D$504,A414))</f>
        <v/>
      </c>
      <c r="G414" s="33" t="str">
        <f aca="false">IF(A414="","",SUMIFS(Trabalhos!$G$5:$G$504,Trabalhos!$D$5:$D$504,A414))</f>
        <v/>
      </c>
      <c r="H414" s="32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5" t="str">
        <f aca="false">IF(A415="","",COUNTIF(Trabalhos!$D$5:$D$504,A415))</f>
        <v/>
      </c>
      <c r="G415" s="33" t="str">
        <f aca="false">IF(A415="","",SUMIFS(Trabalhos!$G$5:$G$504,Trabalhos!$D$5:$D$504,A415))</f>
        <v/>
      </c>
      <c r="H415" s="32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5" t="str">
        <f aca="false">IF(A416="","",COUNTIF(Trabalhos!$D$5:$D$504,A416))</f>
        <v/>
      </c>
      <c r="G416" s="33" t="str">
        <f aca="false">IF(A416="","",SUMIFS(Trabalhos!$G$5:$G$504,Trabalhos!$D$5:$D$504,A416))</f>
        <v/>
      </c>
      <c r="H416" s="32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5" t="str">
        <f aca="false">IF(A417="","",COUNTIF(Trabalhos!$D$5:$D$504,A417))</f>
        <v/>
      </c>
      <c r="G417" s="33" t="str">
        <f aca="false">IF(A417="","",SUMIFS(Trabalhos!$G$5:$G$504,Trabalhos!$D$5:$D$504,A417))</f>
        <v/>
      </c>
      <c r="H417" s="32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5" t="str">
        <f aca="false">IF(A418="","",COUNTIF(Trabalhos!$D$5:$D$504,A418))</f>
        <v/>
      </c>
      <c r="G418" s="33" t="str">
        <f aca="false">IF(A418="","",SUMIFS(Trabalhos!$G$5:$G$504,Trabalhos!$D$5:$D$504,A418))</f>
        <v/>
      </c>
      <c r="H418" s="32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5" t="str">
        <f aca="false">IF(A419="","",COUNTIF(Trabalhos!$D$5:$D$504,A419))</f>
        <v/>
      </c>
      <c r="G419" s="33" t="str">
        <f aca="false">IF(A419="","",SUMIFS(Trabalhos!$G$5:$G$504,Trabalhos!$D$5:$D$504,A419))</f>
        <v/>
      </c>
      <c r="H419" s="32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5" t="str">
        <f aca="false">IF(A420="","",COUNTIF(Trabalhos!$D$5:$D$504,A420))</f>
        <v/>
      </c>
      <c r="G420" s="33" t="str">
        <f aca="false">IF(A420="","",SUMIFS(Trabalhos!$G$5:$G$504,Trabalhos!$D$5:$D$504,A420))</f>
        <v/>
      </c>
      <c r="H420" s="32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5" t="str">
        <f aca="false">IF(A421="","",COUNTIF(Trabalhos!$D$5:$D$504,A421))</f>
        <v/>
      </c>
      <c r="G421" s="33" t="str">
        <f aca="false">IF(A421="","",SUMIFS(Trabalhos!$G$5:$G$504,Trabalhos!$D$5:$D$504,A421))</f>
        <v/>
      </c>
      <c r="H421" s="32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5" t="str">
        <f aca="false">IF(A422="","",COUNTIF(Trabalhos!$D$5:$D$504,A422))</f>
        <v/>
      </c>
      <c r="G422" s="33" t="str">
        <f aca="false">IF(A422="","",SUMIFS(Trabalhos!$G$5:$G$504,Trabalhos!$D$5:$D$504,A422))</f>
        <v/>
      </c>
      <c r="H422" s="32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5" t="str">
        <f aca="false">IF(A423="","",COUNTIF(Trabalhos!$D$5:$D$504,A423))</f>
        <v/>
      </c>
      <c r="G423" s="33" t="str">
        <f aca="false">IF(A423="","",SUMIFS(Trabalhos!$G$5:$G$504,Trabalhos!$D$5:$D$504,A423))</f>
        <v/>
      </c>
      <c r="H423" s="32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5" t="str">
        <f aca="false">IF(A424="","",COUNTIF(Trabalhos!$D$5:$D$504,A424))</f>
        <v/>
      </c>
      <c r="G424" s="33" t="str">
        <f aca="false">IF(A424="","",SUMIFS(Trabalhos!$G$5:$G$504,Trabalhos!$D$5:$D$504,A424))</f>
        <v/>
      </c>
      <c r="H424" s="32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5" t="str">
        <f aca="false">IF(A425="","",COUNTIF(Trabalhos!$D$5:$D$504,A425))</f>
        <v/>
      </c>
      <c r="G425" s="33" t="str">
        <f aca="false">IF(A425="","",SUMIFS(Trabalhos!$G$5:$G$504,Trabalhos!$D$5:$D$504,A425))</f>
        <v/>
      </c>
      <c r="H425" s="32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5" t="str">
        <f aca="false">IF(A426="","",COUNTIF(Trabalhos!$D$5:$D$504,A426))</f>
        <v/>
      </c>
      <c r="G426" s="33" t="str">
        <f aca="false">IF(A426="","",SUMIFS(Trabalhos!$G$5:$G$504,Trabalhos!$D$5:$D$504,A426))</f>
        <v/>
      </c>
      <c r="H426" s="32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5" t="str">
        <f aca="false">IF(A427="","",COUNTIF(Trabalhos!$D$5:$D$504,A427))</f>
        <v/>
      </c>
      <c r="G427" s="33" t="str">
        <f aca="false">IF(A427="","",SUMIFS(Trabalhos!$G$5:$G$504,Trabalhos!$D$5:$D$504,A427))</f>
        <v/>
      </c>
      <c r="H427" s="32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5" t="str">
        <f aca="false">IF(A428="","",COUNTIF(Trabalhos!$D$5:$D$504,A428))</f>
        <v/>
      </c>
      <c r="G428" s="33" t="str">
        <f aca="false">IF(A428="","",SUMIFS(Trabalhos!$G$5:$G$504,Trabalhos!$D$5:$D$504,A428))</f>
        <v/>
      </c>
      <c r="H428" s="32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5" t="str">
        <f aca="false">IF(A429="","",COUNTIF(Trabalhos!$D$5:$D$504,A429))</f>
        <v/>
      </c>
      <c r="G429" s="33" t="str">
        <f aca="false">IF(A429="","",SUMIFS(Trabalhos!$G$5:$G$504,Trabalhos!$D$5:$D$504,A429))</f>
        <v/>
      </c>
      <c r="H429" s="32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5" t="str">
        <f aca="false">IF(A430="","",COUNTIF(Trabalhos!$D$5:$D$504,A430))</f>
        <v/>
      </c>
      <c r="G430" s="33" t="str">
        <f aca="false">IF(A430="","",SUMIFS(Trabalhos!$G$5:$G$504,Trabalhos!$D$5:$D$504,A430))</f>
        <v/>
      </c>
      <c r="H430" s="32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5" t="str">
        <f aca="false">IF(A431="","",COUNTIF(Trabalhos!$D$5:$D$504,A431))</f>
        <v/>
      </c>
      <c r="G431" s="33" t="str">
        <f aca="false">IF(A431="","",SUMIFS(Trabalhos!$G$5:$G$504,Trabalhos!$D$5:$D$504,A431))</f>
        <v/>
      </c>
      <c r="H431" s="32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5" t="str">
        <f aca="false">IF(A432="","",COUNTIF(Trabalhos!$D$5:$D$504,A432))</f>
        <v/>
      </c>
      <c r="G432" s="33" t="str">
        <f aca="false">IF(A432="","",SUMIFS(Trabalhos!$G$5:$G$504,Trabalhos!$D$5:$D$504,A432))</f>
        <v/>
      </c>
      <c r="H432" s="32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5" t="str">
        <f aca="false">IF(A433="","",COUNTIF(Trabalhos!$D$5:$D$504,A433))</f>
        <v/>
      </c>
      <c r="G433" s="33" t="str">
        <f aca="false">IF(A433="","",SUMIFS(Trabalhos!$G$5:$G$504,Trabalhos!$D$5:$D$504,A433))</f>
        <v/>
      </c>
      <c r="H433" s="32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5" t="str">
        <f aca="false">IF(A434="","",COUNTIF(Trabalhos!$D$5:$D$504,A434))</f>
        <v/>
      </c>
      <c r="G434" s="33" t="str">
        <f aca="false">IF(A434="","",SUMIFS(Trabalhos!$G$5:$G$504,Trabalhos!$D$5:$D$504,A434))</f>
        <v/>
      </c>
      <c r="H434" s="32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5" t="str">
        <f aca="false">IF(A435="","",COUNTIF(Trabalhos!$D$5:$D$504,A435))</f>
        <v/>
      </c>
      <c r="G435" s="33" t="str">
        <f aca="false">IF(A435="","",SUMIFS(Trabalhos!$G$5:$G$504,Trabalhos!$D$5:$D$504,A435))</f>
        <v/>
      </c>
      <c r="H435" s="32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5" t="str">
        <f aca="false">IF(A436="","",COUNTIF(Trabalhos!$D$5:$D$504,A436))</f>
        <v/>
      </c>
      <c r="G436" s="33" t="str">
        <f aca="false">IF(A436="","",SUMIFS(Trabalhos!$G$5:$G$504,Trabalhos!$D$5:$D$504,A436))</f>
        <v/>
      </c>
      <c r="H436" s="32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5" t="str">
        <f aca="false">IF(A437="","",COUNTIF(Trabalhos!$D$5:$D$504,A437))</f>
        <v/>
      </c>
      <c r="G437" s="33" t="str">
        <f aca="false">IF(A437="","",SUMIFS(Trabalhos!$G$5:$G$504,Trabalhos!$D$5:$D$504,A437))</f>
        <v/>
      </c>
      <c r="H437" s="32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5" t="str">
        <f aca="false">IF(A438="","",COUNTIF(Trabalhos!$D$5:$D$504,A438))</f>
        <v/>
      </c>
      <c r="G438" s="33" t="str">
        <f aca="false">IF(A438="","",SUMIFS(Trabalhos!$G$5:$G$504,Trabalhos!$D$5:$D$504,A438))</f>
        <v/>
      </c>
      <c r="H438" s="32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5" t="str">
        <f aca="false">IF(A439="","",COUNTIF(Trabalhos!$D$5:$D$504,A439))</f>
        <v/>
      </c>
      <c r="G439" s="33" t="str">
        <f aca="false">IF(A439="","",SUMIFS(Trabalhos!$G$5:$G$504,Trabalhos!$D$5:$D$504,A439))</f>
        <v/>
      </c>
      <c r="H439" s="32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5" t="str">
        <f aca="false">IF(A440="","",COUNTIF(Trabalhos!$D$5:$D$504,A440))</f>
        <v/>
      </c>
      <c r="G440" s="33" t="str">
        <f aca="false">IF(A440="","",SUMIFS(Trabalhos!$G$5:$G$504,Trabalhos!$D$5:$D$504,A440))</f>
        <v/>
      </c>
      <c r="H440" s="32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5" t="str">
        <f aca="false">IF(A441="","",COUNTIF(Trabalhos!$D$5:$D$504,A441))</f>
        <v/>
      </c>
      <c r="G441" s="33" t="str">
        <f aca="false">IF(A441="","",SUMIFS(Trabalhos!$G$5:$G$504,Trabalhos!$D$5:$D$504,A441))</f>
        <v/>
      </c>
      <c r="H441" s="32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5" t="str">
        <f aca="false">IF(A442="","",COUNTIF(Trabalhos!$D$5:$D$504,A442))</f>
        <v/>
      </c>
      <c r="G442" s="33" t="str">
        <f aca="false">IF(A442="","",SUMIFS(Trabalhos!$G$5:$G$504,Trabalhos!$D$5:$D$504,A442))</f>
        <v/>
      </c>
      <c r="H442" s="32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5" t="str">
        <f aca="false">IF(A443="","",COUNTIF(Trabalhos!$D$5:$D$504,A443))</f>
        <v/>
      </c>
      <c r="G443" s="33" t="str">
        <f aca="false">IF(A443="","",SUMIFS(Trabalhos!$G$5:$G$504,Trabalhos!$D$5:$D$504,A443))</f>
        <v/>
      </c>
      <c r="H443" s="32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5" t="str">
        <f aca="false">IF(A444="","",COUNTIF(Trabalhos!$D$5:$D$504,A444))</f>
        <v/>
      </c>
      <c r="G444" s="33" t="str">
        <f aca="false">IF(A444="","",SUMIFS(Trabalhos!$G$5:$G$504,Trabalhos!$D$5:$D$504,A444))</f>
        <v/>
      </c>
      <c r="H444" s="32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5" t="str">
        <f aca="false">IF(A445="","",COUNTIF(Trabalhos!$D$5:$D$504,A445))</f>
        <v/>
      </c>
      <c r="G445" s="33" t="str">
        <f aca="false">IF(A445="","",SUMIFS(Trabalhos!$G$5:$G$504,Trabalhos!$D$5:$D$504,A445))</f>
        <v/>
      </c>
      <c r="H445" s="32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5" t="str">
        <f aca="false">IF(A446="","",COUNTIF(Trabalhos!$D$5:$D$504,A446))</f>
        <v/>
      </c>
      <c r="G446" s="33" t="str">
        <f aca="false">IF(A446="","",SUMIFS(Trabalhos!$G$5:$G$504,Trabalhos!$D$5:$D$504,A446))</f>
        <v/>
      </c>
      <c r="H446" s="32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5" t="str">
        <f aca="false">IF(A447="","",COUNTIF(Trabalhos!$D$5:$D$504,A447))</f>
        <v/>
      </c>
      <c r="G447" s="33" t="str">
        <f aca="false">IF(A447="","",SUMIFS(Trabalhos!$G$5:$G$504,Trabalhos!$D$5:$D$504,A447))</f>
        <v/>
      </c>
      <c r="H447" s="32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5" t="str">
        <f aca="false">IF(A448="","",COUNTIF(Trabalhos!$D$5:$D$504,A448))</f>
        <v/>
      </c>
      <c r="G448" s="33" t="str">
        <f aca="false">IF(A448="","",SUMIFS(Trabalhos!$G$5:$G$504,Trabalhos!$D$5:$D$504,A448))</f>
        <v/>
      </c>
      <c r="H448" s="32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5" t="str">
        <f aca="false">IF(A449="","",COUNTIF(Trabalhos!$D$5:$D$504,A449))</f>
        <v/>
      </c>
      <c r="G449" s="33" t="str">
        <f aca="false">IF(A449="","",SUMIFS(Trabalhos!$G$5:$G$504,Trabalhos!$D$5:$D$504,A449))</f>
        <v/>
      </c>
      <c r="H449" s="32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5" t="str">
        <f aca="false">IF(A450="","",COUNTIF(Trabalhos!$D$5:$D$504,A450))</f>
        <v/>
      </c>
      <c r="G450" s="33" t="str">
        <f aca="false">IF(A450="","",SUMIFS(Trabalhos!$G$5:$G$504,Trabalhos!$D$5:$D$504,A450))</f>
        <v/>
      </c>
      <c r="H450" s="32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5" t="str">
        <f aca="false">IF(A451="","",COUNTIF(Trabalhos!$D$5:$D$504,A451))</f>
        <v/>
      </c>
      <c r="G451" s="33" t="str">
        <f aca="false">IF(A451="","",SUMIFS(Trabalhos!$G$5:$G$504,Trabalhos!$D$5:$D$504,A451))</f>
        <v/>
      </c>
      <c r="H451" s="32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5" t="str">
        <f aca="false">IF(A452="","",COUNTIF(Trabalhos!$D$5:$D$504,A452))</f>
        <v/>
      </c>
      <c r="G452" s="33" t="str">
        <f aca="false">IF(A452="","",SUMIFS(Trabalhos!$G$5:$G$504,Trabalhos!$D$5:$D$504,A452))</f>
        <v/>
      </c>
      <c r="H452" s="32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5" t="str">
        <f aca="false">IF(A453="","",COUNTIF(Trabalhos!$D$5:$D$504,A453))</f>
        <v/>
      </c>
      <c r="G453" s="33" t="str">
        <f aca="false">IF(A453="","",SUMIFS(Trabalhos!$G$5:$G$504,Trabalhos!$D$5:$D$504,A453))</f>
        <v/>
      </c>
      <c r="H453" s="32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5" t="str">
        <f aca="false">IF(A454="","",COUNTIF(Trabalhos!$D$5:$D$504,A454))</f>
        <v/>
      </c>
      <c r="G454" s="33" t="str">
        <f aca="false">IF(A454="","",SUMIFS(Trabalhos!$G$5:$G$504,Trabalhos!$D$5:$D$504,A454))</f>
        <v/>
      </c>
      <c r="H454" s="32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5" t="str">
        <f aca="false">IF(A455="","",COUNTIF(Trabalhos!$D$5:$D$504,A455))</f>
        <v/>
      </c>
      <c r="G455" s="33" t="str">
        <f aca="false">IF(A455="","",SUMIFS(Trabalhos!$G$5:$G$504,Trabalhos!$D$5:$D$504,A455))</f>
        <v/>
      </c>
      <c r="H455" s="32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5" t="str">
        <f aca="false">IF(A456="","",COUNTIF(Trabalhos!$D$5:$D$504,A456))</f>
        <v/>
      </c>
      <c r="G456" s="33" t="str">
        <f aca="false">IF(A456="","",SUMIFS(Trabalhos!$G$5:$G$504,Trabalhos!$D$5:$D$504,A456))</f>
        <v/>
      </c>
      <c r="H456" s="32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5" t="str">
        <f aca="false">IF(A457="","",COUNTIF(Trabalhos!$D$5:$D$504,A457))</f>
        <v/>
      </c>
      <c r="G457" s="33" t="str">
        <f aca="false">IF(A457="","",SUMIFS(Trabalhos!$G$5:$G$504,Trabalhos!$D$5:$D$504,A457))</f>
        <v/>
      </c>
      <c r="H457" s="32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5" t="str">
        <f aca="false">IF(A458="","",COUNTIF(Trabalhos!$D$5:$D$504,A458))</f>
        <v/>
      </c>
      <c r="G458" s="33" t="str">
        <f aca="false">IF(A458="","",SUMIFS(Trabalhos!$G$5:$G$504,Trabalhos!$D$5:$D$504,A458))</f>
        <v/>
      </c>
      <c r="H458" s="32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5" t="str">
        <f aca="false">IF(A459="","",COUNTIF(Trabalhos!$D$5:$D$504,A459))</f>
        <v/>
      </c>
      <c r="G459" s="33" t="str">
        <f aca="false">IF(A459="","",SUMIFS(Trabalhos!$G$5:$G$504,Trabalhos!$D$5:$D$504,A459))</f>
        <v/>
      </c>
      <c r="H459" s="32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5" t="str">
        <f aca="false">IF(A460="","",COUNTIF(Trabalhos!$D$5:$D$504,A460))</f>
        <v/>
      </c>
      <c r="G460" s="33" t="str">
        <f aca="false">IF(A460="","",SUMIFS(Trabalhos!$G$5:$G$504,Trabalhos!$D$5:$D$504,A460))</f>
        <v/>
      </c>
      <c r="H460" s="32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5" t="str">
        <f aca="false">IF(A461="","",COUNTIF(Trabalhos!$D$5:$D$504,A461))</f>
        <v/>
      </c>
      <c r="G461" s="33" t="str">
        <f aca="false">IF(A461="","",SUMIFS(Trabalhos!$G$5:$G$504,Trabalhos!$D$5:$D$504,A461))</f>
        <v/>
      </c>
      <c r="H461" s="32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5" t="str">
        <f aca="false">IF(A462="","",COUNTIF(Trabalhos!$D$5:$D$504,A462))</f>
        <v/>
      </c>
      <c r="G462" s="33" t="str">
        <f aca="false">IF(A462="","",SUMIFS(Trabalhos!$G$5:$G$504,Trabalhos!$D$5:$D$504,A462))</f>
        <v/>
      </c>
      <c r="H462" s="32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5" t="str">
        <f aca="false">IF(A463="","",COUNTIF(Trabalhos!$D$5:$D$504,A463))</f>
        <v/>
      </c>
      <c r="G463" s="33" t="str">
        <f aca="false">IF(A463="","",SUMIFS(Trabalhos!$G$5:$G$504,Trabalhos!$D$5:$D$504,A463))</f>
        <v/>
      </c>
      <c r="H463" s="32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5" t="str">
        <f aca="false">IF(A464="","",COUNTIF(Trabalhos!$D$5:$D$504,A464))</f>
        <v/>
      </c>
      <c r="G464" s="33" t="str">
        <f aca="false">IF(A464="","",SUMIFS(Trabalhos!$G$5:$G$504,Trabalhos!$D$5:$D$504,A464))</f>
        <v/>
      </c>
      <c r="H464" s="32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5" t="str">
        <f aca="false">IF(A465="","",COUNTIF(Trabalhos!$D$5:$D$504,A465))</f>
        <v/>
      </c>
      <c r="G465" s="33" t="str">
        <f aca="false">IF(A465="","",SUMIFS(Trabalhos!$G$5:$G$504,Trabalhos!$D$5:$D$504,A465))</f>
        <v/>
      </c>
      <c r="H465" s="32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5" t="str">
        <f aca="false">IF(A466="","",COUNTIF(Trabalhos!$D$5:$D$504,A466))</f>
        <v/>
      </c>
      <c r="G466" s="33" t="str">
        <f aca="false">IF(A466="","",SUMIFS(Trabalhos!$G$5:$G$504,Trabalhos!$D$5:$D$504,A466))</f>
        <v/>
      </c>
      <c r="H466" s="32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5" t="str">
        <f aca="false">IF(A467="","",COUNTIF(Trabalhos!$D$5:$D$504,A467))</f>
        <v/>
      </c>
      <c r="G467" s="33" t="str">
        <f aca="false">IF(A467="","",SUMIFS(Trabalhos!$G$5:$G$504,Trabalhos!$D$5:$D$504,A467))</f>
        <v/>
      </c>
      <c r="H467" s="32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5" t="str">
        <f aca="false">IF(A468="","",COUNTIF(Trabalhos!$D$5:$D$504,A468))</f>
        <v/>
      </c>
      <c r="G468" s="33" t="str">
        <f aca="false">IF(A468="","",SUMIFS(Trabalhos!$G$5:$G$504,Trabalhos!$D$5:$D$504,A468))</f>
        <v/>
      </c>
      <c r="H468" s="32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5" t="str">
        <f aca="false">IF(A469="","",COUNTIF(Trabalhos!$D$5:$D$504,A469))</f>
        <v/>
      </c>
      <c r="G469" s="33" t="str">
        <f aca="false">IF(A469="","",SUMIFS(Trabalhos!$G$5:$G$504,Trabalhos!$D$5:$D$504,A469))</f>
        <v/>
      </c>
      <c r="H469" s="32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5" t="str">
        <f aca="false">IF(A470="","",COUNTIF(Trabalhos!$D$5:$D$504,A470))</f>
        <v/>
      </c>
      <c r="G470" s="33" t="str">
        <f aca="false">IF(A470="","",SUMIFS(Trabalhos!$G$5:$G$504,Trabalhos!$D$5:$D$504,A470))</f>
        <v/>
      </c>
      <c r="H470" s="32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5" t="str">
        <f aca="false">IF(A471="","",COUNTIF(Trabalhos!$D$5:$D$504,A471))</f>
        <v/>
      </c>
      <c r="G471" s="33" t="str">
        <f aca="false">IF(A471="","",SUMIFS(Trabalhos!$G$5:$G$504,Trabalhos!$D$5:$D$504,A471))</f>
        <v/>
      </c>
      <c r="H471" s="32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5" t="str">
        <f aca="false">IF(A472="","",COUNTIF(Trabalhos!$D$5:$D$504,A472))</f>
        <v/>
      </c>
      <c r="G472" s="33" t="str">
        <f aca="false">IF(A472="","",SUMIFS(Trabalhos!$G$5:$G$504,Trabalhos!$D$5:$D$504,A472))</f>
        <v/>
      </c>
      <c r="H472" s="32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5" t="str">
        <f aca="false">IF(A473="","",COUNTIF(Trabalhos!$D$5:$D$504,A473))</f>
        <v/>
      </c>
      <c r="G473" s="33" t="str">
        <f aca="false">IF(A473="","",SUMIFS(Trabalhos!$G$5:$G$504,Trabalhos!$D$5:$D$504,A473))</f>
        <v/>
      </c>
      <c r="H473" s="32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5" t="str">
        <f aca="false">IF(A474="","",COUNTIF(Trabalhos!$D$5:$D$504,A474))</f>
        <v/>
      </c>
      <c r="G474" s="33" t="str">
        <f aca="false">IF(A474="","",SUMIFS(Trabalhos!$G$5:$G$504,Trabalhos!$D$5:$D$504,A474))</f>
        <v/>
      </c>
      <c r="H474" s="32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5" t="str">
        <f aca="false">IF(A475="","",COUNTIF(Trabalhos!$D$5:$D$504,A475))</f>
        <v/>
      </c>
      <c r="G475" s="33" t="str">
        <f aca="false">IF(A475="","",SUMIFS(Trabalhos!$G$5:$G$504,Trabalhos!$D$5:$D$504,A475))</f>
        <v/>
      </c>
      <c r="H475" s="32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5" t="str">
        <f aca="false">IF(A476="","",COUNTIF(Trabalhos!$D$5:$D$504,A476))</f>
        <v/>
      </c>
      <c r="G476" s="33" t="str">
        <f aca="false">IF(A476="","",SUMIFS(Trabalhos!$G$5:$G$504,Trabalhos!$D$5:$D$504,A476))</f>
        <v/>
      </c>
      <c r="H476" s="32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5" t="str">
        <f aca="false">IF(A477="","",COUNTIF(Trabalhos!$D$5:$D$504,A477))</f>
        <v/>
      </c>
      <c r="G477" s="33" t="str">
        <f aca="false">IF(A477="","",SUMIFS(Trabalhos!$G$5:$G$504,Trabalhos!$D$5:$D$504,A477))</f>
        <v/>
      </c>
      <c r="H477" s="32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5" t="str">
        <f aca="false">IF(A478="","",COUNTIF(Trabalhos!$D$5:$D$504,A478))</f>
        <v/>
      </c>
      <c r="G478" s="33" t="str">
        <f aca="false">IF(A478="","",SUMIFS(Trabalhos!$G$5:$G$504,Trabalhos!$D$5:$D$504,A478))</f>
        <v/>
      </c>
      <c r="H478" s="32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5" t="str">
        <f aca="false">IF(A479="","",COUNTIF(Trabalhos!$D$5:$D$504,A479))</f>
        <v/>
      </c>
      <c r="G479" s="33" t="str">
        <f aca="false">IF(A479="","",SUMIFS(Trabalhos!$G$5:$G$504,Trabalhos!$D$5:$D$504,A479))</f>
        <v/>
      </c>
      <c r="H479" s="32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5" t="str">
        <f aca="false">IF(A480="","",COUNTIF(Trabalhos!$D$5:$D$504,A480))</f>
        <v/>
      </c>
      <c r="G480" s="33" t="str">
        <f aca="false">IF(A480="","",SUMIFS(Trabalhos!$G$5:$G$504,Trabalhos!$D$5:$D$504,A480))</f>
        <v/>
      </c>
      <c r="H480" s="32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5" t="str">
        <f aca="false">IF(A481="","",COUNTIF(Trabalhos!$D$5:$D$504,A481))</f>
        <v/>
      </c>
      <c r="G481" s="33" t="str">
        <f aca="false">IF(A481="","",SUMIFS(Trabalhos!$G$5:$G$504,Trabalhos!$D$5:$D$504,A481))</f>
        <v/>
      </c>
      <c r="H481" s="32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5" t="str">
        <f aca="false">IF(A482="","",COUNTIF(Trabalhos!$D$5:$D$504,A482))</f>
        <v/>
      </c>
      <c r="G482" s="33" t="str">
        <f aca="false">IF(A482="","",SUMIFS(Trabalhos!$G$5:$G$504,Trabalhos!$D$5:$D$504,A482))</f>
        <v/>
      </c>
      <c r="H482" s="32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5" t="str">
        <f aca="false">IF(A483="","",COUNTIF(Trabalhos!$D$5:$D$504,A483))</f>
        <v/>
      </c>
      <c r="G483" s="33" t="str">
        <f aca="false">IF(A483="","",SUMIFS(Trabalhos!$G$5:$G$504,Trabalhos!$D$5:$D$504,A483))</f>
        <v/>
      </c>
      <c r="H483" s="32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5" t="str">
        <f aca="false">IF(A484="","",COUNTIF(Trabalhos!$D$5:$D$504,A484))</f>
        <v/>
      </c>
      <c r="G484" s="33" t="str">
        <f aca="false">IF(A484="","",SUMIFS(Trabalhos!$G$5:$G$504,Trabalhos!$D$5:$D$504,A484))</f>
        <v/>
      </c>
      <c r="H484" s="32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5" t="str">
        <f aca="false">IF(A485="","",COUNTIF(Trabalhos!$D$5:$D$504,A485))</f>
        <v/>
      </c>
      <c r="G485" s="33" t="str">
        <f aca="false">IF(A485="","",SUMIFS(Trabalhos!$G$5:$G$504,Trabalhos!$D$5:$D$504,A485))</f>
        <v/>
      </c>
      <c r="H485" s="32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5" t="str">
        <f aca="false">IF(A486="","",COUNTIF(Trabalhos!$D$5:$D$504,A486))</f>
        <v/>
      </c>
      <c r="G486" s="33" t="str">
        <f aca="false">IF(A486="","",SUMIFS(Trabalhos!$G$5:$G$504,Trabalhos!$D$5:$D$504,A486))</f>
        <v/>
      </c>
      <c r="H486" s="32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5" t="str">
        <f aca="false">IF(A487="","",COUNTIF(Trabalhos!$D$5:$D$504,A487))</f>
        <v/>
      </c>
      <c r="G487" s="33" t="str">
        <f aca="false">IF(A487="","",SUMIFS(Trabalhos!$G$5:$G$504,Trabalhos!$D$5:$D$504,A487))</f>
        <v/>
      </c>
      <c r="H487" s="32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5" t="str">
        <f aca="false">IF(A488="","",COUNTIF(Trabalhos!$D$5:$D$504,A488))</f>
        <v/>
      </c>
      <c r="G488" s="33" t="str">
        <f aca="false">IF(A488="","",SUMIFS(Trabalhos!$G$5:$G$504,Trabalhos!$D$5:$D$504,A488))</f>
        <v/>
      </c>
      <c r="H488" s="32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5" t="str">
        <f aca="false">IF(A489="","",COUNTIF(Trabalhos!$D$5:$D$504,A489))</f>
        <v/>
      </c>
      <c r="G489" s="33" t="str">
        <f aca="false">IF(A489="","",SUMIFS(Trabalhos!$G$5:$G$504,Trabalhos!$D$5:$D$504,A489))</f>
        <v/>
      </c>
      <c r="H489" s="32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5" t="str">
        <f aca="false">IF(A490="","",COUNTIF(Trabalhos!$D$5:$D$504,A490))</f>
        <v/>
      </c>
      <c r="G490" s="33" t="str">
        <f aca="false">IF(A490="","",SUMIFS(Trabalhos!$G$5:$G$504,Trabalhos!$D$5:$D$504,A490))</f>
        <v/>
      </c>
      <c r="H490" s="32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5" t="str">
        <f aca="false">IF(A491="","",COUNTIF(Trabalhos!$D$5:$D$504,A491))</f>
        <v/>
      </c>
      <c r="G491" s="33" t="str">
        <f aca="false">IF(A491="","",SUMIFS(Trabalhos!$G$5:$G$504,Trabalhos!$D$5:$D$504,A491))</f>
        <v/>
      </c>
      <c r="H491" s="32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5" t="str">
        <f aca="false">IF(A492="","",COUNTIF(Trabalhos!$D$5:$D$504,A492))</f>
        <v/>
      </c>
      <c r="G492" s="33" t="str">
        <f aca="false">IF(A492="","",SUMIFS(Trabalhos!$G$5:$G$504,Trabalhos!$D$5:$D$504,A492))</f>
        <v/>
      </c>
      <c r="H492" s="32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5" t="str">
        <f aca="false">IF(A493="","",COUNTIF(Trabalhos!$D$5:$D$504,A493))</f>
        <v/>
      </c>
      <c r="G493" s="33" t="str">
        <f aca="false">IF(A493="","",SUMIFS(Trabalhos!$G$5:$G$504,Trabalhos!$D$5:$D$504,A493))</f>
        <v/>
      </c>
      <c r="H493" s="32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5" t="str">
        <f aca="false">IF(A494="","",COUNTIF(Trabalhos!$D$5:$D$504,A494))</f>
        <v/>
      </c>
      <c r="G494" s="33" t="str">
        <f aca="false">IF(A494="","",SUMIFS(Trabalhos!$G$5:$G$504,Trabalhos!$D$5:$D$504,A494))</f>
        <v/>
      </c>
      <c r="H494" s="32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5" t="str">
        <f aca="false">IF(A495="","",COUNTIF(Trabalhos!$D$5:$D$504,A495))</f>
        <v/>
      </c>
      <c r="G495" s="33" t="str">
        <f aca="false">IF(A495="","",SUMIFS(Trabalhos!$G$5:$G$504,Trabalhos!$D$5:$D$504,A495))</f>
        <v/>
      </c>
      <c r="H495" s="32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5" t="str">
        <f aca="false">IF(A496="","",COUNTIF(Trabalhos!$D$5:$D$504,A496))</f>
        <v/>
      </c>
      <c r="G496" s="33" t="str">
        <f aca="false">IF(A496="","",SUMIFS(Trabalhos!$G$5:$G$504,Trabalhos!$D$5:$D$504,A496))</f>
        <v/>
      </c>
      <c r="H496" s="32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5" t="str">
        <f aca="false">IF(A497="","",COUNTIF(Trabalhos!$D$5:$D$504,A497))</f>
        <v/>
      </c>
      <c r="G497" s="33" t="str">
        <f aca="false">IF(A497="","",SUMIFS(Trabalhos!$G$5:$G$504,Trabalhos!$D$5:$D$504,A497))</f>
        <v/>
      </c>
      <c r="H497" s="32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5" t="str">
        <f aca="false">IF(A498="","",COUNTIF(Trabalhos!$D$5:$D$504,A498))</f>
        <v/>
      </c>
      <c r="G498" s="33" t="str">
        <f aca="false">IF(A498="","",SUMIFS(Trabalhos!$G$5:$G$504,Trabalhos!$D$5:$D$504,A498))</f>
        <v/>
      </c>
      <c r="H498" s="32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5" t="str">
        <f aca="false">IF(A499="","",COUNTIF(Trabalhos!$D$5:$D$504,A499))</f>
        <v/>
      </c>
      <c r="G499" s="33" t="str">
        <f aca="false">IF(A499="","",SUMIFS(Trabalhos!$G$5:$G$504,Trabalhos!$D$5:$D$504,A499))</f>
        <v/>
      </c>
      <c r="H499" s="32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5" t="str">
        <f aca="false">IF(A500="","",COUNTIF(Trabalhos!$D$5:$D$504,A500))</f>
        <v/>
      </c>
      <c r="G500" s="33" t="str">
        <f aca="false">IF(A500="","",SUMIFS(Trabalhos!$G$5:$G$504,Trabalhos!$D$5:$D$504,A500))</f>
        <v/>
      </c>
      <c r="H500" s="32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5" t="str">
        <f aca="false">IF(A501="","",COUNTIF(Trabalhos!$D$5:$D$504,A501))</f>
        <v/>
      </c>
      <c r="G501" s="33" t="str">
        <f aca="false">IF(A501="","",SUMIFS(Trabalhos!$G$5:$G$504,Trabalhos!$D$5:$D$504,A501))</f>
        <v/>
      </c>
      <c r="H501" s="32"/>
    </row>
    <row r="502" customFormat="false" ht="15" hidden="false" customHeight="false" outlineLevel="0" collapsed="false">
      <c r="A502" s="32"/>
      <c r="B502" s="32"/>
      <c r="C502" s="32"/>
      <c r="D502" s="32"/>
      <c r="E502" s="32"/>
      <c r="F502" s="35" t="str">
        <f aca="false">IF(A502="","",COUNTIF(Trabalhos!$D$5:$D$504,A502))</f>
        <v/>
      </c>
      <c r="G502" s="33" t="str">
        <f aca="false">IF(A502="","",SUMIFS(Trabalhos!$G$5:$G$504,Trabalhos!$D$5:$D$504,A502))</f>
        <v/>
      </c>
      <c r="H502" s="32"/>
    </row>
    <row r="503" customFormat="false" ht="15" hidden="false" customHeight="false" outlineLevel="0" collapsed="false">
      <c r="A503" s="32"/>
      <c r="B503" s="32"/>
      <c r="C503" s="32"/>
      <c r="D503" s="32"/>
      <c r="E503" s="32"/>
      <c r="F503" s="35" t="str">
        <f aca="false">IF(A503="","",COUNTIF(Trabalhos!$D$5:$D$504,A503))</f>
        <v/>
      </c>
      <c r="G503" s="33" t="str">
        <f aca="false">IF(A503="","",SUMIFS(Trabalhos!$G$5:$G$504,Trabalhos!$D$5:$D$504,A503))</f>
        <v/>
      </c>
      <c r="H503" s="32"/>
    </row>
    <row r="504" customFormat="false" ht="15" hidden="false" customHeight="false" outlineLevel="0" collapsed="false">
      <c r="A504" s="32"/>
      <c r="B504" s="32"/>
      <c r="C504" s="32"/>
      <c r="D504" s="32"/>
      <c r="E504" s="32"/>
      <c r="F504" s="35" t="str">
        <f aca="false">IF(A504="","",COUNTIF(Trabalhos!$D$5:$D$504,A504))</f>
        <v/>
      </c>
      <c r="G504" s="33" t="str">
        <f aca="false">IF(A504="","",SUMIFS(Trabalhos!$G$5:$G$504,Trabalhos!$D$5:$D$504,A504))</f>
        <v/>
      </c>
      <c r="H504" s="32"/>
    </row>
  </sheetData>
  <dataValidations count="1">
    <dataValidation allowBlank="true" errorStyle="stop" operator="between" showDropDown="false" showErrorMessage="false" showInputMessage="false" sqref="E5:E504" type="list">
      <formula1>Listas!$F$5:$F$30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1.5" hidden="false" customHeight="true" outlineLevel="0" collapsed="false">
      <c r="A4" s="10" t="s">
        <v>94</v>
      </c>
      <c r="B4" s="10" t="s">
        <v>159</v>
      </c>
      <c r="C4" s="10" t="s">
        <v>160</v>
      </c>
      <c r="D4" s="10" t="s">
        <v>161</v>
      </c>
      <c r="E4" s="10" t="s">
        <v>162</v>
      </c>
      <c r="F4" s="10" t="s">
        <v>163</v>
      </c>
      <c r="G4" s="10" t="s">
        <v>106</v>
      </c>
    </row>
    <row r="5" customFormat="false" ht="15" hidden="false" customHeight="false" outlineLevel="0" collapsed="false">
      <c r="A5" s="27" t="n">
        <v>46095</v>
      </c>
      <c r="B5" s="32" t="s">
        <v>108</v>
      </c>
      <c r="C5" s="32" t="s">
        <v>164</v>
      </c>
      <c r="D5" s="32" t="s">
        <v>165</v>
      </c>
      <c r="E5" s="31" t="n">
        <v>450</v>
      </c>
      <c r="F5" s="32" t="s">
        <v>166</v>
      </c>
      <c r="G5" s="32" t="s">
        <v>112</v>
      </c>
    </row>
    <row r="6" customFormat="false" ht="15" hidden="false" customHeight="false" outlineLevel="0" collapsed="false">
      <c r="A6" s="27" t="n">
        <v>46095</v>
      </c>
      <c r="B6" s="32" t="s">
        <v>108</v>
      </c>
      <c r="C6" s="32" t="s">
        <v>167</v>
      </c>
      <c r="D6" s="32" t="s">
        <v>168</v>
      </c>
      <c r="E6" s="31" t="n">
        <v>200</v>
      </c>
      <c r="F6" s="32" t="s">
        <v>166</v>
      </c>
      <c r="G6" s="32" t="s">
        <v>112</v>
      </c>
    </row>
    <row r="7" customFormat="false" ht="15" hidden="false" customHeight="false" outlineLevel="0" collapsed="false">
      <c r="A7" s="27" t="n">
        <v>46193</v>
      </c>
      <c r="B7" s="32" t="s">
        <v>113</v>
      </c>
      <c r="C7" s="32" t="s">
        <v>169</v>
      </c>
      <c r="D7" s="32" t="s">
        <v>170</v>
      </c>
      <c r="E7" s="31" t="n">
        <v>250</v>
      </c>
      <c r="F7" s="32" t="s">
        <v>166</v>
      </c>
      <c r="G7" s="32" t="s">
        <v>112</v>
      </c>
    </row>
    <row r="8" customFormat="false" ht="15" hidden="false" customHeight="false" outlineLevel="0" collapsed="false">
      <c r="A8" s="27" t="n">
        <v>46361</v>
      </c>
      <c r="B8" s="32" t="s">
        <v>124</v>
      </c>
      <c r="C8" s="32" t="s">
        <v>167</v>
      </c>
      <c r="D8" s="32" t="s">
        <v>168</v>
      </c>
      <c r="E8" s="31" t="n">
        <v>250</v>
      </c>
      <c r="F8" s="32" t="s">
        <v>171</v>
      </c>
      <c r="G8" s="32" t="s">
        <v>112</v>
      </c>
    </row>
    <row r="9" customFormat="false" ht="15" hidden="false" customHeight="false" outlineLevel="0" collapsed="false">
      <c r="A9" s="27"/>
      <c r="B9" s="32"/>
      <c r="C9" s="32"/>
      <c r="D9" s="32"/>
      <c r="E9" s="31"/>
      <c r="F9" s="32"/>
      <c r="G9" s="32"/>
    </row>
    <row r="10" customFormat="false" ht="15" hidden="false" customHeight="false" outlineLevel="0" collapsed="false">
      <c r="A10" s="27"/>
      <c r="B10" s="32"/>
      <c r="C10" s="32"/>
      <c r="D10" s="32"/>
      <c r="E10" s="31"/>
      <c r="F10" s="32"/>
      <c r="G10" s="32"/>
    </row>
    <row r="11" customFormat="false" ht="15" hidden="false" customHeight="false" outlineLevel="0" collapsed="false">
      <c r="A11" s="27"/>
      <c r="B11" s="32"/>
      <c r="C11" s="32"/>
      <c r="D11" s="32"/>
      <c r="E11" s="31"/>
      <c r="F11" s="32"/>
      <c r="G11" s="32"/>
    </row>
    <row r="12" customFormat="false" ht="15" hidden="false" customHeight="false" outlineLevel="0" collapsed="false">
      <c r="A12" s="27"/>
      <c r="B12" s="32"/>
      <c r="C12" s="32"/>
      <c r="D12" s="32"/>
      <c r="E12" s="31"/>
      <c r="F12" s="32"/>
      <c r="G12" s="32"/>
    </row>
    <row r="13" customFormat="false" ht="15" hidden="false" customHeight="false" outlineLevel="0" collapsed="false">
      <c r="A13" s="27"/>
      <c r="B13" s="32"/>
      <c r="C13" s="32"/>
      <c r="D13" s="32"/>
      <c r="E13" s="31"/>
      <c r="F13" s="32"/>
      <c r="G13" s="32"/>
    </row>
    <row r="14" customFormat="false" ht="15" hidden="false" customHeight="false" outlineLevel="0" collapsed="false">
      <c r="A14" s="27"/>
      <c r="B14" s="32"/>
      <c r="C14" s="32"/>
      <c r="D14" s="32"/>
      <c r="E14" s="31"/>
      <c r="F14" s="32"/>
      <c r="G14" s="32"/>
    </row>
    <row r="15" customFormat="false" ht="15" hidden="false" customHeight="false" outlineLevel="0" collapsed="false">
      <c r="A15" s="27"/>
      <c r="B15" s="32"/>
      <c r="C15" s="32"/>
      <c r="D15" s="32"/>
      <c r="E15" s="31"/>
      <c r="F15" s="32"/>
      <c r="G15" s="32"/>
    </row>
    <row r="16" customFormat="false" ht="15" hidden="false" customHeight="false" outlineLevel="0" collapsed="false">
      <c r="A16" s="27"/>
      <c r="B16" s="32"/>
      <c r="C16" s="32"/>
      <c r="D16" s="32"/>
      <c r="E16" s="31"/>
      <c r="F16" s="32"/>
      <c r="G16" s="32"/>
    </row>
    <row r="17" customFormat="false" ht="15" hidden="false" customHeight="false" outlineLevel="0" collapsed="false">
      <c r="A17" s="27"/>
      <c r="B17" s="32"/>
      <c r="C17" s="32"/>
      <c r="D17" s="32"/>
      <c r="E17" s="31"/>
      <c r="F17" s="32"/>
      <c r="G17" s="32"/>
    </row>
    <row r="18" customFormat="false" ht="15" hidden="false" customHeight="false" outlineLevel="0" collapsed="false">
      <c r="A18" s="27"/>
      <c r="B18" s="32"/>
      <c r="C18" s="32"/>
      <c r="D18" s="32"/>
      <c r="E18" s="31"/>
      <c r="F18" s="32"/>
      <c r="G18" s="32"/>
    </row>
    <row r="19" customFormat="false" ht="15" hidden="false" customHeight="false" outlineLevel="0" collapsed="false">
      <c r="A19" s="27"/>
      <c r="B19" s="32"/>
      <c r="C19" s="32"/>
      <c r="D19" s="32"/>
      <c r="E19" s="31"/>
      <c r="F19" s="32"/>
      <c r="G19" s="32"/>
    </row>
    <row r="20" customFormat="false" ht="15" hidden="false" customHeight="false" outlineLevel="0" collapsed="false">
      <c r="A20" s="27"/>
      <c r="B20" s="32"/>
      <c r="C20" s="32"/>
      <c r="D20" s="32"/>
      <c r="E20" s="31"/>
      <c r="F20" s="32"/>
      <c r="G20" s="32"/>
    </row>
    <row r="21" customFormat="false" ht="15" hidden="false" customHeight="false" outlineLevel="0" collapsed="false">
      <c r="A21" s="27"/>
      <c r="B21" s="32"/>
      <c r="C21" s="32"/>
      <c r="D21" s="32"/>
      <c r="E21" s="31"/>
      <c r="F21" s="32"/>
      <c r="G21" s="32"/>
    </row>
    <row r="22" customFormat="false" ht="15" hidden="false" customHeight="false" outlineLevel="0" collapsed="false">
      <c r="A22" s="27"/>
      <c r="B22" s="32"/>
      <c r="C22" s="32"/>
      <c r="D22" s="32"/>
      <c r="E22" s="31"/>
      <c r="F22" s="32"/>
      <c r="G22" s="32"/>
    </row>
    <row r="23" customFormat="false" ht="15" hidden="false" customHeight="false" outlineLevel="0" collapsed="false">
      <c r="A23" s="27"/>
      <c r="B23" s="32"/>
      <c r="C23" s="32"/>
      <c r="D23" s="32"/>
      <c r="E23" s="31"/>
      <c r="F23" s="32"/>
      <c r="G23" s="32"/>
    </row>
    <row r="24" customFormat="false" ht="15" hidden="false" customHeight="false" outlineLevel="0" collapsed="false">
      <c r="A24" s="27"/>
      <c r="B24" s="32"/>
      <c r="C24" s="32"/>
      <c r="D24" s="32"/>
      <c r="E24" s="31"/>
      <c r="F24" s="32"/>
      <c r="G24" s="32"/>
    </row>
    <row r="25" customFormat="false" ht="15" hidden="false" customHeight="false" outlineLevel="0" collapsed="false">
      <c r="A25" s="27"/>
      <c r="B25" s="32"/>
      <c r="C25" s="32"/>
      <c r="D25" s="32"/>
      <c r="E25" s="31"/>
      <c r="F25" s="32"/>
      <c r="G25" s="32"/>
    </row>
    <row r="26" customFormat="false" ht="15" hidden="false" customHeight="false" outlineLevel="0" collapsed="false">
      <c r="A26" s="27"/>
      <c r="B26" s="32"/>
      <c r="C26" s="32"/>
      <c r="D26" s="32"/>
      <c r="E26" s="31"/>
      <c r="F26" s="32"/>
      <c r="G26" s="32"/>
    </row>
    <row r="27" customFormat="false" ht="15" hidden="false" customHeight="false" outlineLevel="0" collapsed="false">
      <c r="A27" s="27"/>
      <c r="B27" s="32"/>
      <c r="C27" s="32"/>
      <c r="D27" s="32"/>
      <c r="E27" s="31"/>
      <c r="F27" s="32"/>
      <c r="G27" s="32"/>
    </row>
    <row r="28" customFormat="false" ht="15" hidden="false" customHeight="false" outlineLevel="0" collapsed="false">
      <c r="A28" s="27"/>
      <c r="B28" s="32"/>
      <c r="C28" s="32"/>
      <c r="D28" s="32"/>
      <c r="E28" s="31"/>
      <c r="F28" s="32"/>
      <c r="G28" s="32"/>
    </row>
    <row r="29" customFormat="false" ht="15" hidden="false" customHeight="false" outlineLevel="0" collapsed="false">
      <c r="A29" s="27"/>
      <c r="B29" s="32"/>
      <c r="C29" s="32"/>
      <c r="D29" s="32"/>
      <c r="E29" s="31"/>
      <c r="F29" s="32"/>
      <c r="G29" s="32"/>
    </row>
    <row r="30" customFormat="false" ht="15" hidden="false" customHeight="false" outlineLevel="0" collapsed="false">
      <c r="A30" s="27"/>
      <c r="B30" s="32"/>
      <c r="C30" s="32"/>
      <c r="D30" s="32"/>
      <c r="E30" s="31"/>
      <c r="F30" s="32"/>
      <c r="G30" s="32"/>
    </row>
    <row r="31" customFormat="false" ht="15" hidden="false" customHeight="false" outlineLevel="0" collapsed="false">
      <c r="A31" s="27"/>
      <c r="B31" s="32"/>
      <c r="C31" s="32"/>
      <c r="D31" s="32"/>
      <c r="E31" s="31"/>
      <c r="F31" s="32"/>
      <c r="G31" s="32"/>
    </row>
    <row r="32" customFormat="false" ht="15" hidden="false" customHeight="false" outlineLevel="0" collapsed="false">
      <c r="A32" s="27"/>
      <c r="B32" s="32"/>
      <c r="C32" s="32"/>
      <c r="D32" s="32"/>
      <c r="E32" s="31"/>
      <c r="F32" s="32"/>
      <c r="G32" s="32"/>
    </row>
    <row r="33" customFormat="false" ht="15" hidden="false" customHeight="false" outlineLevel="0" collapsed="false">
      <c r="A33" s="27"/>
      <c r="B33" s="32"/>
      <c r="C33" s="32"/>
      <c r="D33" s="32"/>
      <c r="E33" s="31"/>
      <c r="F33" s="32"/>
      <c r="G33" s="32"/>
    </row>
    <row r="34" customFormat="false" ht="15" hidden="false" customHeight="false" outlineLevel="0" collapsed="false">
      <c r="A34" s="27"/>
      <c r="B34" s="32"/>
      <c r="C34" s="32"/>
      <c r="D34" s="32"/>
      <c r="E34" s="31"/>
      <c r="F34" s="32"/>
      <c r="G34" s="32"/>
    </row>
    <row r="35" customFormat="false" ht="15" hidden="false" customHeight="false" outlineLevel="0" collapsed="false">
      <c r="A35" s="27"/>
      <c r="B35" s="32"/>
      <c r="C35" s="32"/>
      <c r="D35" s="32"/>
      <c r="E35" s="31"/>
      <c r="F35" s="32"/>
      <c r="G35" s="32"/>
    </row>
    <row r="36" customFormat="false" ht="15" hidden="false" customHeight="false" outlineLevel="0" collapsed="false">
      <c r="A36" s="27"/>
      <c r="B36" s="32"/>
      <c r="C36" s="32"/>
      <c r="D36" s="32"/>
      <c r="E36" s="31"/>
      <c r="F36" s="32"/>
      <c r="G36" s="32"/>
    </row>
    <row r="37" customFormat="false" ht="15" hidden="false" customHeight="false" outlineLevel="0" collapsed="false">
      <c r="A37" s="27"/>
      <c r="B37" s="32"/>
      <c r="C37" s="32"/>
      <c r="D37" s="32"/>
      <c r="E37" s="31"/>
      <c r="F37" s="32"/>
      <c r="G37" s="32"/>
    </row>
    <row r="38" customFormat="false" ht="15" hidden="false" customHeight="false" outlineLevel="0" collapsed="false">
      <c r="A38" s="27"/>
      <c r="B38" s="32"/>
      <c r="C38" s="32"/>
      <c r="D38" s="32"/>
      <c r="E38" s="31"/>
      <c r="F38" s="32"/>
      <c r="G38" s="32"/>
    </row>
    <row r="39" customFormat="false" ht="15" hidden="false" customHeight="false" outlineLevel="0" collapsed="false">
      <c r="A39" s="27"/>
      <c r="B39" s="32"/>
      <c r="C39" s="32"/>
      <c r="D39" s="32"/>
      <c r="E39" s="31"/>
      <c r="F39" s="32"/>
      <c r="G39" s="32"/>
    </row>
    <row r="40" customFormat="false" ht="15" hidden="false" customHeight="false" outlineLevel="0" collapsed="false">
      <c r="A40" s="27"/>
      <c r="B40" s="32"/>
      <c r="C40" s="32"/>
      <c r="D40" s="32"/>
      <c r="E40" s="31"/>
      <c r="F40" s="32"/>
      <c r="G40" s="32"/>
    </row>
    <row r="41" customFormat="false" ht="15" hidden="false" customHeight="false" outlineLevel="0" collapsed="false">
      <c r="A41" s="27"/>
      <c r="B41" s="32"/>
      <c r="C41" s="32"/>
      <c r="D41" s="32"/>
      <c r="E41" s="31"/>
      <c r="F41" s="32"/>
      <c r="G41" s="32"/>
    </row>
    <row r="42" customFormat="false" ht="15" hidden="false" customHeight="false" outlineLevel="0" collapsed="false">
      <c r="A42" s="27"/>
      <c r="B42" s="32"/>
      <c r="C42" s="32"/>
      <c r="D42" s="32"/>
      <c r="E42" s="31"/>
      <c r="F42" s="32"/>
      <c r="G42" s="32"/>
    </row>
    <row r="43" customFormat="false" ht="15" hidden="false" customHeight="false" outlineLevel="0" collapsed="false">
      <c r="A43" s="27"/>
      <c r="B43" s="32"/>
      <c r="C43" s="32"/>
      <c r="D43" s="32"/>
      <c r="E43" s="31"/>
      <c r="F43" s="32"/>
      <c r="G43" s="32"/>
    </row>
    <row r="44" customFormat="false" ht="15" hidden="false" customHeight="false" outlineLevel="0" collapsed="false">
      <c r="A44" s="27"/>
      <c r="B44" s="32"/>
      <c r="C44" s="32"/>
      <c r="D44" s="32"/>
      <c r="E44" s="31"/>
      <c r="F44" s="32"/>
      <c r="G44" s="32"/>
    </row>
    <row r="45" customFormat="false" ht="15" hidden="false" customHeight="false" outlineLevel="0" collapsed="false">
      <c r="A45" s="27"/>
      <c r="B45" s="32"/>
      <c r="C45" s="32"/>
      <c r="D45" s="32"/>
      <c r="E45" s="31"/>
      <c r="F45" s="32"/>
      <c r="G45" s="32"/>
    </row>
    <row r="46" customFormat="false" ht="15" hidden="false" customHeight="false" outlineLevel="0" collapsed="false">
      <c r="A46" s="27"/>
      <c r="B46" s="32"/>
      <c r="C46" s="32"/>
      <c r="D46" s="32"/>
      <c r="E46" s="31"/>
      <c r="F46" s="32"/>
      <c r="G46" s="32"/>
    </row>
    <row r="47" customFormat="false" ht="15" hidden="false" customHeight="false" outlineLevel="0" collapsed="false">
      <c r="A47" s="27"/>
      <c r="B47" s="32"/>
      <c r="C47" s="32"/>
      <c r="D47" s="32"/>
      <c r="E47" s="31"/>
      <c r="F47" s="32"/>
      <c r="G47" s="32"/>
    </row>
    <row r="48" customFormat="false" ht="15" hidden="false" customHeight="false" outlineLevel="0" collapsed="false">
      <c r="A48" s="27"/>
      <c r="B48" s="32"/>
      <c r="C48" s="32"/>
      <c r="D48" s="32"/>
      <c r="E48" s="31"/>
      <c r="F48" s="32"/>
      <c r="G48" s="32"/>
    </row>
    <row r="49" customFormat="false" ht="15" hidden="false" customHeight="false" outlineLevel="0" collapsed="false">
      <c r="A49" s="27"/>
      <c r="B49" s="32"/>
      <c r="C49" s="32"/>
      <c r="D49" s="32"/>
      <c r="E49" s="31"/>
      <c r="F49" s="32"/>
      <c r="G49" s="32"/>
    </row>
    <row r="50" customFormat="false" ht="15" hidden="false" customHeight="false" outlineLevel="0" collapsed="false">
      <c r="A50" s="27"/>
      <c r="B50" s="32"/>
      <c r="C50" s="32"/>
      <c r="D50" s="32"/>
      <c r="E50" s="31"/>
      <c r="F50" s="32"/>
      <c r="G50" s="32"/>
    </row>
    <row r="51" customFormat="false" ht="15" hidden="false" customHeight="false" outlineLevel="0" collapsed="false">
      <c r="A51" s="27"/>
      <c r="B51" s="32"/>
      <c r="C51" s="32"/>
      <c r="D51" s="32"/>
      <c r="E51" s="31"/>
      <c r="F51" s="32"/>
      <c r="G51" s="32"/>
    </row>
    <row r="52" customFormat="false" ht="15" hidden="false" customHeight="false" outlineLevel="0" collapsed="false">
      <c r="A52" s="27"/>
      <c r="B52" s="32"/>
      <c r="C52" s="32"/>
      <c r="D52" s="32"/>
      <c r="E52" s="31"/>
      <c r="F52" s="32"/>
      <c r="G52" s="32"/>
    </row>
    <row r="53" customFormat="false" ht="15" hidden="false" customHeight="false" outlineLevel="0" collapsed="false">
      <c r="A53" s="27"/>
      <c r="B53" s="32"/>
      <c r="C53" s="32"/>
      <c r="D53" s="32"/>
      <c r="E53" s="31"/>
      <c r="F53" s="32"/>
      <c r="G53" s="32"/>
    </row>
    <row r="54" customFormat="false" ht="15" hidden="false" customHeight="false" outlineLevel="0" collapsed="false">
      <c r="A54" s="27"/>
      <c r="B54" s="32"/>
      <c r="C54" s="32"/>
      <c r="D54" s="32"/>
      <c r="E54" s="31"/>
      <c r="F54" s="32"/>
      <c r="G54" s="32"/>
    </row>
    <row r="55" customFormat="false" ht="15" hidden="false" customHeight="false" outlineLevel="0" collapsed="false">
      <c r="A55" s="27"/>
      <c r="B55" s="32"/>
      <c r="C55" s="32"/>
      <c r="D55" s="32"/>
      <c r="E55" s="31"/>
      <c r="F55" s="32"/>
      <c r="G55" s="32"/>
    </row>
    <row r="56" customFormat="false" ht="15" hidden="false" customHeight="false" outlineLevel="0" collapsed="false">
      <c r="A56" s="27"/>
      <c r="B56" s="32"/>
      <c r="C56" s="32"/>
      <c r="D56" s="32"/>
      <c r="E56" s="31"/>
      <c r="F56" s="32"/>
      <c r="G56" s="32"/>
    </row>
    <row r="57" customFormat="false" ht="15" hidden="false" customHeight="false" outlineLevel="0" collapsed="false">
      <c r="A57" s="27"/>
      <c r="B57" s="32"/>
      <c r="C57" s="32"/>
      <c r="D57" s="32"/>
      <c r="E57" s="31"/>
      <c r="F57" s="32"/>
      <c r="G57" s="32"/>
    </row>
    <row r="58" customFormat="false" ht="15" hidden="false" customHeight="false" outlineLevel="0" collapsed="false">
      <c r="A58" s="27"/>
      <c r="B58" s="32"/>
      <c r="C58" s="32"/>
      <c r="D58" s="32"/>
      <c r="E58" s="31"/>
      <c r="F58" s="32"/>
      <c r="G58" s="32"/>
    </row>
    <row r="59" customFormat="false" ht="15" hidden="false" customHeight="false" outlineLevel="0" collapsed="false">
      <c r="A59" s="27"/>
      <c r="B59" s="32"/>
      <c r="C59" s="32"/>
      <c r="D59" s="32"/>
      <c r="E59" s="31"/>
      <c r="F59" s="32"/>
      <c r="G59" s="32"/>
    </row>
    <row r="60" customFormat="false" ht="15" hidden="false" customHeight="false" outlineLevel="0" collapsed="false">
      <c r="A60" s="27"/>
      <c r="B60" s="32"/>
      <c r="C60" s="32"/>
      <c r="D60" s="32"/>
      <c r="E60" s="31"/>
      <c r="F60" s="32"/>
      <c r="G60" s="32"/>
    </row>
    <row r="61" customFormat="false" ht="15" hidden="false" customHeight="false" outlineLevel="0" collapsed="false">
      <c r="A61" s="27"/>
      <c r="B61" s="32"/>
      <c r="C61" s="32"/>
      <c r="D61" s="32"/>
      <c r="E61" s="31"/>
      <c r="F61" s="32"/>
      <c r="G61" s="32"/>
    </row>
    <row r="62" customFormat="false" ht="15" hidden="false" customHeight="false" outlineLevel="0" collapsed="false">
      <c r="A62" s="27"/>
      <c r="B62" s="32"/>
      <c r="C62" s="32"/>
      <c r="D62" s="32"/>
      <c r="E62" s="31"/>
      <c r="F62" s="32"/>
      <c r="G62" s="32"/>
    </row>
    <row r="63" customFormat="false" ht="15" hidden="false" customHeight="false" outlineLevel="0" collapsed="false">
      <c r="A63" s="27"/>
      <c r="B63" s="32"/>
      <c r="C63" s="32"/>
      <c r="D63" s="32"/>
      <c r="E63" s="31"/>
      <c r="F63" s="32"/>
      <c r="G63" s="32"/>
    </row>
    <row r="64" customFormat="false" ht="15" hidden="false" customHeight="false" outlineLevel="0" collapsed="false">
      <c r="A64" s="27"/>
      <c r="B64" s="32"/>
      <c r="C64" s="32"/>
      <c r="D64" s="32"/>
      <c r="E64" s="31"/>
      <c r="F64" s="32"/>
      <c r="G64" s="32"/>
    </row>
    <row r="65" customFormat="false" ht="15" hidden="false" customHeight="false" outlineLevel="0" collapsed="false">
      <c r="A65" s="27"/>
      <c r="B65" s="32"/>
      <c r="C65" s="32"/>
      <c r="D65" s="32"/>
      <c r="E65" s="31"/>
      <c r="F65" s="32"/>
      <c r="G65" s="32"/>
    </row>
    <row r="66" customFormat="false" ht="15" hidden="false" customHeight="false" outlineLevel="0" collapsed="false">
      <c r="A66" s="27"/>
      <c r="B66" s="32"/>
      <c r="C66" s="32"/>
      <c r="D66" s="32"/>
      <c r="E66" s="31"/>
      <c r="F66" s="32"/>
      <c r="G66" s="32"/>
    </row>
    <row r="67" customFormat="false" ht="15" hidden="false" customHeight="false" outlineLevel="0" collapsed="false">
      <c r="A67" s="27"/>
      <c r="B67" s="32"/>
      <c r="C67" s="32"/>
      <c r="D67" s="32"/>
      <c r="E67" s="31"/>
      <c r="F67" s="32"/>
      <c r="G67" s="32"/>
    </row>
    <row r="68" customFormat="false" ht="15" hidden="false" customHeight="false" outlineLevel="0" collapsed="false">
      <c r="A68" s="27"/>
      <c r="B68" s="32"/>
      <c r="C68" s="32"/>
      <c r="D68" s="32"/>
      <c r="E68" s="31"/>
      <c r="F68" s="32"/>
      <c r="G68" s="32"/>
    </row>
    <row r="69" customFormat="false" ht="15" hidden="false" customHeight="false" outlineLevel="0" collapsed="false">
      <c r="A69" s="27"/>
      <c r="B69" s="32"/>
      <c r="C69" s="32"/>
      <c r="D69" s="32"/>
      <c r="E69" s="31"/>
      <c r="F69" s="32"/>
      <c r="G69" s="32"/>
    </row>
    <row r="70" customFormat="false" ht="15" hidden="false" customHeight="false" outlineLevel="0" collapsed="false">
      <c r="A70" s="27"/>
      <c r="B70" s="32"/>
      <c r="C70" s="32"/>
      <c r="D70" s="32"/>
      <c r="E70" s="31"/>
      <c r="F70" s="32"/>
      <c r="G70" s="32"/>
    </row>
    <row r="71" customFormat="false" ht="15" hidden="false" customHeight="false" outlineLevel="0" collapsed="false">
      <c r="A71" s="27"/>
      <c r="B71" s="32"/>
      <c r="C71" s="32"/>
      <c r="D71" s="32"/>
      <c r="E71" s="31"/>
      <c r="F71" s="32"/>
      <c r="G71" s="32"/>
    </row>
    <row r="72" customFormat="false" ht="15" hidden="false" customHeight="false" outlineLevel="0" collapsed="false">
      <c r="A72" s="27"/>
      <c r="B72" s="32"/>
      <c r="C72" s="32"/>
      <c r="D72" s="32"/>
      <c r="E72" s="31"/>
      <c r="F72" s="32"/>
      <c r="G72" s="32"/>
    </row>
    <row r="73" customFormat="false" ht="15" hidden="false" customHeight="false" outlineLevel="0" collapsed="false">
      <c r="A73" s="27"/>
      <c r="B73" s="32"/>
      <c r="C73" s="32"/>
      <c r="D73" s="32"/>
      <c r="E73" s="31"/>
      <c r="F73" s="32"/>
      <c r="G73" s="32"/>
    </row>
    <row r="74" customFormat="false" ht="15" hidden="false" customHeight="false" outlineLevel="0" collapsed="false">
      <c r="A74" s="27"/>
      <c r="B74" s="32"/>
      <c r="C74" s="32"/>
      <c r="D74" s="32"/>
      <c r="E74" s="31"/>
      <c r="F74" s="32"/>
      <c r="G74" s="32"/>
    </row>
    <row r="75" customFormat="false" ht="15" hidden="false" customHeight="false" outlineLevel="0" collapsed="false">
      <c r="A75" s="27"/>
      <c r="B75" s="32"/>
      <c r="C75" s="32"/>
      <c r="D75" s="32"/>
      <c r="E75" s="31"/>
      <c r="F75" s="32"/>
      <c r="G75" s="32"/>
    </row>
    <row r="76" customFormat="false" ht="15" hidden="false" customHeight="false" outlineLevel="0" collapsed="false">
      <c r="A76" s="27"/>
      <c r="B76" s="32"/>
      <c r="C76" s="32"/>
      <c r="D76" s="32"/>
      <c r="E76" s="31"/>
      <c r="F76" s="32"/>
      <c r="G76" s="32"/>
    </row>
    <row r="77" customFormat="false" ht="15" hidden="false" customHeight="false" outlineLevel="0" collapsed="false">
      <c r="A77" s="27"/>
      <c r="B77" s="32"/>
      <c r="C77" s="32"/>
      <c r="D77" s="32"/>
      <c r="E77" s="31"/>
      <c r="F77" s="32"/>
      <c r="G77" s="32"/>
    </row>
    <row r="78" customFormat="false" ht="15" hidden="false" customHeight="false" outlineLevel="0" collapsed="false">
      <c r="A78" s="27"/>
      <c r="B78" s="32"/>
      <c r="C78" s="32"/>
      <c r="D78" s="32"/>
      <c r="E78" s="31"/>
      <c r="F78" s="32"/>
      <c r="G78" s="32"/>
    </row>
    <row r="79" customFormat="false" ht="15" hidden="false" customHeight="false" outlineLevel="0" collapsed="false">
      <c r="A79" s="27"/>
      <c r="B79" s="32"/>
      <c r="C79" s="32"/>
      <c r="D79" s="32"/>
      <c r="E79" s="31"/>
      <c r="F79" s="32"/>
      <c r="G79" s="32"/>
    </row>
    <row r="80" customFormat="false" ht="15" hidden="false" customHeight="false" outlineLevel="0" collapsed="false">
      <c r="A80" s="27"/>
      <c r="B80" s="32"/>
      <c r="C80" s="32"/>
      <c r="D80" s="32"/>
      <c r="E80" s="31"/>
      <c r="F80" s="32"/>
      <c r="G80" s="32"/>
    </row>
    <row r="81" customFormat="false" ht="15" hidden="false" customHeight="false" outlineLevel="0" collapsed="false">
      <c r="A81" s="27"/>
      <c r="B81" s="32"/>
      <c r="C81" s="32"/>
      <c r="D81" s="32"/>
      <c r="E81" s="31"/>
      <c r="F81" s="32"/>
      <c r="G81" s="32"/>
    </row>
    <row r="82" customFormat="false" ht="15" hidden="false" customHeight="false" outlineLevel="0" collapsed="false">
      <c r="A82" s="27"/>
      <c r="B82" s="32"/>
      <c r="C82" s="32"/>
      <c r="D82" s="32"/>
      <c r="E82" s="31"/>
      <c r="F82" s="32"/>
      <c r="G82" s="32"/>
    </row>
    <row r="83" customFormat="false" ht="15" hidden="false" customHeight="false" outlineLevel="0" collapsed="false">
      <c r="A83" s="27"/>
      <c r="B83" s="32"/>
      <c r="C83" s="32"/>
      <c r="D83" s="32"/>
      <c r="E83" s="31"/>
      <c r="F83" s="32"/>
      <c r="G83" s="32"/>
    </row>
    <row r="84" customFormat="false" ht="15" hidden="false" customHeight="false" outlineLevel="0" collapsed="false">
      <c r="A84" s="27"/>
      <c r="B84" s="32"/>
      <c r="C84" s="32"/>
      <c r="D84" s="32"/>
      <c r="E84" s="31"/>
      <c r="F84" s="32"/>
      <c r="G84" s="32"/>
    </row>
    <row r="85" customFormat="false" ht="15" hidden="false" customHeight="false" outlineLevel="0" collapsed="false">
      <c r="A85" s="27"/>
      <c r="B85" s="32"/>
      <c r="C85" s="32"/>
      <c r="D85" s="32"/>
      <c r="E85" s="31"/>
      <c r="F85" s="32"/>
      <c r="G85" s="32"/>
    </row>
    <row r="86" customFormat="false" ht="15" hidden="false" customHeight="false" outlineLevel="0" collapsed="false">
      <c r="A86" s="27"/>
      <c r="B86" s="32"/>
      <c r="C86" s="32"/>
      <c r="D86" s="32"/>
      <c r="E86" s="31"/>
      <c r="F86" s="32"/>
      <c r="G86" s="32"/>
    </row>
    <row r="87" customFormat="false" ht="15" hidden="false" customHeight="false" outlineLevel="0" collapsed="false">
      <c r="A87" s="27"/>
      <c r="B87" s="32"/>
      <c r="C87" s="32"/>
      <c r="D87" s="32"/>
      <c r="E87" s="31"/>
      <c r="F87" s="32"/>
      <c r="G87" s="32"/>
    </row>
    <row r="88" customFormat="false" ht="15" hidden="false" customHeight="false" outlineLevel="0" collapsed="false">
      <c r="A88" s="27"/>
      <c r="B88" s="32"/>
      <c r="C88" s="32"/>
      <c r="D88" s="32"/>
      <c r="E88" s="31"/>
      <c r="F88" s="32"/>
      <c r="G88" s="32"/>
    </row>
    <row r="89" customFormat="false" ht="15" hidden="false" customHeight="false" outlineLevel="0" collapsed="false">
      <c r="A89" s="27"/>
      <c r="B89" s="32"/>
      <c r="C89" s="32"/>
      <c r="D89" s="32"/>
      <c r="E89" s="31"/>
      <c r="F89" s="32"/>
      <c r="G89" s="32"/>
    </row>
    <row r="90" customFormat="false" ht="15" hidden="false" customHeight="false" outlineLevel="0" collapsed="false">
      <c r="A90" s="27"/>
      <c r="B90" s="32"/>
      <c r="C90" s="32"/>
      <c r="D90" s="32"/>
      <c r="E90" s="31"/>
      <c r="F90" s="32"/>
      <c r="G90" s="32"/>
    </row>
    <row r="91" customFormat="false" ht="15" hidden="false" customHeight="false" outlineLevel="0" collapsed="false">
      <c r="A91" s="27"/>
      <c r="B91" s="32"/>
      <c r="C91" s="32"/>
      <c r="D91" s="32"/>
      <c r="E91" s="31"/>
      <c r="F91" s="32"/>
      <c r="G91" s="32"/>
    </row>
    <row r="92" customFormat="false" ht="15" hidden="false" customHeight="false" outlineLevel="0" collapsed="false">
      <c r="A92" s="27"/>
      <c r="B92" s="32"/>
      <c r="C92" s="32"/>
      <c r="D92" s="32"/>
      <c r="E92" s="31"/>
      <c r="F92" s="32"/>
      <c r="G92" s="32"/>
    </row>
    <row r="93" customFormat="false" ht="15" hidden="false" customHeight="false" outlineLevel="0" collapsed="false">
      <c r="A93" s="27"/>
      <c r="B93" s="32"/>
      <c r="C93" s="32"/>
      <c r="D93" s="32"/>
      <c r="E93" s="31"/>
      <c r="F93" s="32"/>
      <c r="G93" s="32"/>
    </row>
    <row r="94" customFormat="false" ht="15" hidden="false" customHeight="false" outlineLevel="0" collapsed="false">
      <c r="A94" s="27"/>
      <c r="B94" s="32"/>
      <c r="C94" s="32"/>
      <c r="D94" s="32"/>
      <c r="E94" s="31"/>
      <c r="F94" s="32"/>
      <c r="G94" s="32"/>
    </row>
    <row r="95" customFormat="false" ht="15" hidden="false" customHeight="false" outlineLevel="0" collapsed="false">
      <c r="A95" s="27"/>
      <c r="B95" s="32"/>
      <c r="C95" s="32"/>
      <c r="D95" s="32"/>
      <c r="E95" s="31"/>
      <c r="F95" s="32"/>
      <c r="G95" s="32"/>
    </row>
    <row r="96" customFormat="false" ht="15" hidden="false" customHeight="false" outlineLevel="0" collapsed="false">
      <c r="A96" s="27"/>
      <c r="B96" s="32"/>
      <c r="C96" s="32"/>
      <c r="D96" s="32"/>
      <c r="E96" s="31"/>
      <c r="F96" s="32"/>
      <c r="G96" s="32"/>
    </row>
    <row r="97" customFormat="false" ht="15" hidden="false" customHeight="false" outlineLevel="0" collapsed="false">
      <c r="A97" s="27"/>
      <c r="B97" s="32"/>
      <c r="C97" s="32"/>
      <c r="D97" s="32"/>
      <c r="E97" s="31"/>
      <c r="F97" s="32"/>
      <c r="G97" s="32"/>
    </row>
    <row r="98" customFormat="false" ht="15" hidden="false" customHeight="false" outlineLevel="0" collapsed="false">
      <c r="A98" s="27"/>
      <c r="B98" s="32"/>
      <c r="C98" s="32"/>
      <c r="D98" s="32"/>
      <c r="E98" s="31"/>
      <c r="F98" s="32"/>
      <c r="G98" s="32"/>
    </row>
    <row r="99" customFormat="false" ht="15" hidden="false" customHeight="false" outlineLevel="0" collapsed="false">
      <c r="A99" s="27"/>
      <c r="B99" s="32"/>
      <c r="C99" s="32"/>
      <c r="D99" s="32"/>
      <c r="E99" s="31"/>
      <c r="F99" s="32"/>
      <c r="G99" s="32"/>
    </row>
    <row r="100" customFormat="false" ht="15" hidden="false" customHeight="false" outlineLevel="0" collapsed="false">
      <c r="A100" s="27"/>
      <c r="B100" s="32"/>
      <c r="C100" s="32"/>
      <c r="D100" s="32"/>
      <c r="E100" s="31"/>
      <c r="F100" s="32"/>
      <c r="G100" s="32"/>
    </row>
    <row r="101" customFormat="false" ht="15" hidden="false" customHeight="false" outlineLevel="0" collapsed="false">
      <c r="A101" s="27"/>
      <c r="B101" s="32"/>
      <c r="C101" s="32"/>
      <c r="D101" s="32"/>
      <c r="E101" s="31"/>
      <c r="F101" s="32"/>
      <c r="G101" s="32"/>
    </row>
    <row r="102" customFormat="false" ht="15" hidden="false" customHeight="false" outlineLevel="0" collapsed="false">
      <c r="A102" s="27"/>
      <c r="B102" s="32"/>
      <c r="C102" s="32"/>
      <c r="D102" s="32"/>
      <c r="E102" s="31"/>
      <c r="F102" s="32"/>
      <c r="G102" s="32"/>
    </row>
    <row r="103" customFormat="false" ht="15" hidden="false" customHeight="false" outlineLevel="0" collapsed="false">
      <c r="A103" s="27"/>
      <c r="B103" s="32"/>
      <c r="C103" s="32"/>
      <c r="D103" s="32"/>
      <c r="E103" s="31"/>
      <c r="F103" s="32"/>
      <c r="G103" s="32"/>
    </row>
    <row r="104" customFormat="false" ht="15" hidden="false" customHeight="false" outlineLevel="0" collapsed="false">
      <c r="A104" s="27"/>
      <c r="B104" s="32"/>
      <c r="C104" s="32"/>
      <c r="D104" s="32"/>
      <c r="E104" s="31"/>
      <c r="F104" s="32"/>
      <c r="G104" s="32"/>
    </row>
    <row r="105" customFormat="false" ht="15" hidden="false" customHeight="false" outlineLevel="0" collapsed="false">
      <c r="A105" s="27"/>
      <c r="B105" s="32"/>
      <c r="C105" s="32"/>
      <c r="D105" s="32"/>
      <c r="E105" s="31"/>
      <c r="F105" s="32"/>
      <c r="G105" s="32"/>
    </row>
    <row r="106" customFormat="false" ht="15" hidden="false" customHeight="false" outlineLevel="0" collapsed="false">
      <c r="A106" s="27"/>
      <c r="B106" s="32"/>
      <c r="C106" s="32"/>
      <c r="D106" s="32"/>
      <c r="E106" s="31"/>
      <c r="F106" s="32"/>
      <c r="G106" s="32"/>
    </row>
    <row r="107" customFormat="false" ht="15" hidden="false" customHeight="false" outlineLevel="0" collapsed="false">
      <c r="A107" s="27"/>
      <c r="B107" s="32"/>
      <c r="C107" s="32"/>
      <c r="D107" s="32"/>
      <c r="E107" s="31"/>
      <c r="F107" s="32"/>
      <c r="G107" s="32"/>
    </row>
    <row r="108" customFormat="false" ht="15" hidden="false" customHeight="false" outlineLevel="0" collapsed="false">
      <c r="A108" s="27"/>
      <c r="B108" s="32"/>
      <c r="C108" s="32"/>
      <c r="D108" s="32"/>
      <c r="E108" s="31"/>
      <c r="F108" s="32"/>
      <c r="G108" s="32"/>
    </row>
    <row r="109" customFormat="false" ht="15" hidden="false" customHeight="false" outlineLevel="0" collapsed="false">
      <c r="A109" s="27"/>
      <c r="B109" s="32"/>
      <c r="C109" s="32"/>
      <c r="D109" s="32"/>
      <c r="E109" s="31"/>
      <c r="F109" s="32"/>
      <c r="G109" s="32"/>
    </row>
    <row r="110" customFormat="false" ht="15" hidden="false" customHeight="false" outlineLevel="0" collapsed="false">
      <c r="A110" s="27"/>
      <c r="B110" s="32"/>
      <c r="C110" s="32"/>
      <c r="D110" s="32"/>
      <c r="E110" s="31"/>
      <c r="F110" s="32"/>
      <c r="G110" s="32"/>
    </row>
    <row r="111" customFormat="false" ht="15" hidden="false" customHeight="false" outlineLevel="0" collapsed="false">
      <c r="A111" s="27"/>
      <c r="B111" s="32"/>
      <c r="C111" s="32"/>
      <c r="D111" s="32"/>
      <c r="E111" s="31"/>
      <c r="F111" s="32"/>
      <c r="G111" s="32"/>
    </row>
    <row r="112" customFormat="false" ht="15" hidden="false" customHeight="false" outlineLevel="0" collapsed="false">
      <c r="A112" s="27"/>
      <c r="B112" s="32"/>
      <c r="C112" s="32"/>
      <c r="D112" s="32"/>
      <c r="E112" s="31"/>
      <c r="F112" s="32"/>
      <c r="G112" s="32"/>
    </row>
    <row r="113" customFormat="false" ht="15" hidden="false" customHeight="false" outlineLevel="0" collapsed="false">
      <c r="A113" s="27"/>
      <c r="B113" s="32"/>
      <c r="C113" s="32"/>
      <c r="D113" s="32"/>
      <c r="E113" s="31"/>
      <c r="F113" s="32"/>
      <c r="G113" s="32"/>
    </row>
    <row r="114" customFormat="false" ht="15" hidden="false" customHeight="false" outlineLevel="0" collapsed="false">
      <c r="A114" s="27"/>
      <c r="B114" s="32"/>
      <c r="C114" s="32"/>
      <c r="D114" s="32"/>
      <c r="E114" s="31"/>
      <c r="F114" s="32"/>
      <c r="G114" s="32"/>
    </row>
    <row r="115" customFormat="false" ht="15" hidden="false" customHeight="false" outlineLevel="0" collapsed="false">
      <c r="A115" s="27"/>
      <c r="B115" s="32"/>
      <c r="C115" s="32"/>
      <c r="D115" s="32"/>
      <c r="E115" s="31"/>
      <c r="F115" s="32"/>
      <c r="G115" s="32"/>
    </row>
    <row r="116" customFormat="false" ht="15" hidden="false" customHeight="false" outlineLevel="0" collapsed="false">
      <c r="A116" s="27"/>
      <c r="B116" s="32"/>
      <c r="C116" s="32"/>
      <c r="D116" s="32"/>
      <c r="E116" s="31"/>
      <c r="F116" s="32"/>
      <c r="G116" s="32"/>
    </row>
    <row r="117" customFormat="false" ht="15" hidden="false" customHeight="false" outlineLevel="0" collapsed="false">
      <c r="A117" s="27"/>
      <c r="B117" s="32"/>
      <c r="C117" s="32"/>
      <c r="D117" s="32"/>
      <c r="E117" s="31"/>
      <c r="F117" s="32"/>
      <c r="G117" s="32"/>
    </row>
    <row r="118" customFormat="false" ht="15" hidden="false" customHeight="false" outlineLevel="0" collapsed="false">
      <c r="A118" s="27"/>
      <c r="B118" s="32"/>
      <c r="C118" s="32"/>
      <c r="D118" s="32"/>
      <c r="E118" s="31"/>
      <c r="F118" s="32"/>
      <c r="G118" s="32"/>
    </row>
    <row r="119" customFormat="false" ht="15" hidden="false" customHeight="false" outlineLevel="0" collapsed="false">
      <c r="A119" s="27"/>
      <c r="B119" s="32"/>
      <c r="C119" s="32"/>
      <c r="D119" s="32"/>
      <c r="E119" s="31"/>
      <c r="F119" s="32"/>
      <c r="G119" s="32"/>
    </row>
    <row r="120" customFormat="false" ht="15" hidden="false" customHeight="false" outlineLevel="0" collapsed="false">
      <c r="A120" s="27"/>
      <c r="B120" s="32"/>
      <c r="C120" s="32"/>
      <c r="D120" s="32"/>
      <c r="E120" s="31"/>
      <c r="F120" s="32"/>
      <c r="G120" s="32"/>
    </row>
    <row r="121" customFormat="false" ht="15" hidden="false" customHeight="false" outlineLevel="0" collapsed="false">
      <c r="A121" s="27"/>
      <c r="B121" s="32"/>
      <c r="C121" s="32"/>
      <c r="D121" s="32"/>
      <c r="E121" s="31"/>
      <c r="F121" s="32"/>
      <c r="G121" s="32"/>
    </row>
    <row r="122" customFormat="false" ht="15" hidden="false" customHeight="false" outlineLevel="0" collapsed="false">
      <c r="A122" s="27"/>
      <c r="B122" s="32"/>
      <c r="C122" s="32"/>
      <c r="D122" s="32"/>
      <c r="E122" s="31"/>
      <c r="F122" s="32"/>
      <c r="G122" s="32"/>
    </row>
    <row r="123" customFormat="false" ht="15" hidden="false" customHeight="false" outlineLevel="0" collapsed="false">
      <c r="A123" s="27"/>
      <c r="B123" s="32"/>
      <c r="C123" s="32"/>
      <c r="D123" s="32"/>
      <c r="E123" s="31"/>
      <c r="F123" s="32"/>
      <c r="G123" s="32"/>
    </row>
    <row r="124" customFormat="false" ht="15" hidden="false" customHeight="false" outlineLevel="0" collapsed="false">
      <c r="A124" s="27"/>
      <c r="B124" s="32"/>
      <c r="C124" s="32"/>
      <c r="D124" s="32"/>
      <c r="E124" s="31"/>
      <c r="F124" s="32"/>
      <c r="G124" s="32"/>
    </row>
    <row r="125" customFormat="false" ht="15" hidden="false" customHeight="false" outlineLevel="0" collapsed="false">
      <c r="A125" s="27"/>
      <c r="B125" s="32"/>
      <c r="C125" s="32"/>
      <c r="D125" s="32"/>
      <c r="E125" s="31"/>
      <c r="F125" s="32"/>
      <c r="G125" s="32"/>
    </row>
    <row r="126" customFormat="false" ht="15" hidden="false" customHeight="false" outlineLevel="0" collapsed="false">
      <c r="A126" s="27"/>
      <c r="B126" s="32"/>
      <c r="C126" s="32"/>
      <c r="D126" s="32"/>
      <c r="E126" s="31"/>
      <c r="F126" s="32"/>
      <c r="G126" s="32"/>
    </row>
    <row r="127" customFormat="false" ht="15" hidden="false" customHeight="false" outlineLevel="0" collapsed="false">
      <c r="A127" s="27"/>
      <c r="B127" s="32"/>
      <c r="C127" s="32"/>
      <c r="D127" s="32"/>
      <c r="E127" s="31"/>
      <c r="F127" s="32"/>
      <c r="G127" s="32"/>
    </row>
    <row r="128" customFormat="false" ht="15" hidden="false" customHeight="false" outlineLevel="0" collapsed="false">
      <c r="A128" s="27"/>
      <c r="B128" s="32"/>
      <c r="C128" s="32"/>
      <c r="D128" s="32"/>
      <c r="E128" s="31"/>
      <c r="F128" s="32"/>
      <c r="G128" s="32"/>
    </row>
    <row r="129" customFormat="false" ht="15" hidden="false" customHeight="false" outlineLevel="0" collapsed="false">
      <c r="A129" s="27"/>
      <c r="B129" s="32"/>
      <c r="C129" s="32"/>
      <c r="D129" s="32"/>
      <c r="E129" s="31"/>
      <c r="F129" s="32"/>
      <c r="G129" s="32"/>
    </row>
    <row r="130" customFormat="false" ht="15" hidden="false" customHeight="false" outlineLevel="0" collapsed="false">
      <c r="A130" s="27"/>
      <c r="B130" s="32"/>
      <c r="C130" s="32"/>
      <c r="D130" s="32"/>
      <c r="E130" s="31"/>
      <c r="F130" s="32"/>
      <c r="G130" s="32"/>
    </row>
    <row r="131" customFormat="false" ht="15" hidden="false" customHeight="false" outlineLevel="0" collapsed="false">
      <c r="A131" s="27"/>
      <c r="B131" s="32"/>
      <c r="C131" s="32"/>
      <c r="D131" s="32"/>
      <c r="E131" s="31"/>
      <c r="F131" s="32"/>
      <c r="G131" s="32"/>
    </row>
    <row r="132" customFormat="false" ht="15" hidden="false" customHeight="false" outlineLevel="0" collapsed="false">
      <c r="A132" s="27"/>
      <c r="B132" s="32"/>
      <c r="C132" s="32"/>
      <c r="D132" s="32"/>
      <c r="E132" s="31"/>
      <c r="F132" s="32"/>
      <c r="G132" s="32"/>
    </row>
    <row r="133" customFormat="false" ht="15" hidden="false" customHeight="false" outlineLevel="0" collapsed="false">
      <c r="A133" s="27"/>
      <c r="B133" s="32"/>
      <c r="C133" s="32"/>
      <c r="D133" s="32"/>
      <c r="E133" s="31"/>
      <c r="F133" s="32"/>
      <c r="G133" s="32"/>
    </row>
    <row r="134" customFormat="false" ht="15" hidden="false" customHeight="false" outlineLevel="0" collapsed="false">
      <c r="A134" s="27"/>
      <c r="B134" s="32"/>
      <c r="C134" s="32"/>
      <c r="D134" s="32"/>
      <c r="E134" s="31"/>
      <c r="F134" s="32"/>
      <c r="G134" s="32"/>
    </row>
    <row r="135" customFormat="false" ht="15" hidden="false" customHeight="false" outlineLevel="0" collapsed="false">
      <c r="A135" s="27"/>
      <c r="B135" s="32"/>
      <c r="C135" s="32"/>
      <c r="D135" s="32"/>
      <c r="E135" s="31"/>
      <c r="F135" s="32"/>
      <c r="G135" s="32"/>
    </row>
    <row r="136" customFormat="false" ht="15" hidden="false" customHeight="false" outlineLevel="0" collapsed="false">
      <c r="A136" s="27"/>
      <c r="B136" s="32"/>
      <c r="C136" s="32"/>
      <c r="D136" s="32"/>
      <c r="E136" s="31"/>
      <c r="F136" s="32"/>
      <c r="G136" s="32"/>
    </row>
    <row r="137" customFormat="false" ht="15" hidden="false" customHeight="false" outlineLevel="0" collapsed="false">
      <c r="A137" s="27"/>
      <c r="B137" s="32"/>
      <c r="C137" s="32"/>
      <c r="D137" s="32"/>
      <c r="E137" s="31"/>
      <c r="F137" s="32"/>
      <c r="G137" s="32"/>
    </row>
    <row r="138" customFormat="false" ht="15" hidden="false" customHeight="false" outlineLevel="0" collapsed="false">
      <c r="A138" s="27"/>
      <c r="B138" s="32"/>
      <c r="C138" s="32"/>
      <c r="D138" s="32"/>
      <c r="E138" s="31"/>
      <c r="F138" s="32"/>
      <c r="G138" s="32"/>
    </row>
    <row r="139" customFormat="false" ht="15" hidden="false" customHeight="false" outlineLevel="0" collapsed="false">
      <c r="A139" s="27"/>
      <c r="B139" s="32"/>
      <c r="C139" s="32"/>
      <c r="D139" s="32"/>
      <c r="E139" s="31"/>
      <c r="F139" s="32"/>
      <c r="G139" s="32"/>
    </row>
    <row r="140" customFormat="false" ht="15" hidden="false" customHeight="false" outlineLevel="0" collapsed="false">
      <c r="A140" s="27"/>
      <c r="B140" s="32"/>
      <c r="C140" s="32"/>
      <c r="D140" s="32"/>
      <c r="E140" s="31"/>
      <c r="F140" s="32"/>
      <c r="G140" s="32"/>
    </row>
    <row r="141" customFormat="false" ht="15" hidden="false" customHeight="false" outlineLevel="0" collapsed="false">
      <c r="A141" s="27"/>
      <c r="B141" s="32"/>
      <c r="C141" s="32"/>
      <c r="D141" s="32"/>
      <c r="E141" s="31"/>
      <c r="F141" s="32"/>
      <c r="G141" s="32"/>
    </row>
    <row r="142" customFormat="false" ht="15" hidden="false" customHeight="false" outlineLevel="0" collapsed="false">
      <c r="A142" s="27"/>
      <c r="B142" s="32"/>
      <c r="C142" s="32"/>
      <c r="D142" s="32"/>
      <c r="E142" s="31"/>
      <c r="F142" s="32"/>
      <c r="G142" s="32"/>
    </row>
    <row r="143" customFormat="false" ht="15" hidden="false" customHeight="false" outlineLevel="0" collapsed="false">
      <c r="A143" s="27"/>
      <c r="B143" s="32"/>
      <c r="C143" s="32"/>
      <c r="D143" s="32"/>
      <c r="E143" s="31"/>
      <c r="F143" s="32"/>
      <c r="G143" s="32"/>
    </row>
    <row r="144" customFormat="false" ht="15" hidden="false" customHeight="false" outlineLevel="0" collapsed="false">
      <c r="A144" s="27"/>
      <c r="B144" s="32"/>
      <c r="C144" s="32"/>
      <c r="D144" s="32"/>
      <c r="E144" s="31"/>
      <c r="F144" s="32"/>
      <c r="G144" s="32"/>
    </row>
    <row r="145" customFormat="false" ht="15" hidden="false" customHeight="false" outlineLevel="0" collapsed="false">
      <c r="A145" s="27"/>
      <c r="B145" s="32"/>
      <c r="C145" s="32"/>
      <c r="D145" s="32"/>
      <c r="E145" s="31"/>
      <c r="F145" s="32"/>
      <c r="G145" s="32"/>
    </row>
    <row r="146" customFormat="false" ht="15" hidden="false" customHeight="false" outlineLevel="0" collapsed="false">
      <c r="A146" s="27"/>
      <c r="B146" s="32"/>
      <c r="C146" s="32"/>
      <c r="D146" s="32"/>
      <c r="E146" s="31"/>
      <c r="F146" s="32"/>
      <c r="G146" s="32"/>
    </row>
    <row r="147" customFormat="false" ht="15" hidden="false" customHeight="false" outlineLevel="0" collapsed="false">
      <c r="A147" s="27"/>
      <c r="B147" s="32"/>
      <c r="C147" s="32"/>
      <c r="D147" s="32"/>
      <c r="E147" s="31"/>
      <c r="F147" s="32"/>
      <c r="G147" s="32"/>
    </row>
    <row r="148" customFormat="false" ht="15" hidden="false" customHeight="false" outlineLevel="0" collapsed="false">
      <c r="A148" s="27"/>
      <c r="B148" s="32"/>
      <c r="C148" s="32"/>
      <c r="D148" s="32"/>
      <c r="E148" s="31"/>
      <c r="F148" s="32"/>
      <c r="G148" s="32"/>
    </row>
    <row r="149" customFormat="false" ht="15" hidden="false" customHeight="false" outlineLevel="0" collapsed="false">
      <c r="A149" s="27"/>
      <c r="B149" s="32"/>
      <c r="C149" s="32"/>
      <c r="D149" s="32"/>
      <c r="E149" s="31"/>
      <c r="F149" s="32"/>
      <c r="G149" s="32"/>
    </row>
    <row r="150" customFormat="false" ht="15" hidden="false" customHeight="false" outlineLevel="0" collapsed="false">
      <c r="A150" s="27"/>
      <c r="B150" s="32"/>
      <c r="C150" s="32"/>
      <c r="D150" s="32"/>
      <c r="E150" s="31"/>
      <c r="F150" s="32"/>
      <c r="G150" s="32"/>
    </row>
    <row r="151" customFormat="false" ht="15" hidden="false" customHeight="false" outlineLevel="0" collapsed="false">
      <c r="A151" s="27"/>
      <c r="B151" s="32"/>
      <c r="C151" s="32"/>
      <c r="D151" s="32"/>
      <c r="E151" s="31"/>
      <c r="F151" s="32"/>
      <c r="G151" s="32"/>
    </row>
    <row r="152" customFormat="false" ht="15" hidden="false" customHeight="false" outlineLevel="0" collapsed="false">
      <c r="A152" s="27"/>
      <c r="B152" s="32"/>
      <c r="C152" s="32"/>
      <c r="D152" s="32"/>
      <c r="E152" s="31"/>
      <c r="F152" s="32"/>
      <c r="G152" s="32"/>
    </row>
    <row r="153" customFormat="false" ht="15" hidden="false" customHeight="false" outlineLevel="0" collapsed="false">
      <c r="A153" s="27"/>
      <c r="B153" s="32"/>
      <c r="C153" s="32"/>
      <c r="D153" s="32"/>
      <c r="E153" s="31"/>
      <c r="F153" s="32"/>
      <c r="G153" s="32"/>
    </row>
    <row r="154" customFormat="false" ht="15" hidden="false" customHeight="false" outlineLevel="0" collapsed="false">
      <c r="A154" s="27"/>
      <c r="B154" s="32"/>
      <c r="C154" s="32"/>
      <c r="D154" s="32"/>
      <c r="E154" s="31"/>
      <c r="F154" s="32"/>
      <c r="G154" s="32"/>
    </row>
    <row r="155" customFormat="false" ht="15" hidden="false" customHeight="false" outlineLevel="0" collapsed="false">
      <c r="A155" s="27"/>
      <c r="B155" s="32"/>
      <c r="C155" s="32"/>
      <c r="D155" s="32"/>
      <c r="E155" s="31"/>
      <c r="F155" s="32"/>
      <c r="G155" s="32"/>
    </row>
    <row r="156" customFormat="false" ht="15" hidden="false" customHeight="false" outlineLevel="0" collapsed="false">
      <c r="A156" s="27"/>
      <c r="B156" s="32"/>
      <c r="C156" s="32"/>
      <c r="D156" s="32"/>
      <c r="E156" s="31"/>
      <c r="F156" s="32"/>
      <c r="G156" s="32"/>
    </row>
    <row r="157" customFormat="false" ht="15" hidden="false" customHeight="false" outlineLevel="0" collapsed="false">
      <c r="A157" s="27"/>
      <c r="B157" s="32"/>
      <c r="C157" s="32"/>
      <c r="D157" s="32"/>
      <c r="E157" s="31"/>
      <c r="F157" s="32"/>
      <c r="G157" s="32"/>
    </row>
    <row r="158" customFormat="false" ht="15" hidden="false" customHeight="false" outlineLevel="0" collapsed="false">
      <c r="A158" s="27"/>
      <c r="B158" s="32"/>
      <c r="C158" s="32"/>
      <c r="D158" s="32"/>
      <c r="E158" s="31"/>
      <c r="F158" s="32"/>
      <c r="G158" s="32"/>
    </row>
    <row r="159" customFormat="false" ht="15" hidden="false" customHeight="false" outlineLevel="0" collapsed="false">
      <c r="A159" s="27"/>
      <c r="B159" s="32"/>
      <c r="C159" s="32"/>
      <c r="D159" s="32"/>
      <c r="E159" s="31"/>
      <c r="F159" s="32"/>
      <c r="G159" s="32"/>
    </row>
    <row r="160" customFormat="false" ht="15" hidden="false" customHeight="false" outlineLevel="0" collapsed="false">
      <c r="A160" s="27"/>
      <c r="B160" s="32"/>
      <c r="C160" s="32"/>
      <c r="D160" s="32"/>
      <c r="E160" s="31"/>
      <c r="F160" s="32"/>
      <c r="G160" s="32"/>
    </row>
    <row r="161" customFormat="false" ht="15" hidden="false" customHeight="false" outlineLevel="0" collapsed="false">
      <c r="A161" s="27"/>
      <c r="B161" s="32"/>
      <c r="C161" s="32"/>
      <c r="D161" s="32"/>
      <c r="E161" s="31"/>
      <c r="F161" s="32"/>
      <c r="G161" s="32"/>
    </row>
    <row r="162" customFormat="false" ht="15" hidden="false" customHeight="false" outlineLevel="0" collapsed="false">
      <c r="A162" s="27"/>
      <c r="B162" s="32"/>
      <c r="C162" s="32"/>
      <c r="D162" s="32"/>
      <c r="E162" s="31"/>
      <c r="F162" s="32"/>
      <c r="G162" s="32"/>
    </row>
    <row r="163" customFormat="false" ht="15" hidden="false" customHeight="false" outlineLevel="0" collapsed="false">
      <c r="A163" s="27"/>
      <c r="B163" s="32"/>
      <c r="C163" s="32"/>
      <c r="D163" s="32"/>
      <c r="E163" s="31"/>
      <c r="F163" s="32"/>
      <c r="G163" s="32"/>
    </row>
    <row r="164" customFormat="false" ht="15" hidden="false" customHeight="false" outlineLevel="0" collapsed="false">
      <c r="A164" s="27"/>
      <c r="B164" s="32"/>
      <c r="C164" s="32"/>
      <c r="D164" s="32"/>
      <c r="E164" s="31"/>
      <c r="F164" s="32"/>
      <c r="G164" s="32"/>
    </row>
    <row r="165" customFormat="false" ht="15" hidden="false" customHeight="false" outlineLevel="0" collapsed="false">
      <c r="A165" s="27"/>
      <c r="B165" s="32"/>
      <c r="C165" s="32"/>
      <c r="D165" s="32"/>
      <c r="E165" s="31"/>
      <c r="F165" s="32"/>
      <c r="G165" s="32"/>
    </row>
    <row r="166" customFormat="false" ht="15" hidden="false" customHeight="false" outlineLevel="0" collapsed="false">
      <c r="A166" s="27"/>
      <c r="B166" s="32"/>
      <c r="C166" s="32"/>
      <c r="D166" s="32"/>
      <c r="E166" s="31"/>
      <c r="F166" s="32"/>
      <c r="G166" s="32"/>
    </row>
    <row r="167" customFormat="false" ht="15" hidden="false" customHeight="false" outlineLevel="0" collapsed="false">
      <c r="A167" s="27"/>
      <c r="B167" s="32"/>
      <c r="C167" s="32"/>
      <c r="D167" s="32"/>
      <c r="E167" s="31"/>
      <c r="F167" s="32"/>
      <c r="G167" s="32"/>
    </row>
    <row r="168" customFormat="false" ht="15" hidden="false" customHeight="false" outlineLevel="0" collapsed="false">
      <c r="A168" s="27"/>
      <c r="B168" s="32"/>
      <c r="C168" s="32"/>
      <c r="D168" s="32"/>
      <c r="E168" s="31"/>
      <c r="F168" s="32"/>
      <c r="G168" s="32"/>
    </row>
    <row r="169" customFormat="false" ht="15" hidden="false" customHeight="false" outlineLevel="0" collapsed="false">
      <c r="A169" s="27"/>
      <c r="B169" s="32"/>
      <c r="C169" s="32"/>
      <c r="D169" s="32"/>
      <c r="E169" s="31"/>
      <c r="F169" s="32"/>
      <c r="G169" s="32"/>
    </row>
    <row r="170" customFormat="false" ht="15" hidden="false" customHeight="false" outlineLevel="0" collapsed="false">
      <c r="A170" s="27"/>
      <c r="B170" s="32"/>
      <c r="C170" s="32"/>
      <c r="D170" s="32"/>
      <c r="E170" s="31"/>
      <c r="F170" s="32"/>
      <c r="G170" s="32"/>
    </row>
    <row r="171" customFormat="false" ht="15" hidden="false" customHeight="false" outlineLevel="0" collapsed="false">
      <c r="A171" s="27"/>
      <c r="B171" s="32"/>
      <c r="C171" s="32"/>
      <c r="D171" s="32"/>
      <c r="E171" s="31"/>
      <c r="F171" s="32"/>
      <c r="G171" s="32"/>
    </row>
    <row r="172" customFormat="false" ht="15" hidden="false" customHeight="false" outlineLevel="0" collapsed="false">
      <c r="A172" s="27"/>
      <c r="B172" s="32"/>
      <c r="C172" s="32"/>
      <c r="D172" s="32"/>
      <c r="E172" s="31"/>
      <c r="F172" s="32"/>
      <c r="G172" s="32"/>
    </row>
    <row r="173" customFormat="false" ht="15" hidden="false" customHeight="false" outlineLevel="0" collapsed="false">
      <c r="A173" s="27"/>
      <c r="B173" s="32"/>
      <c r="C173" s="32"/>
      <c r="D173" s="32"/>
      <c r="E173" s="31"/>
      <c r="F173" s="32"/>
      <c r="G173" s="32"/>
    </row>
    <row r="174" customFormat="false" ht="15" hidden="false" customHeight="false" outlineLevel="0" collapsed="false">
      <c r="A174" s="27"/>
      <c r="B174" s="32"/>
      <c r="C174" s="32"/>
      <c r="D174" s="32"/>
      <c r="E174" s="31"/>
      <c r="F174" s="32"/>
      <c r="G174" s="32"/>
    </row>
    <row r="175" customFormat="false" ht="15" hidden="false" customHeight="false" outlineLevel="0" collapsed="false">
      <c r="A175" s="27"/>
      <c r="B175" s="32"/>
      <c r="C175" s="32"/>
      <c r="D175" s="32"/>
      <c r="E175" s="31"/>
      <c r="F175" s="32"/>
      <c r="G175" s="32"/>
    </row>
    <row r="176" customFormat="false" ht="15" hidden="false" customHeight="false" outlineLevel="0" collapsed="false">
      <c r="A176" s="27"/>
      <c r="B176" s="32"/>
      <c r="C176" s="32"/>
      <c r="D176" s="32"/>
      <c r="E176" s="31"/>
      <c r="F176" s="32"/>
      <c r="G176" s="32"/>
    </row>
    <row r="177" customFormat="false" ht="15" hidden="false" customHeight="false" outlineLevel="0" collapsed="false">
      <c r="A177" s="27"/>
      <c r="B177" s="32"/>
      <c r="C177" s="32"/>
      <c r="D177" s="32"/>
      <c r="E177" s="31"/>
      <c r="F177" s="32"/>
      <c r="G177" s="32"/>
    </row>
    <row r="178" customFormat="false" ht="15" hidden="false" customHeight="false" outlineLevel="0" collapsed="false">
      <c r="A178" s="27"/>
      <c r="B178" s="32"/>
      <c r="C178" s="32"/>
      <c r="D178" s="32"/>
      <c r="E178" s="31"/>
      <c r="F178" s="32"/>
      <c r="G178" s="32"/>
    </row>
    <row r="179" customFormat="false" ht="15" hidden="false" customHeight="false" outlineLevel="0" collapsed="false">
      <c r="A179" s="27"/>
      <c r="B179" s="32"/>
      <c r="C179" s="32"/>
      <c r="D179" s="32"/>
      <c r="E179" s="31"/>
      <c r="F179" s="32"/>
      <c r="G179" s="32"/>
    </row>
    <row r="180" customFormat="false" ht="15" hidden="false" customHeight="false" outlineLevel="0" collapsed="false">
      <c r="A180" s="27"/>
      <c r="B180" s="32"/>
      <c r="C180" s="32"/>
      <c r="D180" s="32"/>
      <c r="E180" s="31"/>
      <c r="F180" s="32"/>
      <c r="G180" s="32"/>
    </row>
    <row r="181" customFormat="false" ht="15" hidden="false" customHeight="false" outlineLevel="0" collapsed="false">
      <c r="A181" s="27"/>
      <c r="B181" s="32"/>
      <c r="C181" s="32"/>
      <c r="D181" s="32"/>
      <c r="E181" s="31"/>
      <c r="F181" s="32"/>
      <c r="G181" s="32"/>
    </row>
    <row r="182" customFormat="false" ht="15" hidden="false" customHeight="false" outlineLevel="0" collapsed="false">
      <c r="A182" s="27"/>
      <c r="B182" s="32"/>
      <c r="C182" s="32"/>
      <c r="D182" s="32"/>
      <c r="E182" s="31"/>
      <c r="F182" s="32"/>
      <c r="G182" s="32"/>
    </row>
    <row r="183" customFormat="false" ht="15" hidden="false" customHeight="false" outlineLevel="0" collapsed="false">
      <c r="A183" s="27"/>
      <c r="B183" s="32"/>
      <c r="C183" s="32"/>
      <c r="D183" s="32"/>
      <c r="E183" s="31"/>
      <c r="F183" s="32"/>
      <c r="G183" s="32"/>
    </row>
    <row r="184" customFormat="false" ht="15" hidden="false" customHeight="false" outlineLevel="0" collapsed="false">
      <c r="A184" s="27"/>
      <c r="B184" s="32"/>
      <c r="C184" s="32"/>
      <c r="D184" s="32"/>
      <c r="E184" s="31"/>
      <c r="F184" s="32"/>
      <c r="G184" s="32"/>
    </row>
    <row r="185" customFormat="false" ht="15" hidden="false" customHeight="false" outlineLevel="0" collapsed="false">
      <c r="A185" s="27"/>
      <c r="B185" s="32"/>
      <c r="C185" s="32"/>
      <c r="D185" s="32"/>
      <c r="E185" s="31"/>
      <c r="F185" s="32"/>
      <c r="G185" s="32"/>
    </row>
    <row r="186" customFormat="false" ht="15" hidden="false" customHeight="false" outlineLevel="0" collapsed="false">
      <c r="A186" s="27"/>
      <c r="B186" s="32"/>
      <c r="C186" s="32"/>
      <c r="D186" s="32"/>
      <c r="E186" s="31"/>
      <c r="F186" s="32"/>
      <c r="G186" s="32"/>
    </row>
    <row r="187" customFormat="false" ht="15" hidden="false" customHeight="false" outlineLevel="0" collapsed="false">
      <c r="A187" s="27"/>
      <c r="B187" s="32"/>
      <c r="C187" s="32"/>
      <c r="D187" s="32"/>
      <c r="E187" s="31"/>
      <c r="F187" s="32"/>
      <c r="G187" s="32"/>
    </row>
    <row r="188" customFormat="false" ht="15" hidden="false" customHeight="false" outlineLevel="0" collapsed="false">
      <c r="A188" s="27"/>
      <c r="B188" s="32"/>
      <c r="C188" s="32"/>
      <c r="D188" s="32"/>
      <c r="E188" s="31"/>
      <c r="F188" s="32"/>
      <c r="G188" s="32"/>
    </row>
    <row r="189" customFormat="false" ht="15" hidden="false" customHeight="false" outlineLevel="0" collapsed="false">
      <c r="A189" s="27"/>
      <c r="B189" s="32"/>
      <c r="C189" s="32"/>
      <c r="D189" s="32"/>
      <c r="E189" s="31"/>
      <c r="F189" s="32"/>
      <c r="G189" s="32"/>
    </row>
    <row r="190" customFormat="false" ht="15" hidden="false" customHeight="false" outlineLevel="0" collapsed="false">
      <c r="A190" s="27"/>
      <c r="B190" s="32"/>
      <c r="C190" s="32"/>
      <c r="D190" s="32"/>
      <c r="E190" s="31"/>
      <c r="F190" s="32"/>
      <c r="G190" s="32"/>
    </row>
    <row r="191" customFormat="false" ht="15" hidden="false" customHeight="false" outlineLevel="0" collapsed="false">
      <c r="A191" s="27"/>
      <c r="B191" s="32"/>
      <c r="C191" s="32"/>
      <c r="D191" s="32"/>
      <c r="E191" s="31"/>
      <c r="F191" s="32"/>
      <c r="G191" s="32"/>
    </row>
    <row r="192" customFormat="false" ht="15" hidden="false" customHeight="false" outlineLevel="0" collapsed="false">
      <c r="A192" s="27"/>
      <c r="B192" s="32"/>
      <c r="C192" s="32"/>
      <c r="D192" s="32"/>
      <c r="E192" s="31"/>
      <c r="F192" s="32"/>
      <c r="G192" s="32"/>
    </row>
    <row r="193" customFormat="false" ht="15" hidden="false" customHeight="false" outlineLevel="0" collapsed="false">
      <c r="A193" s="27"/>
      <c r="B193" s="32"/>
      <c r="C193" s="32"/>
      <c r="D193" s="32"/>
      <c r="E193" s="31"/>
      <c r="F193" s="32"/>
      <c r="G193" s="32"/>
    </row>
    <row r="194" customFormat="false" ht="15" hidden="false" customHeight="false" outlineLevel="0" collapsed="false">
      <c r="A194" s="27"/>
      <c r="B194" s="32"/>
      <c r="C194" s="32"/>
      <c r="D194" s="32"/>
      <c r="E194" s="31"/>
      <c r="F194" s="32"/>
      <c r="G194" s="32"/>
    </row>
    <row r="195" customFormat="false" ht="15" hidden="false" customHeight="false" outlineLevel="0" collapsed="false">
      <c r="A195" s="27"/>
      <c r="B195" s="32"/>
      <c r="C195" s="32"/>
      <c r="D195" s="32"/>
      <c r="E195" s="31"/>
      <c r="F195" s="32"/>
      <c r="G195" s="32"/>
    </row>
    <row r="196" customFormat="false" ht="15" hidden="false" customHeight="false" outlineLevel="0" collapsed="false">
      <c r="A196" s="27"/>
      <c r="B196" s="32"/>
      <c r="C196" s="32"/>
      <c r="D196" s="32"/>
      <c r="E196" s="31"/>
      <c r="F196" s="32"/>
      <c r="G196" s="32"/>
    </row>
    <row r="197" customFormat="false" ht="15" hidden="false" customHeight="false" outlineLevel="0" collapsed="false">
      <c r="A197" s="27"/>
      <c r="B197" s="32"/>
      <c r="C197" s="32"/>
      <c r="D197" s="32"/>
      <c r="E197" s="31"/>
      <c r="F197" s="32"/>
      <c r="G197" s="32"/>
    </row>
    <row r="198" customFormat="false" ht="15" hidden="false" customHeight="false" outlineLevel="0" collapsed="false">
      <c r="A198" s="27"/>
      <c r="B198" s="32"/>
      <c r="C198" s="32"/>
      <c r="D198" s="32"/>
      <c r="E198" s="31"/>
      <c r="F198" s="32"/>
      <c r="G198" s="32"/>
    </row>
    <row r="199" customFormat="false" ht="15" hidden="false" customHeight="false" outlineLevel="0" collapsed="false">
      <c r="A199" s="27"/>
      <c r="B199" s="32"/>
      <c r="C199" s="32"/>
      <c r="D199" s="32"/>
      <c r="E199" s="31"/>
      <c r="F199" s="32"/>
      <c r="G199" s="32"/>
    </row>
    <row r="200" customFormat="false" ht="15" hidden="false" customHeight="false" outlineLevel="0" collapsed="false">
      <c r="A200" s="27"/>
      <c r="B200" s="32"/>
      <c r="C200" s="32"/>
      <c r="D200" s="32"/>
      <c r="E200" s="31"/>
      <c r="F200" s="32"/>
      <c r="G200" s="32"/>
    </row>
    <row r="201" customFormat="false" ht="15" hidden="false" customHeight="false" outlineLevel="0" collapsed="false">
      <c r="A201" s="27"/>
      <c r="B201" s="32"/>
      <c r="C201" s="32"/>
      <c r="D201" s="32"/>
      <c r="E201" s="31"/>
      <c r="F201" s="32"/>
      <c r="G201" s="32"/>
    </row>
    <row r="202" customFormat="false" ht="15" hidden="false" customHeight="false" outlineLevel="0" collapsed="false">
      <c r="A202" s="27"/>
      <c r="B202" s="32"/>
      <c r="C202" s="32"/>
      <c r="D202" s="32"/>
      <c r="E202" s="31"/>
      <c r="F202" s="32"/>
      <c r="G202" s="32"/>
    </row>
    <row r="203" customFormat="false" ht="15" hidden="false" customHeight="false" outlineLevel="0" collapsed="false">
      <c r="A203" s="27"/>
      <c r="B203" s="32"/>
      <c r="C203" s="32"/>
      <c r="D203" s="32"/>
      <c r="E203" s="31"/>
      <c r="F203" s="32"/>
      <c r="G203" s="32"/>
    </row>
    <row r="204" customFormat="false" ht="15" hidden="false" customHeight="false" outlineLevel="0" collapsed="false">
      <c r="A204" s="27"/>
      <c r="B204" s="32"/>
      <c r="C204" s="32"/>
      <c r="D204" s="32"/>
      <c r="E204" s="31"/>
      <c r="F204" s="32"/>
      <c r="G204" s="32"/>
    </row>
    <row r="205" customFormat="false" ht="15" hidden="false" customHeight="false" outlineLevel="0" collapsed="false">
      <c r="A205" s="27"/>
      <c r="B205" s="32"/>
      <c r="C205" s="32"/>
      <c r="D205" s="32"/>
      <c r="E205" s="31"/>
      <c r="F205" s="32"/>
      <c r="G205" s="32"/>
    </row>
    <row r="206" customFormat="false" ht="15" hidden="false" customHeight="false" outlineLevel="0" collapsed="false">
      <c r="A206" s="27"/>
      <c r="B206" s="32"/>
      <c r="C206" s="32"/>
      <c r="D206" s="32"/>
      <c r="E206" s="31"/>
      <c r="F206" s="32"/>
      <c r="G206" s="32"/>
    </row>
    <row r="207" customFormat="false" ht="15" hidden="false" customHeight="false" outlineLevel="0" collapsed="false">
      <c r="A207" s="27"/>
      <c r="B207" s="32"/>
      <c r="C207" s="32"/>
      <c r="D207" s="32"/>
      <c r="E207" s="31"/>
      <c r="F207" s="32"/>
      <c r="G207" s="32"/>
    </row>
    <row r="208" customFormat="false" ht="15" hidden="false" customHeight="false" outlineLevel="0" collapsed="false">
      <c r="A208" s="27"/>
      <c r="B208" s="32"/>
      <c r="C208" s="32"/>
      <c r="D208" s="32"/>
      <c r="E208" s="31"/>
      <c r="F208" s="32"/>
      <c r="G208" s="32"/>
    </row>
    <row r="209" customFormat="false" ht="15" hidden="false" customHeight="false" outlineLevel="0" collapsed="false">
      <c r="A209" s="27"/>
      <c r="B209" s="32"/>
      <c r="C209" s="32"/>
      <c r="D209" s="32"/>
      <c r="E209" s="31"/>
      <c r="F209" s="32"/>
      <c r="G209" s="32"/>
    </row>
    <row r="210" customFormat="false" ht="15" hidden="false" customHeight="false" outlineLevel="0" collapsed="false">
      <c r="A210" s="27"/>
      <c r="B210" s="32"/>
      <c r="C210" s="32"/>
      <c r="D210" s="32"/>
      <c r="E210" s="31"/>
      <c r="F210" s="32"/>
      <c r="G210" s="32"/>
    </row>
    <row r="211" customFormat="false" ht="15" hidden="false" customHeight="false" outlineLevel="0" collapsed="false">
      <c r="A211" s="27"/>
      <c r="B211" s="32"/>
      <c r="C211" s="32"/>
      <c r="D211" s="32"/>
      <c r="E211" s="31"/>
      <c r="F211" s="32"/>
      <c r="G211" s="32"/>
    </row>
    <row r="212" customFormat="false" ht="15" hidden="false" customHeight="false" outlineLevel="0" collapsed="false">
      <c r="A212" s="27"/>
      <c r="B212" s="32"/>
      <c r="C212" s="32"/>
      <c r="D212" s="32"/>
      <c r="E212" s="31"/>
      <c r="F212" s="32"/>
      <c r="G212" s="32"/>
    </row>
    <row r="213" customFormat="false" ht="15" hidden="false" customHeight="false" outlineLevel="0" collapsed="false">
      <c r="A213" s="27"/>
      <c r="B213" s="32"/>
      <c r="C213" s="32"/>
      <c r="D213" s="32"/>
      <c r="E213" s="31"/>
      <c r="F213" s="32"/>
      <c r="G213" s="32"/>
    </row>
    <row r="214" customFormat="false" ht="15" hidden="false" customHeight="false" outlineLevel="0" collapsed="false">
      <c r="A214" s="27"/>
      <c r="B214" s="32"/>
      <c r="C214" s="32"/>
      <c r="D214" s="32"/>
      <c r="E214" s="31"/>
      <c r="F214" s="32"/>
      <c r="G214" s="32"/>
    </row>
    <row r="215" customFormat="false" ht="15" hidden="false" customHeight="false" outlineLevel="0" collapsed="false">
      <c r="A215" s="27"/>
      <c r="B215" s="32"/>
      <c r="C215" s="32"/>
      <c r="D215" s="32"/>
      <c r="E215" s="31"/>
      <c r="F215" s="32"/>
      <c r="G215" s="32"/>
    </row>
    <row r="216" customFormat="false" ht="15" hidden="false" customHeight="false" outlineLevel="0" collapsed="false">
      <c r="A216" s="27"/>
      <c r="B216" s="32"/>
      <c r="C216" s="32"/>
      <c r="D216" s="32"/>
      <c r="E216" s="31"/>
      <c r="F216" s="32"/>
      <c r="G216" s="32"/>
    </row>
    <row r="217" customFormat="false" ht="15" hidden="false" customHeight="false" outlineLevel="0" collapsed="false">
      <c r="A217" s="27"/>
      <c r="B217" s="32"/>
      <c r="C217" s="32"/>
      <c r="D217" s="32"/>
      <c r="E217" s="31"/>
      <c r="F217" s="32"/>
      <c r="G217" s="32"/>
    </row>
    <row r="218" customFormat="false" ht="15" hidden="false" customHeight="false" outlineLevel="0" collapsed="false">
      <c r="A218" s="27"/>
      <c r="B218" s="32"/>
      <c r="C218" s="32"/>
      <c r="D218" s="32"/>
      <c r="E218" s="31"/>
      <c r="F218" s="32"/>
      <c r="G218" s="32"/>
    </row>
    <row r="219" customFormat="false" ht="15" hidden="false" customHeight="false" outlineLevel="0" collapsed="false">
      <c r="A219" s="27"/>
      <c r="B219" s="32"/>
      <c r="C219" s="32"/>
      <c r="D219" s="32"/>
      <c r="E219" s="31"/>
      <c r="F219" s="32"/>
      <c r="G219" s="32"/>
    </row>
    <row r="220" customFormat="false" ht="15" hidden="false" customHeight="false" outlineLevel="0" collapsed="false">
      <c r="A220" s="27"/>
      <c r="B220" s="32"/>
      <c r="C220" s="32"/>
      <c r="D220" s="32"/>
      <c r="E220" s="31"/>
      <c r="F220" s="32"/>
      <c r="G220" s="32"/>
    </row>
    <row r="221" customFormat="false" ht="15" hidden="false" customHeight="false" outlineLevel="0" collapsed="false">
      <c r="A221" s="27"/>
      <c r="B221" s="32"/>
      <c r="C221" s="32"/>
      <c r="D221" s="32"/>
      <c r="E221" s="31"/>
      <c r="F221" s="32"/>
      <c r="G221" s="32"/>
    </row>
    <row r="222" customFormat="false" ht="15" hidden="false" customHeight="false" outlineLevel="0" collapsed="false">
      <c r="A222" s="27"/>
      <c r="B222" s="32"/>
      <c r="C222" s="32"/>
      <c r="D222" s="32"/>
      <c r="E222" s="31"/>
      <c r="F222" s="32"/>
      <c r="G222" s="32"/>
    </row>
    <row r="223" customFormat="false" ht="15" hidden="false" customHeight="false" outlineLevel="0" collapsed="false">
      <c r="A223" s="27"/>
      <c r="B223" s="32"/>
      <c r="C223" s="32"/>
      <c r="D223" s="32"/>
      <c r="E223" s="31"/>
      <c r="F223" s="32"/>
      <c r="G223" s="32"/>
    </row>
    <row r="224" customFormat="false" ht="15" hidden="false" customHeight="false" outlineLevel="0" collapsed="false">
      <c r="A224" s="27"/>
      <c r="B224" s="32"/>
      <c r="C224" s="32"/>
      <c r="D224" s="32"/>
      <c r="E224" s="31"/>
      <c r="F224" s="32"/>
      <c r="G224" s="32"/>
    </row>
    <row r="225" customFormat="false" ht="15" hidden="false" customHeight="false" outlineLevel="0" collapsed="false">
      <c r="A225" s="27"/>
      <c r="B225" s="32"/>
      <c r="C225" s="32"/>
      <c r="D225" s="32"/>
      <c r="E225" s="31"/>
      <c r="F225" s="32"/>
      <c r="G225" s="32"/>
    </row>
    <row r="226" customFormat="false" ht="15" hidden="false" customHeight="false" outlineLevel="0" collapsed="false">
      <c r="A226" s="27"/>
      <c r="B226" s="32"/>
      <c r="C226" s="32"/>
      <c r="D226" s="32"/>
      <c r="E226" s="31"/>
      <c r="F226" s="32"/>
      <c r="G226" s="32"/>
    </row>
    <row r="227" customFormat="false" ht="15" hidden="false" customHeight="false" outlineLevel="0" collapsed="false">
      <c r="A227" s="27"/>
      <c r="B227" s="32"/>
      <c r="C227" s="32"/>
      <c r="D227" s="32"/>
      <c r="E227" s="31"/>
      <c r="F227" s="32"/>
      <c r="G227" s="32"/>
    </row>
    <row r="228" customFormat="false" ht="15" hidden="false" customHeight="false" outlineLevel="0" collapsed="false">
      <c r="A228" s="27"/>
      <c r="B228" s="32"/>
      <c r="C228" s="32"/>
      <c r="D228" s="32"/>
      <c r="E228" s="31"/>
      <c r="F228" s="32"/>
      <c r="G228" s="32"/>
    </row>
    <row r="229" customFormat="false" ht="15" hidden="false" customHeight="false" outlineLevel="0" collapsed="false">
      <c r="A229" s="27"/>
      <c r="B229" s="32"/>
      <c r="C229" s="32"/>
      <c r="D229" s="32"/>
      <c r="E229" s="31"/>
      <c r="F229" s="32"/>
      <c r="G229" s="32"/>
    </row>
    <row r="230" customFormat="false" ht="15" hidden="false" customHeight="false" outlineLevel="0" collapsed="false">
      <c r="A230" s="27"/>
      <c r="B230" s="32"/>
      <c r="C230" s="32"/>
      <c r="D230" s="32"/>
      <c r="E230" s="31"/>
      <c r="F230" s="32"/>
      <c r="G230" s="32"/>
    </row>
    <row r="231" customFormat="false" ht="15" hidden="false" customHeight="false" outlineLevel="0" collapsed="false">
      <c r="A231" s="27"/>
      <c r="B231" s="32"/>
      <c r="C231" s="32"/>
      <c r="D231" s="32"/>
      <c r="E231" s="31"/>
      <c r="F231" s="32"/>
      <c r="G231" s="32"/>
    </row>
    <row r="232" customFormat="false" ht="15" hidden="false" customHeight="false" outlineLevel="0" collapsed="false">
      <c r="A232" s="27"/>
      <c r="B232" s="32"/>
      <c r="C232" s="32"/>
      <c r="D232" s="32"/>
      <c r="E232" s="31"/>
      <c r="F232" s="32"/>
      <c r="G232" s="32"/>
    </row>
    <row r="233" customFormat="false" ht="15" hidden="false" customHeight="false" outlineLevel="0" collapsed="false">
      <c r="A233" s="27"/>
      <c r="B233" s="32"/>
      <c r="C233" s="32"/>
      <c r="D233" s="32"/>
      <c r="E233" s="31"/>
      <c r="F233" s="32"/>
      <c r="G233" s="32"/>
    </row>
    <row r="234" customFormat="false" ht="15" hidden="false" customHeight="false" outlineLevel="0" collapsed="false">
      <c r="A234" s="27"/>
      <c r="B234" s="32"/>
      <c r="C234" s="32"/>
      <c r="D234" s="32"/>
      <c r="E234" s="31"/>
      <c r="F234" s="32"/>
      <c r="G234" s="32"/>
    </row>
    <row r="235" customFormat="false" ht="15" hidden="false" customHeight="false" outlineLevel="0" collapsed="false">
      <c r="A235" s="27"/>
      <c r="B235" s="32"/>
      <c r="C235" s="32"/>
      <c r="D235" s="32"/>
      <c r="E235" s="31"/>
      <c r="F235" s="32"/>
      <c r="G235" s="32"/>
    </row>
    <row r="236" customFormat="false" ht="15" hidden="false" customHeight="false" outlineLevel="0" collapsed="false">
      <c r="A236" s="27"/>
      <c r="B236" s="32"/>
      <c r="C236" s="32"/>
      <c r="D236" s="32"/>
      <c r="E236" s="31"/>
      <c r="F236" s="32"/>
      <c r="G236" s="32"/>
    </row>
    <row r="237" customFormat="false" ht="15" hidden="false" customHeight="false" outlineLevel="0" collapsed="false">
      <c r="A237" s="27"/>
      <c r="B237" s="32"/>
      <c r="C237" s="32"/>
      <c r="D237" s="32"/>
      <c r="E237" s="31"/>
      <c r="F237" s="32"/>
      <c r="G237" s="32"/>
    </row>
    <row r="238" customFormat="false" ht="15" hidden="false" customHeight="false" outlineLevel="0" collapsed="false">
      <c r="A238" s="27"/>
      <c r="B238" s="32"/>
      <c r="C238" s="32"/>
      <c r="D238" s="32"/>
      <c r="E238" s="31"/>
      <c r="F238" s="32"/>
      <c r="G238" s="32"/>
    </row>
    <row r="239" customFormat="false" ht="15" hidden="false" customHeight="false" outlineLevel="0" collapsed="false">
      <c r="A239" s="27"/>
      <c r="B239" s="32"/>
      <c r="C239" s="32"/>
      <c r="D239" s="32"/>
      <c r="E239" s="31"/>
      <c r="F239" s="32"/>
      <c r="G239" s="32"/>
    </row>
    <row r="240" customFormat="false" ht="15" hidden="false" customHeight="false" outlineLevel="0" collapsed="false">
      <c r="A240" s="27"/>
      <c r="B240" s="32"/>
      <c r="C240" s="32"/>
      <c r="D240" s="32"/>
      <c r="E240" s="31"/>
      <c r="F240" s="32"/>
      <c r="G240" s="32"/>
    </row>
    <row r="241" customFormat="false" ht="15" hidden="false" customHeight="false" outlineLevel="0" collapsed="false">
      <c r="A241" s="27"/>
      <c r="B241" s="32"/>
      <c r="C241" s="32"/>
      <c r="D241" s="32"/>
      <c r="E241" s="31"/>
      <c r="F241" s="32"/>
      <c r="G241" s="32"/>
    </row>
    <row r="242" customFormat="false" ht="15" hidden="false" customHeight="false" outlineLevel="0" collapsed="false">
      <c r="A242" s="27"/>
      <c r="B242" s="32"/>
      <c r="C242" s="32"/>
      <c r="D242" s="32"/>
      <c r="E242" s="31"/>
      <c r="F242" s="32"/>
      <c r="G242" s="32"/>
    </row>
    <row r="243" customFormat="false" ht="15" hidden="false" customHeight="false" outlineLevel="0" collapsed="false">
      <c r="A243" s="27"/>
      <c r="B243" s="32"/>
      <c r="C243" s="32"/>
      <c r="D243" s="32"/>
      <c r="E243" s="31"/>
      <c r="F243" s="32"/>
      <c r="G243" s="32"/>
    </row>
    <row r="244" customFormat="false" ht="15" hidden="false" customHeight="false" outlineLevel="0" collapsed="false">
      <c r="A244" s="27"/>
      <c r="B244" s="32"/>
      <c r="C244" s="32"/>
      <c r="D244" s="32"/>
      <c r="E244" s="31"/>
      <c r="F244" s="32"/>
      <c r="G244" s="32"/>
    </row>
    <row r="245" customFormat="false" ht="15" hidden="false" customHeight="false" outlineLevel="0" collapsed="false">
      <c r="A245" s="27"/>
      <c r="B245" s="32"/>
      <c r="C245" s="32"/>
      <c r="D245" s="32"/>
      <c r="E245" s="31"/>
      <c r="F245" s="32"/>
      <c r="G245" s="32"/>
    </row>
    <row r="246" customFormat="false" ht="15" hidden="false" customHeight="false" outlineLevel="0" collapsed="false">
      <c r="A246" s="27"/>
      <c r="B246" s="32"/>
      <c r="C246" s="32"/>
      <c r="D246" s="32"/>
      <c r="E246" s="31"/>
      <c r="F246" s="32"/>
      <c r="G246" s="32"/>
    </row>
    <row r="247" customFormat="false" ht="15" hidden="false" customHeight="false" outlineLevel="0" collapsed="false">
      <c r="A247" s="27"/>
      <c r="B247" s="32"/>
      <c r="C247" s="32"/>
      <c r="D247" s="32"/>
      <c r="E247" s="31"/>
      <c r="F247" s="32"/>
      <c r="G247" s="32"/>
    </row>
    <row r="248" customFormat="false" ht="15" hidden="false" customHeight="false" outlineLevel="0" collapsed="false">
      <c r="A248" s="27"/>
      <c r="B248" s="32"/>
      <c r="C248" s="32"/>
      <c r="D248" s="32"/>
      <c r="E248" s="31"/>
      <c r="F248" s="32"/>
      <c r="G248" s="32"/>
    </row>
    <row r="249" customFormat="false" ht="15" hidden="false" customHeight="false" outlineLevel="0" collapsed="false">
      <c r="A249" s="27"/>
      <c r="B249" s="32"/>
      <c r="C249" s="32"/>
      <c r="D249" s="32"/>
      <c r="E249" s="31"/>
      <c r="F249" s="32"/>
      <c r="G249" s="32"/>
    </row>
    <row r="250" customFormat="false" ht="15" hidden="false" customHeight="false" outlineLevel="0" collapsed="false">
      <c r="A250" s="27"/>
      <c r="B250" s="32"/>
      <c r="C250" s="32"/>
      <c r="D250" s="32"/>
      <c r="E250" s="31"/>
      <c r="F250" s="32"/>
      <c r="G250" s="32"/>
    </row>
    <row r="251" customFormat="false" ht="15" hidden="false" customHeight="false" outlineLevel="0" collapsed="false">
      <c r="A251" s="27"/>
      <c r="B251" s="32"/>
      <c r="C251" s="32"/>
      <c r="D251" s="32"/>
      <c r="E251" s="31"/>
      <c r="F251" s="32"/>
      <c r="G251" s="32"/>
    </row>
    <row r="252" customFormat="false" ht="15" hidden="false" customHeight="false" outlineLevel="0" collapsed="false">
      <c r="A252" s="27"/>
      <c r="B252" s="32"/>
      <c r="C252" s="32"/>
      <c r="D252" s="32"/>
      <c r="E252" s="31"/>
      <c r="F252" s="32"/>
      <c r="G252" s="32"/>
    </row>
    <row r="253" customFormat="false" ht="15" hidden="false" customHeight="false" outlineLevel="0" collapsed="false">
      <c r="A253" s="27"/>
      <c r="B253" s="32"/>
      <c r="C253" s="32"/>
      <c r="D253" s="32"/>
      <c r="E253" s="31"/>
      <c r="F253" s="32"/>
      <c r="G253" s="32"/>
    </row>
    <row r="254" customFormat="false" ht="15" hidden="false" customHeight="false" outlineLevel="0" collapsed="false">
      <c r="A254" s="27"/>
      <c r="B254" s="32"/>
      <c r="C254" s="32"/>
      <c r="D254" s="32"/>
      <c r="E254" s="31"/>
      <c r="F254" s="32"/>
      <c r="G254" s="32"/>
    </row>
    <row r="255" customFormat="false" ht="15" hidden="false" customHeight="false" outlineLevel="0" collapsed="false">
      <c r="A255" s="27"/>
      <c r="B255" s="32"/>
      <c r="C255" s="32"/>
      <c r="D255" s="32"/>
      <c r="E255" s="31"/>
      <c r="F255" s="32"/>
      <c r="G255" s="32"/>
    </row>
    <row r="256" customFormat="false" ht="15" hidden="false" customHeight="false" outlineLevel="0" collapsed="false">
      <c r="A256" s="27"/>
      <c r="B256" s="32"/>
      <c r="C256" s="32"/>
      <c r="D256" s="32"/>
      <c r="E256" s="31"/>
      <c r="F256" s="32"/>
      <c r="G256" s="32"/>
    </row>
    <row r="257" customFormat="false" ht="15" hidden="false" customHeight="false" outlineLevel="0" collapsed="false">
      <c r="A257" s="27"/>
      <c r="B257" s="32"/>
      <c r="C257" s="32"/>
      <c r="D257" s="32"/>
      <c r="E257" s="31"/>
      <c r="F257" s="32"/>
      <c r="G257" s="32"/>
    </row>
    <row r="258" customFormat="false" ht="15" hidden="false" customHeight="false" outlineLevel="0" collapsed="false">
      <c r="A258" s="27"/>
      <c r="B258" s="32"/>
      <c r="C258" s="32"/>
      <c r="D258" s="32"/>
      <c r="E258" s="31"/>
      <c r="F258" s="32"/>
      <c r="G258" s="32"/>
    </row>
    <row r="259" customFormat="false" ht="15" hidden="false" customHeight="false" outlineLevel="0" collapsed="false">
      <c r="A259" s="27"/>
      <c r="B259" s="32"/>
      <c r="C259" s="32"/>
      <c r="D259" s="32"/>
      <c r="E259" s="31"/>
      <c r="F259" s="32"/>
      <c r="G259" s="32"/>
    </row>
    <row r="260" customFormat="false" ht="15" hidden="false" customHeight="false" outlineLevel="0" collapsed="false">
      <c r="A260" s="27"/>
      <c r="B260" s="32"/>
      <c r="C260" s="32"/>
      <c r="D260" s="32"/>
      <c r="E260" s="31"/>
      <c r="F260" s="32"/>
      <c r="G260" s="32"/>
    </row>
    <row r="261" customFormat="false" ht="15" hidden="false" customHeight="false" outlineLevel="0" collapsed="false">
      <c r="A261" s="27"/>
      <c r="B261" s="32"/>
      <c r="C261" s="32"/>
      <c r="D261" s="32"/>
      <c r="E261" s="31"/>
      <c r="F261" s="32"/>
      <c r="G261" s="32"/>
    </row>
    <row r="262" customFormat="false" ht="15" hidden="false" customHeight="false" outlineLevel="0" collapsed="false">
      <c r="A262" s="27"/>
      <c r="B262" s="32"/>
      <c r="C262" s="32"/>
      <c r="D262" s="32"/>
      <c r="E262" s="31"/>
      <c r="F262" s="32"/>
      <c r="G262" s="32"/>
    </row>
    <row r="263" customFormat="false" ht="15" hidden="false" customHeight="false" outlineLevel="0" collapsed="false">
      <c r="A263" s="27"/>
      <c r="B263" s="32"/>
      <c r="C263" s="32"/>
      <c r="D263" s="32"/>
      <c r="E263" s="31"/>
      <c r="F263" s="32"/>
      <c r="G263" s="32"/>
    </row>
    <row r="264" customFormat="false" ht="15" hidden="false" customHeight="false" outlineLevel="0" collapsed="false">
      <c r="A264" s="27"/>
      <c r="B264" s="32"/>
      <c r="C264" s="32"/>
      <c r="D264" s="32"/>
      <c r="E264" s="31"/>
      <c r="F264" s="32"/>
      <c r="G264" s="32"/>
    </row>
    <row r="265" customFormat="false" ht="15" hidden="false" customHeight="false" outlineLevel="0" collapsed="false">
      <c r="A265" s="27"/>
      <c r="B265" s="32"/>
      <c r="C265" s="32"/>
      <c r="D265" s="32"/>
      <c r="E265" s="31"/>
      <c r="F265" s="32"/>
      <c r="G265" s="32"/>
    </row>
    <row r="266" customFormat="false" ht="15" hidden="false" customHeight="false" outlineLevel="0" collapsed="false">
      <c r="A266" s="27"/>
      <c r="B266" s="32"/>
      <c r="C266" s="32"/>
      <c r="D266" s="32"/>
      <c r="E266" s="31"/>
      <c r="F266" s="32"/>
      <c r="G266" s="32"/>
    </row>
    <row r="267" customFormat="false" ht="15" hidden="false" customHeight="false" outlineLevel="0" collapsed="false">
      <c r="A267" s="27"/>
      <c r="B267" s="32"/>
      <c r="C267" s="32"/>
      <c r="D267" s="32"/>
      <c r="E267" s="31"/>
      <c r="F267" s="32"/>
      <c r="G267" s="32"/>
    </row>
    <row r="268" customFormat="false" ht="15" hidden="false" customHeight="false" outlineLevel="0" collapsed="false">
      <c r="A268" s="27"/>
      <c r="B268" s="32"/>
      <c r="C268" s="32"/>
      <c r="D268" s="32"/>
      <c r="E268" s="31"/>
      <c r="F268" s="32"/>
      <c r="G268" s="32"/>
    </row>
    <row r="269" customFormat="false" ht="15" hidden="false" customHeight="false" outlineLevel="0" collapsed="false">
      <c r="A269" s="27"/>
      <c r="B269" s="32"/>
      <c r="C269" s="32"/>
      <c r="D269" s="32"/>
      <c r="E269" s="31"/>
      <c r="F269" s="32"/>
      <c r="G269" s="32"/>
    </row>
    <row r="270" customFormat="false" ht="15" hidden="false" customHeight="false" outlineLevel="0" collapsed="false">
      <c r="A270" s="27"/>
      <c r="B270" s="32"/>
      <c r="C270" s="32"/>
      <c r="D270" s="32"/>
      <c r="E270" s="31"/>
      <c r="F270" s="32"/>
      <c r="G270" s="32"/>
    </row>
    <row r="271" customFormat="false" ht="15" hidden="false" customHeight="false" outlineLevel="0" collapsed="false">
      <c r="A271" s="27"/>
      <c r="B271" s="32"/>
      <c r="C271" s="32"/>
      <c r="D271" s="32"/>
      <c r="E271" s="31"/>
      <c r="F271" s="32"/>
      <c r="G271" s="32"/>
    </row>
    <row r="272" customFormat="false" ht="15" hidden="false" customHeight="false" outlineLevel="0" collapsed="false">
      <c r="A272" s="27"/>
      <c r="B272" s="32"/>
      <c r="C272" s="32"/>
      <c r="D272" s="32"/>
      <c r="E272" s="31"/>
      <c r="F272" s="32"/>
      <c r="G272" s="32"/>
    </row>
    <row r="273" customFormat="false" ht="15" hidden="false" customHeight="false" outlineLevel="0" collapsed="false">
      <c r="A273" s="27"/>
      <c r="B273" s="32"/>
      <c r="C273" s="32"/>
      <c r="D273" s="32"/>
      <c r="E273" s="31"/>
      <c r="F273" s="32"/>
      <c r="G273" s="32"/>
    </row>
    <row r="274" customFormat="false" ht="15" hidden="false" customHeight="false" outlineLevel="0" collapsed="false">
      <c r="A274" s="27"/>
      <c r="B274" s="32"/>
      <c r="C274" s="32"/>
      <c r="D274" s="32"/>
      <c r="E274" s="31"/>
      <c r="F274" s="32"/>
      <c r="G274" s="32"/>
    </row>
    <row r="275" customFormat="false" ht="15" hidden="false" customHeight="false" outlineLevel="0" collapsed="false">
      <c r="A275" s="27"/>
      <c r="B275" s="32"/>
      <c r="C275" s="32"/>
      <c r="D275" s="32"/>
      <c r="E275" s="31"/>
      <c r="F275" s="32"/>
      <c r="G275" s="32"/>
    </row>
    <row r="276" customFormat="false" ht="15" hidden="false" customHeight="false" outlineLevel="0" collapsed="false">
      <c r="A276" s="27"/>
      <c r="B276" s="32"/>
      <c r="C276" s="32"/>
      <c r="D276" s="32"/>
      <c r="E276" s="31"/>
      <c r="F276" s="32"/>
      <c r="G276" s="32"/>
    </row>
    <row r="277" customFormat="false" ht="15" hidden="false" customHeight="false" outlineLevel="0" collapsed="false">
      <c r="A277" s="27"/>
      <c r="B277" s="32"/>
      <c r="C277" s="32"/>
      <c r="D277" s="32"/>
      <c r="E277" s="31"/>
      <c r="F277" s="32"/>
      <c r="G277" s="32"/>
    </row>
    <row r="278" customFormat="false" ht="15" hidden="false" customHeight="false" outlineLevel="0" collapsed="false">
      <c r="A278" s="27"/>
      <c r="B278" s="32"/>
      <c r="C278" s="32"/>
      <c r="D278" s="32"/>
      <c r="E278" s="31"/>
      <c r="F278" s="32"/>
      <c r="G278" s="32"/>
    </row>
    <row r="279" customFormat="false" ht="15" hidden="false" customHeight="false" outlineLevel="0" collapsed="false">
      <c r="A279" s="27"/>
      <c r="B279" s="32"/>
      <c r="C279" s="32"/>
      <c r="D279" s="32"/>
      <c r="E279" s="31"/>
      <c r="F279" s="32"/>
      <c r="G279" s="32"/>
    </row>
    <row r="280" customFormat="false" ht="15" hidden="false" customHeight="false" outlineLevel="0" collapsed="false">
      <c r="A280" s="27"/>
      <c r="B280" s="32"/>
      <c r="C280" s="32"/>
      <c r="D280" s="32"/>
      <c r="E280" s="31"/>
      <c r="F280" s="32"/>
      <c r="G280" s="32"/>
    </row>
    <row r="281" customFormat="false" ht="15" hidden="false" customHeight="false" outlineLevel="0" collapsed="false">
      <c r="A281" s="27"/>
      <c r="B281" s="32"/>
      <c r="C281" s="32"/>
      <c r="D281" s="32"/>
      <c r="E281" s="31"/>
      <c r="F281" s="32"/>
      <c r="G281" s="32"/>
    </row>
    <row r="282" customFormat="false" ht="15" hidden="false" customHeight="false" outlineLevel="0" collapsed="false">
      <c r="A282" s="27"/>
      <c r="B282" s="32"/>
      <c r="C282" s="32"/>
      <c r="D282" s="32"/>
      <c r="E282" s="31"/>
      <c r="F282" s="32"/>
      <c r="G282" s="32"/>
    </row>
    <row r="283" customFormat="false" ht="15" hidden="false" customHeight="false" outlineLevel="0" collapsed="false">
      <c r="A283" s="27"/>
      <c r="B283" s="32"/>
      <c r="C283" s="32"/>
      <c r="D283" s="32"/>
      <c r="E283" s="31"/>
      <c r="F283" s="32"/>
      <c r="G283" s="32"/>
    </row>
    <row r="284" customFormat="false" ht="15" hidden="false" customHeight="false" outlineLevel="0" collapsed="false">
      <c r="A284" s="27"/>
      <c r="B284" s="32"/>
      <c r="C284" s="32"/>
      <c r="D284" s="32"/>
      <c r="E284" s="31"/>
      <c r="F284" s="32"/>
      <c r="G284" s="32"/>
    </row>
    <row r="285" customFormat="false" ht="15" hidden="false" customHeight="false" outlineLevel="0" collapsed="false">
      <c r="A285" s="27"/>
      <c r="B285" s="32"/>
      <c r="C285" s="32"/>
      <c r="D285" s="32"/>
      <c r="E285" s="31"/>
      <c r="F285" s="32"/>
      <c r="G285" s="32"/>
    </row>
    <row r="286" customFormat="false" ht="15" hidden="false" customHeight="false" outlineLevel="0" collapsed="false">
      <c r="A286" s="27"/>
      <c r="B286" s="32"/>
      <c r="C286" s="32"/>
      <c r="D286" s="32"/>
      <c r="E286" s="31"/>
      <c r="F286" s="32"/>
      <c r="G286" s="32"/>
    </row>
    <row r="287" customFormat="false" ht="15" hidden="false" customHeight="false" outlineLevel="0" collapsed="false">
      <c r="A287" s="27"/>
      <c r="B287" s="32"/>
      <c r="C287" s="32"/>
      <c r="D287" s="32"/>
      <c r="E287" s="31"/>
      <c r="F287" s="32"/>
      <c r="G287" s="32"/>
    </row>
    <row r="288" customFormat="false" ht="15" hidden="false" customHeight="false" outlineLevel="0" collapsed="false">
      <c r="A288" s="27"/>
      <c r="B288" s="32"/>
      <c r="C288" s="32"/>
      <c r="D288" s="32"/>
      <c r="E288" s="31"/>
      <c r="F288" s="32"/>
      <c r="G288" s="32"/>
    </row>
    <row r="289" customFormat="false" ht="15" hidden="false" customHeight="false" outlineLevel="0" collapsed="false">
      <c r="A289" s="27"/>
      <c r="B289" s="32"/>
      <c r="C289" s="32"/>
      <c r="D289" s="32"/>
      <c r="E289" s="31"/>
      <c r="F289" s="32"/>
      <c r="G289" s="32"/>
    </row>
    <row r="290" customFormat="false" ht="15" hidden="false" customHeight="false" outlineLevel="0" collapsed="false">
      <c r="A290" s="27"/>
      <c r="B290" s="32"/>
      <c r="C290" s="32"/>
      <c r="D290" s="32"/>
      <c r="E290" s="31"/>
      <c r="F290" s="32"/>
      <c r="G290" s="32"/>
    </row>
    <row r="291" customFormat="false" ht="15" hidden="false" customHeight="false" outlineLevel="0" collapsed="false">
      <c r="A291" s="27"/>
      <c r="B291" s="32"/>
      <c r="C291" s="32"/>
      <c r="D291" s="32"/>
      <c r="E291" s="31"/>
      <c r="F291" s="32"/>
      <c r="G291" s="32"/>
    </row>
    <row r="292" customFormat="false" ht="15" hidden="false" customHeight="false" outlineLevel="0" collapsed="false">
      <c r="A292" s="27"/>
      <c r="B292" s="32"/>
      <c r="C292" s="32"/>
      <c r="D292" s="32"/>
      <c r="E292" s="31"/>
      <c r="F292" s="32"/>
      <c r="G292" s="32"/>
    </row>
    <row r="293" customFormat="false" ht="15" hidden="false" customHeight="false" outlineLevel="0" collapsed="false">
      <c r="A293" s="27"/>
      <c r="B293" s="32"/>
      <c r="C293" s="32"/>
      <c r="D293" s="32"/>
      <c r="E293" s="31"/>
      <c r="F293" s="32"/>
      <c r="G293" s="32"/>
    </row>
    <row r="294" customFormat="false" ht="15" hidden="false" customHeight="false" outlineLevel="0" collapsed="false">
      <c r="A294" s="27"/>
      <c r="B294" s="32"/>
      <c r="C294" s="32"/>
      <c r="D294" s="32"/>
      <c r="E294" s="31"/>
      <c r="F294" s="32"/>
      <c r="G294" s="32"/>
    </row>
    <row r="295" customFormat="false" ht="15" hidden="false" customHeight="false" outlineLevel="0" collapsed="false">
      <c r="A295" s="27"/>
      <c r="B295" s="32"/>
      <c r="C295" s="32"/>
      <c r="D295" s="32"/>
      <c r="E295" s="31"/>
      <c r="F295" s="32"/>
      <c r="G295" s="32"/>
    </row>
    <row r="296" customFormat="false" ht="15" hidden="false" customHeight="false" outlineLevel="0" collapsed="false">
      <c r="A296" s="27"/>
      <c r="B296" s="32"/>
      <c r="C296" s="32"/>
      <c r="D296" s="32"/>
      <c r="E296" s="31"/>
      <c r="F296" s="32"/>
      <c r="G296" s="32"/>
    </row>
    <row r="297" customFormat="false" ht="15" hidden="false" customHeight="false" outlineLevel="0" collapsed="false">
      <c r="A297" s="27"/>
      <c r="B297" s="32"/>
      <c r="C297" s="32"/>
      <c r="D297" s="32"/>
      <c r="E297" s="31"/>
      <c r="F297" s="32"/>
      <c r="G297" s="32"/>
    </row>
    <row r="298" customFormat="false" ht="15" hidden="false" customHeight="false" outlineLevel="0" collapsed="false">
      <c r="A298" s="27"/>
      <c r="B298" s="32"/>
      <c r="C298" s="32"/>
      <c r="D298" s="32"/>
      <c r="E298" s="31"/>
      <c r="F298" s="32"/>
      <c r="G298" s="32"/>
    </row>
    <row r="299" customFormat="false" ht="15" hidden="false" customHeight="false" outlineLevel="0" collapsed="false">
      <c r="A299" s="27"/>
      <c r="B299" s="32"/>
      <c r="C299" s="32"/>
      <c r="D299" s="32"/>
      <c r="E299" s="31"/>
      <c r="F299" s="32"/>
      <c r="G299" s="32"/>
    </row>
    <row r="300" customFormat="false" ht="15" hidden="false" customHeight="false" outlineLevel="0" collapsed="false">
      <c r="A300" s="27"/>
      <c r="B300" s="32"/>
      <c r="C300" s="32"/>
      <c r="D300" s="32"/>
      <c r="E300" s="31"/>
      <c r="F300" s="32"/>
      <c r="G300" s="32"/>
    </row>
    <row r="301" customFormat="false" ht="15" hidden="false" customHeight="false" outlineLevel="0" collapsed="false">
      <c r="A301" s="27"/>
      <c r="B301" s="32"/>
      <c r="C301" s="32"/>
      <c r="D301" s="32"/>
      <c r="E301" s="31"/>
      <c r="F301" s="32"/>
      <c r="G301" s="32"/>
    </row>
    <row r="302" customFormat="false" ht="15" hidden="false" customHeight="false" outlineLevel="0" collapsed="false">
      <c r="A302" s="27"/>
      <c r="B302" s="32"/>
      <c r="C302" s="32"/>
      <c r="D302" s="32"/>
      <c r="E302" s="31"/>
      <c r="F302" s="32"/>
      <c r="G302" s="32"/>
    </row>
    <row r="303" customFormat="false" ht="15" hidden="false" customHeight="false" outlineLevel="0" collapsed="false">
      <c r="A303" s="27"/>
      <c r="B303" s="32"/>
      <c r="C303" s="32"/>
      <c r="D303" s="32"/>
      <c r="E303" s="31"/>
      <c r="F303" s="32"/>
      <c r="G303" s="32"/>
    </row>
    <row r="304" customFormat="false" ht="15" hidden="false" customHeight="false" outlineLevel="0" collapsed="false">
      <c r="A304" s="27"/>
      <c r="B304" s="32"/>
      <c r="C304" s="32"/>
      <c r="D304" s="32"/>
      <c r="E304" s="31"/>
      <c r="F304" s="32"/>
      <c r="G304" s="32"/>
    </row>
    <row r="305" customFormat="false" ht="15" hidden="false" customHeight="false" outlineLevel="0" collapsed="false">
      <c r="A305" s="27"/>
      <c r="B305" s="32"/>
      <c r="C305" s="32"/>
      <c r="D305" s="32"/>
      <c r="E305" s="31"/>
      <c r="F305" s="32"/>
      <c r="G305" s="32"/>
    </row>
    <row r="306" customFormat="false" ht="15" hidden="false" customHeight="false" outlineLevel="0" collapsed="false">
      <c r="A306" s="27"/>
      <c r="B306" s="32"/>
      <c r="C306" s="32"/>
      <c r="D306" s="32"/>
      <c r="E306" s="31"/>
      <c r="F306" s="32"/>
      <c r="G306" s="32"/>
    </row>
    <row r="307" customFormat="false" ht="15" hidden="false" customHeight="false" outlineLevel="0" collapsed="false">
      <c r="A307" s="27"/>
      <c r="B307" s="32"/>
      <c r="C307" s="32"/>
      <c r="D307" s="32"/>
      <c r="E307" s="31"/>
      <c r="F307" s="32"/>
      <c r="G307" s="32"/>
    </row>
    <row r="308" customFormat="false" ht="15" hidden="false" customHeight="false" outlineLevel="0" collapsed="false">
      <c r="A308" s="27"/>
      <c r="B308" s="32"/>
      <c r="C308" s="32"/>
      <c r="D308" s="32"/>
      <c r="E308" s="31"/>
      <c r="F308" s="32"/>
      <c r="G308" s="32"/>
    </row>
    <row r="309" customFormat="false" ht="15" hidden="false" customHeight="false" outlineLevel="0" collapsed="false">
      <c r="A309" s="27"/>
      <c r="B309" s="32"/>
      <c r="C309" s="32"/>
      <c r="D309" s="32"/>
      <c r="E309" s="31"/>
      <c r="F309" s="32"/>
      <c r="G309" s="32"/>
    </row>
    <row r="310" customFormat="false" ht="15" hidden="false" customHeight="false" outlineLevel="0" collapsed="false">
      <c r="A310" s="27"/>
      <c r="B310" s="32"/>
      <c r="C310" s="32"/>
      <c r="D310" s="32"/>
      <c r="E310" s="31"/>
      <c r="F310" s="32"/>
      <c r="G310" s="32"/>
    </row>
    <row r="311" customFormat="false" ht="15" hidden="false" customHeight="false" outlineLevel="0" collapsed="false">
      <c r="A311" s="27"/>
      <c r="B311" s="32"/>
      <c r="C311" s="32"/>
      <c r="D311" s="32"/>
      <c r="E311" s="31"/>
      <c r="F311" s="32"/>
      <c r="G311" s="32"/>
    </row>
    <row r="312" customFormat="false" ht="15" hidden="false" customHeight="false" outlineLevel="0" collapsed="false">
      <c r="A312" s="27"/>
      <c r="B312" s="32"/>
      <c r="C312" s="32"/>
      <c r="D312" s="32"/>
      <c r="E312" s="31"/>
      <c r="F312" s="32"/>
      <c r="G312" s="32"/>
    </row>
    <row r="313" customFormat="false" ht="15" hidden="false" customHeight="false" outlineLevel="0" collapsed="false">
      <c r="A313" s="27"/>
      <c r="B313" s="32"/>
      <c r="C313" s="32"/>
      <c r="D313" s="32"/>
      <c r="E313" s="31"/>
      <c r="F313" s="32"/>
      <c r="G313" s="32"/>
    </row>
    <row r="314" customFormat="false" ht="15" hidden="false" customHeight="false" outlineLevel="0" collapsed="false">
      <c r="A314" s="27"/>
      <c r="B314" s="32"/>
      <c r="C314" s="32"/>
      <c r="D314" s="32"/>
      <c r="E314" s="31"/>
      <c r="F314" s="32"/>
      <c r="G314" s="32"/>
    </row>
    <row r="315" customFormat="false" ht="15" hidden="false" customHeight="false" outlineLevel="0" collapsed="false">
      <c r="A315" s="27"/>
      <c r="B315" s="32"/>
      <c r="C315" s="32"/>
      <c r="D315" s="32"/>
      <c r="E315" s="31"/>
      <c r="F315" s="32"/>
      <c r="G315" s="32"/>
    </row>
    <row r="316" customFormat="false" ht="15" hidden="false" customHeight="false" outlineLevel="0" collapsed="false">
      <c r="A316" s="27"/>
      <c r="B316" s="32"/>
      <c r="C316" s="32"/>
      <c r="D316" s="32"/>
      <c r="E316" s="31"/>
      <c r="F316" s="32"/>
      <c r="G316" s="32"/>
    </row>
    <row r="317" customFormat="false" ht="15" hidden="false" customHeight="false" outlineLevel="0" collapsed="false">
      <c r="A317" s="27"/>
      <c r="B317" s="32"/>
      <c r="C317" s="32"/>
      <c r="D317" s="32"/>
      <c r="E317" s="31"/>
      <c r="F317" s="32"/>
      <c r="G317" s="32"/>
    </row>
    <row r="318" customFormat="false" ht="15" hidden="false" customHeight="false" outlineLevel="0" collapsed="false">
      <c r="A318" s="27"/>
      <c r="B318" s="32"/>
      <c r="C318" s="32"/>
      <c r="D318" s="32"/>
      <c r="E318" s="31"/>
      <c r="F318" s="32"/>
      <c r="G318" s="32"/>
    </row>
    <row r="319" customFormat="false" ht="15" hidden="false" customHeight="false" outlineLevel="0" collapsed="false">
      <c r="A319" s="27"/>
      <c r="B319" s="32"/>
      <c r="C319" s="32"/>
      <c r="D319" s="32"/>
      <c r="E319" s="31"/>
      <c r="F319" s="32"/>
      <c r="G319" s="32"/>
    </row>
    <row r="320" customFormat="false" ht="15" hidden="false" customHeight="false" outlineLevel="0" collapsed="false">
      <c r="A320" s="27"/>
      <c r="B320" s="32"/>
      <c r="C320" s="32"/>
      <c r="D320" s="32"/>
      <c r="E320" s="31"/>
      <c r="F320" s="32"/>
      <c r="G320" s="32"/>
    </row>
    <row r="321" customFormat="false" ht="15" hidden="false" customHeight="false" outlineLevel="0" collapsed="false">
      <c r="A321" s="27"/>
      <c r="B321" s="32"/>
      <c r="C321" s="32"/>
      <c r="D321" s="32"/>
      <c r="E321" s="31"/>
      <c r="F321" s="32"/>
      <c r="G321" s="32"/>
    </row>
    <row r="322" customFormat="false" ht="15" hidden="false" customHeight="false" outlineLevel="0" collapsed="false">
      <c r="A322" s="27"/>
      <c r="B322" s="32"/>
      <c r="C322" s="32"/>
      <c r="D322" s="32"/>
      <c r="E322" s="31"/>
      <c r="F322" s="32"/>
      <c r="G322" s="32"/>
    </row>
    <row r="323" customFormat="false" ht="15" hidden="false" customHeight="false" outlineLevel="0" collapsed="false">
      <c r="A323" s="27"/>
      <c r="B323" s="32"/>
      <c r="C323" s="32"/>
      <c r="D323" s="32"/>
      <c r="E323" s="31"/>
      <c r="F323" s="32"/>
      <c r="G323" s="32"/>
    </row>
    <row r="324" customFormat="false" ht="15" hidden="false" customHeight="false" outlineLevel="0" collapsed="false">
      <c r="A324" s="27"/>
      <c r="B324" s="32"/>
      <c r="C324" s="32"/>
      <c r="D324" s="32"/>
      <c r="E324" s="31"/>
      <c r="F324" s="32"/>
      <c r="G324" s="32"/>
    </row>
    <row r="325" customFormat="false" ht="15" hidden="false" customHeight="false" outlineLevel="0" collapsed="false">
      <c r="A325" s="27"/>
      <c r="B325" s="32"/>
      <c r="C325" s="32"/>
      <c r="D325" s="32"/>
      <c r="E325" s="31"/>
      <c r="F325" s="32"/>
      <c r="G325" s="32"/>
    </row>
    <row r="326" customFormat="false" ht="15" hidden="false" customHeight="false" outlineLevel="0" collapsed="false">
      <c r="A326" s="27"/>
      <c r="B326" s="32"/>
      <c r="C326" s="32"/>
      <c r="D326" s="32"/>
      <c r="E326" s="31"/>
      <c r="F326" s="32"/>
      <c r="G326" s="32"/>
    </row>
    <row r="327" customFormat="false" ht="15" hidden="false" customHeight="false" outlineLevel="0" collapsed="false">
      <c r="A327" s="27"/>
      <c r="B327" s="32"/>
      <c r="C327" s="32"/>
      <c r="D327" s="32"/>
      <c r="E327" s="31"/>
      <c r="F327" s="32"/>
      <c r="G327" s="32"/>
    </row>
    <row r="328" customFormat="false" ht="15" hidden="false" customHeight="false" outlineLevel="0" collapsed="false">
      <c r="A328" s="27"/>
      <c r="B328" s="32"/>
      <c r="C328" s="32"/>
      <c r="D328" s="32"/>
      <c r="E328" s="31"/>
      <c r="F328" s="32"/>
      <c r="G328" s="32"/>
    </row>
    <row r="329" customFormat="false" ht="15" hidden="false" customHeight="false" outlineLevel="0" collapsed="false">
      <c r="A329" s="27"/>
      <c r="B329" s="32"/>
      <c r="C329" s="32"/>
      <c r="D329" s="32"/>
      <c r="E329" s="31"/>
      <c r="F329" s="32"/>
      <c r="G329" s="32"/>
    </row>
    <row r="330" customFormat="false" ht="15" hidden="false" customHeight="false" outlineLevel="0" collapsed="false">
      <c r="A330" s="27"/>
      <c r="B330" s="32"/>
      <c r="C330" s="32"/>
      <c r="D330" s="32"/>
      <c r="E330" s="31"/>
      <c r="F330" s="32"/>
      <c r="G330" s="32"/>
    </row>
    <row r="331" customFormat="false" ht="15" hidden="false" customHeight="false" outlineLevel="0" collapsed="false">
      <c r="A331" s="27"/>
      <c r="B331" s="32"/>
      <c r="C331" s="32"/>
      <c r="D331" s="32"/>
      <c r="E331" s="31"/>
      <c r="F331" s="32"/>
      <c r="G331" s="32"/>
    </row>
    <row r="332" customFormat="false" ht="15" hidden="false" customHeight="false" outlineLevel="0" collapsed="false">
      <c r="A332" s="27"/>
      <c r="B332" s="32"/>
      <c r="C332" s="32"/>
      <c r="D332" s="32"/>
      <c r="E332" s="31"/>
      <c r="F332" s="32"/>
      <c r="G332" s="32"/>
    </row>
    <row r="333" customFormat="false" ht="15" hidden="false" customHeight="false" outlineLevel="0" collapsed="false">
      <c r="A333" s="27"/>
      <c r="B333" s="32"/>
      <c r="C333" s="32"/>
      <c r="D333" s="32"/>
      <c r="E333" s="31"/>
      <c r="F333" s="32"/>
      <c r="G333" s="32"/>
    </row>
    <row r="334" customFormat="false" ht="15" hidden="false" customHeight="false" outlineLevel="0" collapsed="false">
      <c r="A334" s="27"/>
      <c r="B334" s="32"/>
      <c r="C334" s="32"/>
      <c r="D334" s="32"/>
      <c r="E334" s="31"/>
      <c r="F334" s="32"/>
      <c r="G334" s="32"/>
    </row>
    <row r="335" customFormat="false" ht="15" hidden="false" customHeight="false" outlineLevel="0" collapsed="false">
      <c r="A335" s="27"/>
      <c r="B335" s="32"/>
      <c r="C335" s="32"/>
      <c r="D335" s="32"/>
      <c r="E335" s="31"/>
      <c r="F335" s="32"/>
      <c r="G335" s="32"/>
    </row>
    <row r="336" customFormat="false" ht="15" hidden="false" customHeight="false" outlineLevel="0" collapsed="false">
      <c r="A336" s="27"/>
      <c r="B336" s="32"/>
      <c r="C336" s="32"/>
      <c r="D336" s="32"/>
      <c r="E336" s="31"/>
      <c r="F336" s="32"/>
      <c r="G336" s="32"/>
    </row>
    <row r="337" customFormat="false" ht="15" hidden="false" customHeight="false" outlineLevel="0" collapsed="false">
      <c r="A337" s="27"/>
      <c r="B337" s="32"/>
      <c r="C337" s="32"/>
      <c r="D337" s="32"/>
      <c r="E337" s="31"/>
      <c r="F337" s="32"/>
      <c r="G337" s="32"/>
    </row>
    <row r="338" customFormat="false" ht="15" hidden="false" customHeight="false" outlineLevel="0" collapsed="false">
      <c r="A338" s="27"/>
      <c r="B338" s="32"/>
      <c r="C338" s="32"/>
      <c r="D338" s="32"/>
      <c r="E338" s="31"/>
      <c r="F338" s="32"/>
      <c r="G338" s="32"/>
    </row>
    <row r="339" customFormat="false" ht="15" hidden="false" customHeight="false" outlineLevel="0" collapsed="false">
      <c r="A339" s="27"/>
      <c r="B339" s="32"/>
      <c r="C339" s="32"/>
      <c r="D339" s="32"/>
      <c r="E339" s="31"/>
      <c r="F339" s="32"/>
      <c r="G339" s="32"/>
    </row>
    <row r="340" customFormat="false" ht="15" hidden="false" customHeight="false" outlineLevel="0" collapsed="false">
      <c r="A340" s="27"/>
      <c r="B340" s="32"/>
      <c r="C340" s="32"/>
      <c r="D340" s="32"/>
      <c r="E340" s="31"/>
      <c r="F340" s="32"/>
      <c r="G340" s="32"/>
    </row>
    <row r="341" customFormat="false" ht="15" hidden="false" customHeight="false" outlineLevel="0" collapsed="false">
      <c r="A341" s="27"/>
      <c r="B341" s="32"/>
      <c r="C341" s="32"/>
      <c r="D341" s="32"/>
      <c r="E341" s="31"/>
      <c r="F341" s="32"/>
      <c r="G341" s="32"/>
    </row>
    <row r="342" customFormat="false" ht="15" hidden="false" customHeight="false" outlineLevel="0" collapsed="false">
      <c r="A342" s="27"/>
      <c r="B342" s="32"/>
      <c r="C342" s="32"/>
      <c r="D342" s="32"/>
      <c r="E342" s="31"/>
      <c r="F342" s="32"/>
      <c r="G342" s="32"/>
    </row>
    <row r="343" customFormat="false" ht="15" hidden="false" customHeight="false" outlineLevel="0" collapsed="false">
      <c r="A343" s="27"/>
      <c r="B343" s="32"/>
      <c r="C343" s="32"/>
      <c r="D343" s="32"/>
      <c r="E343" s="31"/>
      <c r="F343" s="32"/>
      <c r="G343" s="32"/>
    </row>
    <row r="344" customFormat="false" ht="15" hidden="false" customHeight="false" outlineLevel="0" collapsed="false">
      <c r="A344" s="27"/>
      <c r="B344" s="32"/>
      <c r="C344" s="32"/>
      <c r="D344" s="32"/>
      <c r="E344" s="31"/>
      <c r="F344" s="32"/>
      <c r="G344" s="32"/>
    </row>
    <row r="345" customFormat="false" ht="15" hidden="false" customHeight="false" outlineLevel="0" collapsed="false">
      <c r="A345" s="27"/>
      <c r="B345" s="32"/>
      <c r="C345" s="32"/>
      <c r="D345" s="32"/>
      <c r="E345" s="31"/>
      <c r="F345" s="32"/>
      <c r="G345" s="32"/>
    </row>
    <row r="346" customFormat="false" ht="15" hidden="false" customHeight="false" outlineLevel="0" collapsed="false">
      <c r="A346" s="27"/>
      <c r="B346" s="32"/>
      <c r="C346" s="32"/>
      <c r="D346" s="32"/>
      <c r="E346" s="31"/>
      <c r="F346" s="32"/>
      <c r="G346" s="32"/>
    </row>
    <row r="347" customFormat="false" ht="15" hidden="false" customHeight="false" outlineLevel="0" collapsed="false">
      <c r="A347" s="27"/>
      <c r="B347" s="32"/>
      <c r="C347" s="32"/>
      <c r="D347" s="32"/>
      <c r="E347" s="31"/>
      <c r="F347" s="32"/>
      <c r="G347" s="32"/>
    </row>
    <row r="348" customFormat="false" ht="15" hidden="false" customHeight="false" outlineLevel="0" collapsed="false">
      <c r="A348" s="27"/>
      <c r="B348" s="32"/>
      <c r="C348" s="32"/>
      <c r="D348" s="32"/>
      <c r="E348" s="31"/>
      <c r="F348" s="32"/>
      <c r="G348" s="32"/>
    </row>
    <row r="349" customFormat="false" ht="15" hidden="false" customHeight="false" outlineLevel="0" collapsed="false">
      <c r="A349" s="27"/>
      <c r="B349" s="32"/>
      <c r="C349" s="32"/>
      <c r="D349" s="32"/>
      <c r="E349" s="31"/>
      <c r="F349" s="32"/>
      <c r="G349" s="32"/>
    </row>
    <row r="350" customFormat="false" ht="15" hidden="false" customHeight="false" outlineLevel="0" collapsed="false">
      <c r="A350" s="27"/>
      <c r="B350" s="32"/>
      <c r="C350" s="32"/>
      <c r="D350" s="32"/>
      <c r="E350" s="31"/>
      <c r="F350" s="32"/>
      <c r="G350" s="32"/>
    </row>
    <row r="351" customFormat="false" ht="15" hidden="false" customHeight="false" outlineLevel="0" collapsed="false">
      <c r="A351" s="27"/>
      <c r="B351" s="32"/>
      <c r="C351" s="32"/>
      <c r="D351" s="32"/>
      <c r="E351" s="31"/>
      <c r="F351" s="32"/>
      <c r="G351" s="32"/>
    </row>
    <row r="352" customFormat="false" ht="15" hidden="false" customHeight="false" outlineLevel="0" collapsed="false">
      <c r="A352" s="27"/>
      <c r="B352" s="32"/>
      <c r="C352" s="32"/>
      <c r="D352" s="32"/>
      <c r="E352" s="31"/>
      <c r="F352" s="32"/>
      <c r="G352" s="32"/>
    </row>
    <row r="353" customFormat="false" ht="15" hidden="false" customHeight="false" outlineLevel="0" collapsed="false">
      <c r="A353" s="27"/>
      <c r="B353" s="32"/>
      <c r="C353" s="32"/>
      <c r="D353" s="32"/>
      <c r="E353" s="31"/>
      <c r="F353" s="32"/>
      <c r="G353" s="32"/>
    </row>
    <row r="354" customFormat="false" ht="15" hidden="false" customHeight="false" outlineLevel="0" collapsed="false">
      <c r="A354" s="27"/>
      <c r="B354" s="32"/>
      <c r="C354" s="32"/>
      <c r="D354" s="32"/>
      <c r="E354" s="31"/>
      <c r="F354" s="32"/>
      <c r="G354" s="32"/>
    </row>
    <row r="355" customFormat="false" ht="15" hidden="false" customHeight="false" outlineLevel="0" collapsed="false">
      <c r="A355" s="27"/>
      <c r="B355" s="32"/>
      <c r="C355" s="32"/>
      <c r="D355" s="32"/>
      <c r="E355" s="31"/>
      <c r="F355" s="32"/>
      <c r="G355" s="32"/>
    </row>
    <row r="356" customFormat="false" ht="15" hidden="false" customHeight="false" outlineLevel="0" collapsed="false">
      <c r="A356" s="27"/>
      <c r="B356" s="32"/>
      <c r="C356" s="32"/>
      <c r="D356" s="32"/>
      <c r="E356" s="31"/>
      <c r="F356" s="32"/>
      <c r="G356" s="32"/>
    </row>
    <row r="357" customFormat="false" ht="15" hidden="false" customHeight="false" outlineLevel="0" collapsed="false">
      <c r="A357" s="27"/>
      <c r="B357" s="32"/>
      <c r="C357" s="32"/>
      <c r="D357" s="32"/>
      <c r="E357" s="31"/>
      <c r="F357" s="32"/>
      <c r="G357" s="32"/>
    </row>
    <row r="358" customFormat="false" ht="15" hidden="false" customHeight="false" outlineLevel="0" collapsed="false">
      <c r="A358" s="27"/>
      <c r="B358" s="32"/>
      <c r="C358" s="32"/>
      <c r="D358" s="32"/>
      <c r="E358" s="31"/>
      <c r="F358" s="32"/>
      <c r="G358" s="32"/>
    </row>
    <row r="359" customFormat="false" ht="15" hidden="false" customHeight="false" outlineLevel="0" collapsed="false">
      <c r="A359" s="27"/>
      <c r="B359" s="32"/>
      <c r="C359" s="32"/>
      <c r="D359" s="32"/>
      <c r="E359" s="31"/>
      <c r="F359" s="32"/>
      <c r="G359" s="32"/>
    </row>
    <row r="360" customFormat="false" ht="15" hidden="false" customHeight="false" outlineLevel="0" collapsed="false">
      <c r="A360" s="27"/>
      <c r="B360" s="32"/>
      <c r="C360" s="32"/>
      <c r="D360" s="32"/>
      <c r="E360" s="31"/>
      <c r="F360" s="32"/>
      <c r="G360" s="32"/>
    </row>
    <row r="361" customFormat="false" ht="15" hidden="false" customHeight="false" outlineLevel="0" collapsed="false">
      <c r="A361" s="27"/>
      <c r="B361" s="32"/>
      <c r="C361" s="32"/>
      <c r="D361" s="32"/>
      <c r="E361" s="31"/>
      <c r="F361" s="32"/>
      <c r="G361" s="32"/>
    </row>
    <row r="362" customFormat="false" ht="15" hidden="false" customHeight="false" outlineLevel="0" collapsed="false">
      <c r="A362" s="27"/>
      <c r="B362" s="32"/>
      <c r="C362" s="32"/>
      <c r="D362" s="32"/>
      <c r="E362" s="31"/>
      <c r="F362" s="32"/>
      <c r="G362" s="32"/>
    </row>
    <row r="363" customFormat="false" ht="15" hidden="false" customHeight="false" outlineLevel="0" collapsed="false">
      <c r="A363" s="27"/>
      <c r="B363" s="32"/>
      <c r="C363" s="32"/>
      <c r="D363" s="32"/>
      <c r="E363" s="31"/>
      <c r="F363" s="32"/>
      <c r="G363" s="32"/>
    </row>
    <row r="364" customFormat="false" ht="15" hidden="false" customHeight="false" outlineLevel="0" collapsed="false">
      <c r="A364" s="27"/>
      <c r="B364" s="32"/>
      <c r="C364" s="32"/>
      <c r="D364" s="32"/>
      <c r="E364" s="31"/>
      <c r="F364" s="32"/>
      <c r="G364" s="32"/>
    </row>
    <row r="365" customFormat="false" ht="15" hidden="false" customHeight="false" outlineLevel="0" collapsed="false">
      <c r="A365" s="27"/>
      <c r="B365" s="32"/>
      <c r="C365" s="32"/>
      <c r="D365" s="32"/>
      <c r="E365" s="31"/>
      <c r="F365" s="32"/>
      <c r="G365" s="32"/>
    </row>
    <row r="366" customFormat="false" ht="15" hidden="false" customHeight="false" outlineLevel="0" collapsed="false">
      <c r="A366" s="27"/>
      <c r="B366" s="32"/>
      <c r="C366" s="32"/>
      <c r="D366" s="32"/>
      <c r="E366" s="31"/>
      <c r="F366" s="32"/>
      <c r="G366" s="32"/>
    </row>
    <row r="367" customFormat="false" ht="15" hidden="false" customHeight="false" outlineLevel="0" collapsed="false">
      <c r="A367" s="27"/>
      <c r="B367" s="32"/>
      <c r="C367" s="32"/>
      <c r="D367" s="32"/>
      <c r="E367" s="31"/>
      <c r="F367" s="32"/>
      <c r="G367" s="32"/>
    </row>
    <row r="368" customFormat="false" ht="15" hidden="false" customHeight="false" outlineLevel="0" collapsed="false">
      <c r="A368" s="27"/>
      <c r="B368" s="32"/>
      <c r="C368" s="32"/>
      <c r="D368" s="32"/>
      <c r="E368" s="31"/>
      <c r="F368" s="32"/>
      <c r="G368" s="32"/>
    </row>
    <row r="369" customFormat="false" ht="15" hidden="false" customHeight="false" outlineLevel="0" collapsed="false">
      <c r="A369" s="27"/>
      <c r="B369" s="32"/>
      <c r="C369" s="32"/>
      <c r="D369" s="32"/>
      <c r="E369" s="31"/>
      <c r="F369" s="32"/>
      <c r="G369" s="32"/>
    </row>
    <row r="370" customFormat="false" ht="15" hidden="false" customHeight="false" outlineLevel="0" collapsed="false">
      <c r="A370" s="27"/>
      <c r="B370" s="32"/>
      <c r="C370" s="32"/>
      <c r="D370" s="32"/>
      <c r="E370" s="31"/>
      <c r="F370" s="32"/>
      <c r="G370" s="32"/>
    </row>
    <row r="371" customFormat="false" ht="15" hidden="false" customHeight="false" outlineLevel="0" collapsed="false">
      <c r="A371" s="27"/>
      <c r="B371" s="32"/>
      <c r="C371" s="32"/>
      <c r="D371" s="32"/>
      <c r="E371" s="31"/>
      <c r="F371" s="32"/>
      <c r="G371" s="32"/>
    </row>
    <row r="372" customFormat="false" ht="15" hidden="false" customHeight="false" outlineLevel="0" collapsed="false">
      <c r="A372" s="27"/>
      <c r="B372" s="32"/>
      <c r="C372" s="32"/>
      <c r="D372" s="32"/>
      <c r="E372" s="31"/>
      <c r="F372" s="32"/>
      <c r="G372" s="32"/>
    </row>
    <row r="373" customFormat="false" ht="15" hidden="false" customHeight="false" outlineLevel="0" collapsed="false">
      <c r="A373" s="27"/>
      <c r="B373" s="32"/>
      <c r="C373" s="32"/>
      <c r="D373" s="32"/>
      <c r="E373" s="31"/>
      <c r="F373" s="32"/>
      <c r="G373" s="32"/>
    </row>
    <row r="374" customFormat="false" ht="15" hidden="false" customHeight="false" outlineLevel="0" collapsed="false">
      <c r="A374" s="27"/>
      <c r="B374" s="32"/>
      <c r="C374" s="32"/>
      <c r="D374" s="32"/>
      <c r="E374" s="31"/>
      <c r="F374" s="32"/>
      <c r="G374" s="32"/>
    </row>
    <row r="375" customFormat="false" ht="15" hidden="false" customHeight="false" outlineLevel="0" collapsed="false">
      <c r="A375" s="27"/>
      <c r="B375" s="32"/>
      <c r="C375" s="32"/>
      <c r="D375" s="32"/>
      <c r="E375" s="31"/>
      <c r="F375" s="32"/>
      <c r="G375" s="32"/>
    </row>
    <row r="376" customFormat="false" ht="15" hidden="false" customHeight="false" outlineLevel="0" collapsed="false">
      <c r="A376" s="27"/>
      <c r="B376" s="32"/>
      <c r="C376" s="32"/>
      <c r="D376" s="32"/>
      <c r="E376" s="31"/>
      <c r="F376" s="32"/>
      <c r="G376" s="32"/>
    </row>
    <row r="377" customFormat="false" ht="15" hidden="false" customHeight="false" outlineLevel="0" collapsed="false">
      <c r="A377" s="27"/>
      <c r="B377" s="32"/>
      <c r="C377" s="32"/>
      <c r="D377" s="32"/>
      <c r="E377" s="31"/>
      <c r="F377" s="32"/>
      <c r="G377" s="32"/>
    </row>
    <row r="378" customFormat="false" ht="15" hidden="false" customHeight="false" outlineLevel="0" collapsed="false">
      <c r="A378" s="27"/>
      <c r="B378" s="32"/>
      <c r="C378" s="32"/>
      <c r="D378" s="32"/>
      <c r="E378" s="31"/>
      <c r="F378" s="32"/>
      <c r="G378" s="32"/>
    </row>
    <row r="379" customFormat="false" ht="15" hidden="false" customHeight="false" outlineLevel="0" collapsed="false">
      <c r="A379" s="27"/>
      <c r="B379" s="32"/>
      <c r="C379" s="32"/>
      <c r="D379" s="32"/>
      <c r="E379" s="31"/>
      <c r="F379" s="32"/>
      <c r="G379" s="32"/>
    </row>
    <row r="380" customFormat="false" ht="15" hidden="false" customHeight="false" outlineLevel="0" collapsed="false">
      <c r="A380" s="27"/>
      <c r="B380" s="32"/>
      <c r="C380" s="32"/>
      <c r="D380" s="32"/>
      <c r="E380" s="31"/>
      <c r="F380" s="32"/>
      <c r="G380" s="32"/>
    </row>
    <row r="381" customFormat="false" ht="15" hidden="false" customHeight="false" outlineLevel="0" collapsed="false">
      <c r="A381" s="27"/>
      <c r="B381" s="32"/>
      <c r="C381" s="32"/>
      <c r="D381" s="32"/>
      <c r="E381" s="31"/>
      <c r="F381" s="32"/>
      <c r="G381" s="32"/>
    </row>
    <row r="382" customFormat="false" ht="15" hidden="false" customHeight="false" outlineLevel="0" collapsed="false">
      <c r="A382" s="27"/>
      <c r="B382" s="32"/>
      <c r="C382" s="32"/>
      <c r="D382" s="32"/>
      <c r="E382" s="31"/>
      <c r="F382" s="32"/>
      <c r="G382" s="32"/>
    </row>
    <row r="383" customFormat="false" ht="15" hidden="false" customHeight="false" outlineLevel="0" collapsed="false">
      <c r="A383" s="27"/>
      <c r="B383" s="32"/>
      <c r="C383" s="32"/>
      <c r="D383" s="32"/>
      <c r="E383" s="31"/>
      <c r="F383" s="32"/>
      <c r="G383" s="32"/>
    </row>
    <row r="384" customFormat="false" ht="15" hidden="false" customHeight="false" outlineLevel="0" collapsed="false">
      <c r="A384" s="27"/>
      <c r="B384" s="32"/>
      <c r="C384" s="32"/>
      <c r="D384" s="32"/>
      <c r="E384" s="31"/>
      <c r="F384" s="32"/>
      <c r="G384" s="32"/>
    </row>
    <row r="385" customFormat="false" ht="15" hidden="false" customHeight="false" outlineLevel="0" collapsed="false">
      <c r="A385" s="27"/>
      <c r="B385" s="32"/>
      <c r="C385" s="32"/>
      <c r="D385" s="32"/>
      <c r="E385" s="31"/>
      <c r="F385" s="32"/>
      <c r="G385" s="32"/>
    </row>
    <row r="386" customFormat="false" ht="15" hidden="false" customHeight="false" outlineLevel="0" collapsed="false">
      <c r="A386" s="27"/>
      <c r="B386" s="32"/>
      <c r="C386" s="32"/>
      <c r="D386" s="32"/>
      <c r="E386" s="31"/>
      <c r="F386" s="32"/>
      <c r="G386" s="32"/>
    </row>
    <row r="387" customFormat="false" ht="15" hidden="false" customHeight="false" outlineLevel="0" collapsed="false">
      <c r="A387" s="27"/>
      <c r="B387" s="32"/>
      <c r="C387" s="32"/>
      <c r="D387" s="32"/>
      <c r="E387" s="31"/>
      <c r="F387" s="32"/>
      <c r="G387" s="32"/>
    </row>
    <row r="388" customFormat="false" ht="15" hidden="false" customHeight="false" outlineLevel="0" collapsed="false">
      <c r="A388" s="27"/>
      <c r="B388" s="32"/>
      <c r="C388" s="32"/>
      <c r="D388" s="32"/>
      <c r="E388" s="31"/>
      <c r="F388" s="32"/>
      <c r="G388" s="32"/>
    </row>
    <row r="389" customFormat="false" ht="15" hidden="false" customHeight="false" outlineLevel="0" collapsed="false">
      <c r="A389" s="27"/>
      <c r="B389" s="32"/>
      <c r="C389" s="32"/>
      <c r="D389" s="32"/>
      <c r="E389" s="31"/>
      <c r="F389" s="32"/>
      <c r="G389" s="32"/>
    </row>
    <row r="390" customFormat="false" ht="15" hidden="false" customHeight="false" outlineLevel="0" collapsed="false">
      <c r="A390" s="27"/>
      <c r="B390" s="32"/>
      <c r="C390" s="32"/>
      <c r="D390" s="32"/>
      <c r="E390" s="31"/>
      <c r="F390" s="32"/>
      <c r="G390" s="32"/>
    </row>
    <row r="391" customFormat="false" ht="15" hidden="false" customHeight="false" outlineLevel="0" collapsed="false">
      <c r="A391" s="27"/>
      <c r="B391" s="32"/>
      <c r="C391" s="32"/>
      <c r="D391" s="32"/>
      <c r="E391" s="31"/>
      <c r="F391" s="32"/>
      <c r="G391" s="32"/>
    </row>
    <row r="392" customFormat="false" ht="15" hidden="false" customHeight="false" outlineLevel="0" collapsed="false">
      <c r="A392" s="27"/>
      <c r="B392" s="32"/>
      <c r="C392" s="32"/>
      <c r="D392" s="32"/>
      <c r="E392" s="31"/>
      <c r="F392" s="32"/>
      <c r="G392" s="32"/>
    </row>
    <row r="393" customFormat="false" ht="15" hidden="false" customHeight="false" outlineLevel="0" collapsed="false">
      <c r="A393" s="27"/>
      <c r="B393" s="32"/>
      <c r="C393" s="32"/>
      <c r="D393" s="32"/>
      <c r="E393" s="31"/>
      <c r="F393" s="32"/>
      <c r="G393" s="32"/>
    </row>
    <row r="394" customFormat="false" ht="15" hidden="false" customHeight="false" outlineLevel="0" collapsed="false">
      <c r="A394" s="27"/>
      <c r="B394" s="32"/>
      <c r="C394" s="32"/>
      <c r="D394" s="32"/>
      <c r="E394" s="31"/>
      <c r="F394" s="32"/>
      <c r="G394" s="32"/>
    </row>
    <row r="395" customFormat="false" ht="15" hidden="false" customHeight="false" outlineLevel="0" collapsed="false">
      <c r="A395" s="27"/>
      <c r="B395" s="32"/>
      <c r="C395" s="32"/>
      <c r="D395" s="32"/>
      <c r="E395" s="31"/>
      <c r="F395" s="32"/>
      <c r="G395" s="32"/>
    </row>
    <row r="396" customFormat="false" ht="15" hidden="false" customHeight="false" outlineLevel="0" collapsed="false">
      <c r="A396" s="27"/>
      <c r="B396" s="32"/>
      <c r="C396" s="32"/>
      <c r="D396" s="32"/>
      <c r="E396" s="31"/>
      <c r="F396" s="32"/>
      <c r="G396" s="32"/>
    </row>
    <row r="397" customFormat="false" ht="15" hidden="false" customHeight="false" outlineLevel="0" collapsed="false">
      <c r="A397" s="27"/>
      <c r="B397" s="32"/>
      <c r="C397" s="32"/>
      <c r="D397" s="32"/>
      <c r="E397" s="31"/>
      <c r="F397" s="32"/>
      <c r="G397" s="32"/>
    </row>
    <row r="398" customFormat="false" ht="15" hidden="false" customHeight="false" outlineLevel="0" collapsed="false">
      <c r="A398" s="27"/>
      <c r="B398" s="32"/>
      <c r="C398" s="32"/>
      <c r="D398" s="32"/>
      <c r="E398" s="31"/>
      <c r="F398" s="32"/>
      <c r="G398" s="32"/>
    </row>
    <row r="399" customFormat="false" ht="15" hidden="false" customHeight="false" outlineLevel="0" collapsed="false">
      <c r="A399" s="27"/>
      <c r="B399" s="32"/>
      <c r="C399" s="32"/>
      <c r="D399" s="32"/>
      <c r="E399" s="31"/>
      <c r="F399" s="32"/>
      <c r="G399" s="32"/>
    </row>
    <row r="400" customFormat="false" ht="15" hidden="false" customHeight="false" outlineLevel="0" collapsed="false">
      <c r="A400" s="27"/>
      <c r="B400" s="32"/>
      <c r="C400" s="32"/>
      <c r="D400" s="32"/>
      <c r="E400" s="31"/>
      <c r="F400" s="32"/>
      <c r="G400" s="32"/>
    </row>
    <row r="401" customFormat="false" ht="15" hidden="false" customHeight="false" outlineLevel="0" collapsed="false">
      <c r="A401" s="27"/>
      <c r="B401" s="32"/>
      <c r="C401" s="32"/>
      <c r="D401" s="32"/>
      <c r="E401" s="31"/>
      <c r="F401" s="32"/>
      <c r="G401" s="32"/>
    </row>
    <row r="402" customFormat="false" ht="15" hidden="false" customHeight="false" outlineLevel="0" collapsed="false">
      <c r="A402" s="27"/>
      <c r="B402" s="32"/>
      <c r="C402" s="32"/>
      <c r="D402" s="32"/>
      <c r="E402" s="31"/>
      <c r="F402" s="32"/>
      <c r="G402" s="32"/>
    </row>
    <row r="403" customFormat="false" ht="15" hidden="false" customHeight="false" outlineLevel="0" collapsed="false">
      <c r="A403" s="27"/>
      <c r="B403" s="32"/>
      <c r="C403" s="32"/>
      <c r="D403" s="32"/>
      <c r="E403" s="31"/>
      <c r="F403" s="32"/>
      <c r="G403" s="32"/>
    </row>
    <row r="404" customFormat="false" ht="15" hidden="false" customHeight="false" outlineLevel="0" collapsed="false">
      <c r="A404" s="27"/>
      <c r="B404" s="32"/>
      <c r="C404" s="32"/>
      <c r="D404" s="32"/>
      <c r="E404" s="31"/>
      <c r="F404" s="32"/>
      <c r="G404" s="32"/>
    </row>
    <row r="405" customFormat="false" ht="15" hidden="false" customHeight="false" outlineLevel="0" collapsed="false">
      <c r="A405" s="27"/>
      <c r="B405" s="32"/>
      <c r="C405" s="32"/>
      <c r="D405" s="32"/>
      <c r="E405" s="31"/>
      <c r="F405" s="32"/>
      <c r="G405" s="32"/>
    </row>
    <row r="406" customFormat="false" ht="15" hidden="false" customHeight="false" outlineLevel="0" collapsed="false">
      <c r="A406" s="27"/>
      <c r="B406" s="32"/>
      <c r="C406" s="32"/>
      <c r="D406" s="32"/>
      <c r="E406" s="31"/>
      <c r="F406" s="32"/>
      <c r="G406" s="32"/>
    </row>
    <row r="407" customFormat="false" ht="15" hidden="false" customHeight="false" outlineLevel="0" collapsed="false">
      <c r="A407" s="27"/>
      <c r="B407" s="32"/>
      <c r="C407" s="32"/>
      <c r="D407" s="32"/>
      <c r="E407" s="31"/>
      <c r="F407" s="32"/>
      <c r="G407" s="32"/>
    </row>
    <row r="408" customFormat="false" ht="15" hidden="false" customHeight="false" outlineLevel="0" collapsed="false">
      <c r="A408" s="27"/>
      <c r="B408" s="32"/>
      <c r="C408" s="32"/>
      <c r="D408" s="32"/>
      <c r="E408" s="31"/>
      <c r="F408" s="32"/>
      <c r="G408" s="32"/>
    </row>
    <row r="409" customFormat="false" ht="15" hidden="false" customHeight="false" outlineLevel="0" collapsed="false">
      <c r="A409" s="27"/>
      <c r="B409" s="32"/>
      <c r="C409" s="32"/>
      <c r="D409" s="32"/>
      <c r="E409" s="31"/>
      <c r="F409" s="32"/>
      <c r="G409" s="32"/>
    </row>
    <row r="410" customFormat="false" ht="15" hidden="false" customHeight="false" outlineLevel="0" collapsed="false">
      <c r="A410" s="27"/>
      <c r="B410" s="32"/>
      <c r="C410" s="32"/>
      <c r="D410" s="32"/>
      <c r="E410" s="31"/>
      <c r="F410" s="32"/>
      <c r="G410" s="32"/>
    </row>
    <row r="411" customFormat="false" ht="15" hidden="false" customHeight="false" outlineLevel="0" collapsed="false">
      <c r="A411" s="27"/>
      <c r="B411" s="32"/>
      <c r="C411" s="32"/>
      <c r="D411" s="32"/>
      <c r="E411" s="31"/>
      <c r="F411" s="32"/>
      <c r="G411" s="32"/>
    </row>
    <row r="412" customFormat="false" ht="15" hidden="false" customHeight="false" outlineLevel="0" collapsed="false">
      <c r="A412" s="27"/>
      <c r="B412" s="32"/>
      <c r="C412" s="32"/>
      <c r="D412" s="32"/>
      <c r="E412" s="31"/>
      <c r="F412" s="32"/>
      <c r="G412" s="32"/>
    </row>
    <row r="413" customFormat="false" ht="15" hidden="false" customHeight="false" outlineLevel="0" collapsed="false">
      <c r="A413" s="27"/>
      <c r="B413" s="32"/>
      <c r="C413" s="32"/>
      <c r="D413" s="32"/>
      <c r="E413" s="31"/>
      <c r="F413" s="32"/>
      <c r="G413" s="32"/>
    </row>
    <row r="414" customFormat="false" ht="15" hidden="false" customHeight="false" outlineLevel="0" collapsed="false">
      <c r="A414" s="27"/>
      <c r="B414" s="32"/>
      <c r="C414" s="32"/>
      <c r="D414" s="32"/>
      <c r="E414" s="31"/>
      <c r="F414" s="32"/>
      <c r="G414" s="32"/>
    </row>
    <row r="415" customFormat="false" ht="15" hidden="false" customHeight="false" outlineLevel="0" collapsed="false">
      <c r="A415" s="27"/>
      <c r="B415" s="32"/>
      <c r="C415" s="32"/>
      <c r="D415" s="32"/>
      <c r="E415" s="31"/>
      <c r="F415" s="32"/>
      <c r="G415" s="32"/>
    </row>
    <row r="416" customFormat="false" ht="15" hidden="false" customHeight="false" outlineLevel="0" collapsed="false">
      <c r="A416" s="27"/>
      <c r="B416" s="32"/>
      <c r="C416" s="32"/>
      <c r="D416" s="32"/>
      <c r="E416" s="31"/>
      <c r="F416" s="32"/>
      <c r="G416" s="32"/>
    </row>
    <row r="417" customFormat="false" ht="15" hidden="false" customHeight="false" outlineLevel="0" collapsed="false">
      <c r="A417" s="27"/>
      <c r="B417" s="32"/>
      <c r="C417" s="32"/>
      <c r="D417" s="32"/>
      <c r="E417" s="31"/>
      <c r="F417" s="32"/>
      <c r="G417" s="32"/>
    </row>
    <row r="418" customFormat="false" ht="15" hidden="false" customHeight="false" outlineLevel="0" collapsed="false">
      <c r="A418" s="27"/>
      <c r="B418" s="32"/>
      <c r="C418" s="32"/>
      <c r="D418" s="32"/>
      <c r="E418" s="31"/>
      <c r="F418" s="32"/>
      <c r="G418" s="32"/>
    </row>
    <row r="419" customFormat="false" ht="15" hidden="false" customHeight="false" outlineLevel="0" collapsed="false">
      <c r="A419" s="27"/>
      <c r="B419" s="32"/>
      <c r="C419" s="32"/>
      <c r="D419" s="32"/>
      <c r="E419" s="31"/>
      <c r="F419" s="32"/>
      <c r="G419" s="32"/>
    </row>
    <row r="420" customFormat="false" ht="15" hidden="false" customHeight="false" outlineLevel="0" collapsed="false">
      <c r="A420" s="27"/>
      <c r="B420" s="32"/>
      <c r="C420" s="32"/>
      <c r="D420" s="32"/>
      <c r="E420" s="31"/>
      <c r="F420" s="32"/>
      <c r="G420" s="32"/>
    </row>
    <row r="421" customFormat="false" ht="15" hidden="false" customHeight="false" outlineLevel="0" collapsed="false">
      <c r="A421" s="27"/>
      <c r="B421" s="32"/>
      <c r="C421" s="32"/>
      <c r="D421" s="32"/>
      <c r="E421" s="31"/>
      <c r="F421" s="32"/>
      <c r="G421" s="32"/>
    </row>
    <row r="422" customFormat="false" ht="15" hidden="false" customHeight="false" outlineLevel="0" collapsed="false">
      <c r="A422" s="27"/>
      <c r="B422" s="32"/>
      <c r="C422" s="32"/>
      <c r="D422" s="32"/>
      <c r="E422" s="31"/>
      <c r="F422" s="32"/>
      <c r="G422" s="32"/>
    </row>
    <row r="423" customFormat="false" ht="15" hidden="false" customHeight="false" outlineLevel="0" collapsed="false">
      <c r="A423" s="27"/>
      <c r="B423" s="32"/>
      <c r="C423" s="32"/>
      <c r="D423" s="32"/>
      <c r="E423" s="31"/>
      <c r="F423" s="32"/>
      <c r="G423" s="32"/>
    </row>
    <row r="424" customFormat="false" ht="15" hidden="false" customHeight="false" outlineLevel="0" collapsed="false">
      <c r="A424" s="27"/>
      <c r="B424" s="32"/>
      <c r="C424" s="32"/>
      <c r="D424" s="32"/>
      <c r="E424" s="31"/>
      <c r="F424" s="32"/>
      <c r="G424" s="32"/>
    </row>
    <row r="425" customFormat="false" ht="15" hidden="false" customHeight="false" outlineLevel="0" collapsed="false">
      <c r="A425" s="27"/>
      <c r="B425" s="32"/>
      <c r="C425" s="32"/>
      <c r="D425" s="32"/>
      <c r="E425" s="31"/>
      <c r="F425" s="32"/>
      <c r="G425" s="32"/>
    </row>
    <row r="426" customFormat="false" ht="15" hidden="false" customHeight="false" outlineLevel="0" collapsed="false">
      <c r="A426" s="27"/>
      <c r="B426" s="32"/>
      <c r="C426" s="32"/>
      <c r="D426" s="32"/>
      <c r="E426" s="31"/>
      <c r="F426" s="32"/>
      <c r="G426" s="32"/>
    </row>
    <row r="427" customFormat="false" ht="15" hidden="false" customHeight="false" outlineLevel="0" collapsed="false">
      <c r="A427" s="27"/>
      <c r="B427" s="32"/>
      <c r="C427" s="32"/>
      <c r="D427" s="32"/>
      <c r="E427" s="31"/>
      <c r="F427" s="32"/>
      <c r="G427" s="32"/>
    </row>
    <row r="428" customFormat="false" ht="15" hidden="false" customHeight="false" outlineLevel="0" collapsed="false">
      <c r="A428" s="27"/>
      <c r="B428" s="32"/>
      <c r="C428" s="32"/>
      <c r="D428" s="32"/>
      <c r="E428" s="31"/>
      <c r="F428" s="32"/>
      <c r="G428" s="32"/>
    </row>
    <row r="429" customFormat="false" ht="15" hidden="false" customHeight="false" outlineLevel="0" collapsed="false">
      <c r="A429" s="27"/>
      <c r="B429" s="32"/>
      <c r="C429" s="32"/>
      <c r="D429" s="32"/>
      <c r="E429" s="31"/>
      <c r="F429" s="32"/>
      <c r="G429" s="32"/>
    </row>
    <row r="430" customFormat="false" ht="15" hidden="false" customHeight="false" outlineLevel="0" collapsed="false">
      <c r="A430" s="27"/>
      <c r="B430" s="32"/>
      <c r="C430" s="32"/>
      <c r="D430" s="32"/>
      <c r="E430" s="31"/>
      <c r="F430" s="32"/>
      <c r="G430" s="32"/>
    </row>
    <row r="431" customFormat="false" ht="15" hidden="false" customHeight="false" outlineLevel="0" collapsed="false">
      <c r="A431" s="27"/>
      <c r="B431" s="32"/>
      <c r="C431" s="32"/>
      <c r="D431" s="32"/>
      <c r="E431" s="31"/>
      <c r="F431" s="32"/>
      <c r="G431" s="32"/>
    </row>
    <row r="432" customFormat="false" ht="15" hidden="false" customHeight="false" outlineLevel="0" collapsed="false">
      <c r="A432" s="27"/>
      <c r="B432" s="32"/>
      <c r="C432" s="32"/>
      <c r="D432" s="32"/>
      <c r="E432" s="31"/>
      <c r="F432" s="32"/>
      <c r="G432" s="32"/>
    </row>
    <row r="433" customFormat="false" ht="15" hidden="false" customHeight="false" outlineLevel="0" collapsed="false">
      <c r="A433" s="27"/>
      <c r="B433" s="32"/>
      <c r="C433" s="32"/>
      <c r="D433" s="32"/>
      <c r="E433" s="31"/>
      <c r="F433" s="32"/>
      <c r="G433" s="32"/>
    </row>
    <row r="434" customFormat="false" ht="15" hidden="false" customHeight="false" outlineLevel="0" collapsed="false">
      <c r="A434" s="27"/>
      <c r="B434" s="32"/>
      <c r="C434" s="32"/>
      <c r="D434" s="32"/>
      <c r="E434" s="31"/>
      <c r="F434" s="32"/>
      <c r="G434" s="32"/>
    </row>
    <row r="435" customFormat="false" ht="15" hidden="false" customHeight="false" outlineLevel="0" collapsed="false">
      <c r="A435" s="27"/>
      <c r="B435" s="32"/>
      <c r="C435" s="32"/>
      <c r="D435" s="32"/>
      <c r="E435" s="31"/>
      <c r="F435" s="32"/>
      <c r="G435" s="32"/>
    </row>
    <row r="436" customFormat="false" ht="15" hidden="false" customHeight="false" outlineLevel="0" collapsed="false">
      <c r="A436" s="27"/>
      <c r="B436" s="32"/>
      <c r="C436" s="32"/>
      <c r="D436" s="32"/>
      <c r="E436" s="31"/>
      <c r="F436" s="32"/>
      <c r="G436" s="32"/>
    </row>
    <row r="437" customFormat="false" ht="15" hidden="false" customHeight="false" outlineLevel="0" collapsed="false">
      <c r="A437" s="27"/>
      <c r="B437" s="32"/>
      <c r="C437" s="32"/>
      <c r="D437" s="32"/>
      <c r="E437" s="31"/>
      <c r="F437" s="32"/>
      <c r="G437" s="32"/>
    </row>
    <row r="438" customFormat="false" ht="15" hidden="false" customHeight="false" outlineLevel="0" collapsed="false">
      <c r="A438" s="27"/>
      <c r="B438" s="32"/>
      <c r="C438" s="32"/>
      <c r="D438" s="32"/>
      <c r="E438" s="31"/>
      <c r="F438" s="32"/>
      <c r="G438" s="32"/>
    </row>
    <row r="439" customFormat="false" ht="15" hidden="false" customHeight="false" outlineLevel="0" collapsed="false">
      <c r="A439" s="27"/>
      <c r="B439" s="32"/>
      <c r="C439" s="32"/>
      <c r="D439" s="32"/>
      <c r="E439" s="31"/>
      <c r="F439" s="32"/>
      <c r="G439" s="32"/>
    </row>
    <row r="440" customFormat="false" ht="15" hidden="false" customHeight="false" outlineLevel="0" collapsed="false">
      <c r="A440" s="27"/>
      <c r="B440" s="32"/>
      <c r="C440" s="32"/>
      <c r="D440" s="32"/>
      <c r="E440" s="31"/>
      <c r="F440" s="32"/>
      <c r="G440" s="32"/>
    </row>
    <row r="441" customFormat="false" ht="15" hidden="false" customHeight="false" outlineLevel="0" collapsed="false">
      <c r="A441" s="27"/>
      <c r="B441" s="32"/>
      <c r="C441" s="32"/>
      <c r="D441" s="32"/>
      <c r="E441" s="31"/>
      <c r="F441" s="32"/>
      <c r="G441" s="32"/>
    </row>
    <row r="442" customFormat="false" ht="15" hidden="false" customHeight="false" outlineLevel="0" collapsed="false">
      <c r="A442" s="27"/>
      <c r="B442" s="32"/>
      <c r="C442" s="32"/>
      <c r="D442" s="32"/>
      <c r="E442" s="31"/>
      <c r="F442" s="32"/>
      <c r="G442" s="32"/>
    </row>
    <row r="443" customFormat="false" ht="15" hidden="false" customHeight="false" outlineLevel="0" collapsed="false">
      <c r="A443" s="27"/>
      <c r="B443" s="32"/>
      <c r="C443" s="32"/>
      <c r="D443" s="32"/>
      <c r="E443" s="31"/>
      <c r="F443" s="32"/>
      <c r="G443" s="32"/>
    </row>
    <row r="444" customFormat="false" ht="15" hidden="false" customHeight="false" outlineLevel="0" collapsed="false">
      <c r="A444" s="27"/>
      <c r="B444" s="32"/>
      <c r="C444" s="32"/>
      <c r="D444" s="32"/>
      <c r="E444" s="31"/>
      <c r="F444" s="32"/>
      <c r="G444" s="32"/>
    </row>
    <row r="445" customFormat="false" ht="15" hidden="false" customHeight="false" outlineLevel="0" collapsed="false">
      <c r="A445" s="27"/>
      <c r="B445" s="32"/>
      <c r="C445" s="32"/>
      <c r="D445" s="32"/>
      <c r="E445" s="31"/>
      <c r="F445" s="32"/>
      <c r="G445" s="32"/>
    </row>
    <row r="446" customFormat="false" ht="15" hidden="false" customHeight="false" outlineLevel="0" collapsed="false">
      <c r="A446" s="27"/>
      <c r="B446" s="32"/>
      <c r="C446" s="32"/>
      <c r="D446" s="32"/>
      <c r="E446" s="31"/>
      <c r="F446" s="32"/>
      <c r="G446" s="32"/>
    </row>
    <row r="447" customFormat="false" ht="15" hidden="false" customHeight="false" outlineLevel="0" collapsed="false">
      <c r="A447" s="27"/>
      <c r="B447" s="32"/>
      <c r="C447" s="32"/>
      <c r="D447" s="32"/>
      <c r="E447" s="31"/>
      <c r="F447" s="32"/>
      <c r="G447" s="32"/>
    </row>
    <row r="448" customFormat="false" ht="15" hidden="false" customHeight="false" outlineLevel="0" collapsed="false">
      <c r="A448" s="27"/>
      <c r="B448" s="32"/>
      <c r="C448" s="32"/>
      <c r="D448" s="32"/>
      <c r="E448" s="31"/>
      <c r="F448" s="32"/>
      <c r="G448" s="32"/>
    </row>
    <row r="449" customFormat="false" ht="15" hidden="false" customHeight="false" outlineLevel="0" collapsed="false">
      <c r="A449" s="27"/>
      <c r="B449" s="32"/>
      <c r="C449" s="32"/>
      <c r="D449" s="32"/>
      <c r="E449" s="31"/>
      <c r="F449" s="32"/>
      <c r="G449" s="32"/>
    </row>
    <row r="450" customFormat="false" ht="15" hidden="false" customHeight="false" outlineLevel="0" collapsed="false">
      <c r="A450" s="27"/>
      <c r="B450" s="32"/>
      <c r="C450" s="32"/>
      <c r="D450" s="32"/>
      <c r="E450" s="31"/>
      <c r="F450" s="32"/>
      <c r="G450" s="32"/>
    </row>
    <row r="451" customFormat="false" ht="15" hidden="false" customHeight="false" outlineLevel="0" collapsed="false">
      <c r="A451" s="27"/>
      <c r="B451" s="32"/>
      <c r="C451" s="32"/>
      <c r="D451" s="32"/>
      <c r="E451" s="31"/>
      <c r="F451" s="32"/>
      <c r="G451" s="32"/>
    </row>
    <row r="452" customFormat="false" ht="15" hidden="false" customHeight="false" outlineLevel="0" collapsed="false">
      <c r="A452" s="27"/>
      <c r="B452" s="32"/>
      <c r="C452" s="32"/>
      <c r="D452" s="32"/>
      <c r="E452" s="31"/>
      <c r="F452" s="32"/>
      <c r="G452" s="32"/>
    </row>
    <row r="453" customFormat="false" ht="15" hidden="false" customHeight="false" outlineLevel="0" collapsed="false">
      <c r="A453" s="27"/>
      <c r="B453" s="32"/>
      <c r="C453" s="32"/>
      <c r="D453" s="32"/>
      <c r="E453" s="31"/>
      <c r="F453" s="32"/>
      <c r="G453" s="32"/>
    </row>
    <row r="454" customFormat="false" ht="15" hidden="false" customHeight="false" outlineLevel="0" collapsed="false">
      <c r="A454" s="27"/>
      <c r="B454" s="32"/>
      <c r="C454" s="32"/>
      <c r="D454" s="32"/>
      <c r="E454" s="31"/>
      <c r="F454" s="32"/>
      <c r="G454" s="32"/>
    </row>
    <row r="455" customFormat="false" ht="15" hidden="false" customHeight="false" outlineLevel="0" collapsed="false">
      <c r="A455" s="27"/>
      <c r="B455" s="32"/>
      <c r="C455" s="32"/>
      <c r="D455" s="32"/>
      <c r="E455" s="31"/>
      <c r="F455" s="32"/>
      <c r="G455" s="32"/>
    </row>
    <row r="456" customFormat="false" ht="15" hidden="false" customHeight="false" outlineLevel="0" collapsed="false">
      <c r="A456" s="27"/>
      <c r="B456" s="32"/>
      <c r="C456" s="32"/>
      <c r="D456" s="32"/>
      <c r="E456" s="31"/>
      <c r="F456" s="32"/>
      <c r="G456" s="32"/>
    </row>
    <row r="457" customFormat="false" ht="15" hidden="false" customHeight="false" outlineLevel="0" collapsed="false">
      <c r="A457" s="27"/>
      <c r="B457" s="32"/>
      <c r="C457" s="32"/>
      <c r="D457" s="32"/>
      <c r="E457" s="31"/>
      <c r="F457" s="32"/>
      <c r="G457" s="32"/>
    </row>
    <row r="458" customFormat="false" ht="15" hidden="false" customHeight="false" outlineLevel="0" collapsed="false">
      <c r="A458" s="27"/>
      <c r="B458" s="32"/>
      <c r="C458" s="32"/>
      <c r="D458" s="32"/>
      <c r="E458" s="31"/>
      <c r="F458" s="32"/>
      <c r="G458" s="32"/>
    </row>
    <row r="459" customFormat="false" ht="15" hidden="false" customHeight="false" outlineLevel="0" collapsed="false">
      <c r="A459" s="27"/>
      <c r="B459" s="32"/>
      <c r="C459" s="32"/>
      <c r="D459" s="32"/>
      <c r="E459" s="31"/>
      <c r="F459" s="32"/>
      <c r="G459" s="32"/>
    </row>
    <row r="460" customFormat="false" ht="15" hidden="false" customHeight="false" outlineLevel="0" collapsed="false">
      <c r="A460" s="27"/>
      <c r="B460" s="32"/>
      <c r="C460" s="32"/>
      <c r="D460" s="32"/>
      <c r="E460" s="31"/>
      <c r="F460" s="32"/>
      <c r="G460" s="32"/>
    </row>
    <row r="461" customFormat="false" ht="15" hidden="false" customHeight="false" outlineLevel="0" collapsed="false">
      <c r="A461" s="27"/>
      <c r="B461" s="32"/>
      <c r="C461" s="32"/>
      <c r="D461" s="32"/>
      <c r="E461" s="31"/>
      <c r="F461" s="32"/>
      <c r="G461" s="32"/>
    </row>
    <row r="462" customFormat="false" ht="15" hidden="false" customHeight="false" outlineLevel="0" collapsed="false">
      <c r="A462" s="27"/>
      <c r="B462" s="32"/>
      <c r="C462" s="32"/>
      <c r="D462" s="32"/>
      <c r="E462" s="31"/>
      <c r="F462" s="32"/>
      <c r="G462" s="32"/>
    </row>
    <row r="463" customFormat="false" ht="15" hidden="false" customHeight="false" outlineLevel="0" collapsed="false">
      <c r="A463" s="27"/>
      <c r="B463" s="32"/>
      <c r="C463" s="32"/>
      <c r="D463" s="32"/>
      <c r="E463" s="31"/>
      <c r="F463" s="32"/>
      <c r="G463" s="32"/>
    </row>
    <row r="464" customFormat="false" ht="15" hidden="false" customHeight="false" outlineLevel="0" collapsed="false">
      <c r="A464" s="27"/>
      <c r="B464" s="32"/>
      <c r="C464" s="32"/>
      <c r="D464" s="32"/>
      <c r="E464" s="31"/>
      <c r="F464" s="32"/>
      <c r="G464" s="32"/>
    </row>
    <row r="465" customFormat="false" ht="15" hidden="false" customHeight="false" outlineLevel="0" collapsed="false">
      <c r="A465" s="27"/>
      <c r="B465" s="32"/>
      <c r="C465" s="32"/>
      <c r="D465" s="32"/>
      <c r="E465" s="31"/>
      <c r="F465" s="32"/>
      <c r="G465" s="32"/>
    </row>
    <row r="466" customFormat="false" ht="15" hidden="false" customHeight="false" outlineLevel="0" collapsed="false">
      <c r="A466" s="27"/>
      <c r="B466" s="32"/>
      <c r="C466" s="32"/>
      <c r="D466" s="32"/>
      <c r="E466" s="31"/>
      <c r="F466" s="32"/>
      <c r="G466" s="32"/>
    </row>
    <row r="467" customFormat="false" ht="15" hidden="false" customHeight="false" outlineLevel="0" collapsed="false">
      <c r="A467" s="27"/>
      <c r="B467" s="32"/>
      <c r="C467" s="32"/>
      <c r="D467" s="32"/>
      <c r="E467" s="31"/>
      <c r="F467" s="32"/>
      <c r="G467" s="32"/>
    </row>
    <row r="468" customFormat="false" ht="15" hidden="false" customHeight="false" outlineLevel="0" collapsed="false">
      <c r="A468" s="27"/>
      <c r="B468" s="32"/>
      <c r="C468" s="32"/>
      <c r="D468" s="32"/>
      <c r="E468" s="31"/>
      <c r="F468" s="32"/>
      <c r="G468" s="32"/>
    </row>
    <row r="469" customFormat="false" ht="15" hidden="false" customHeight="false" outlineLevel="0" collapsed="false">
      <c r="A469" s="27"/>
      <c r="B469" s="32"/>
      <c r="C469" s="32"/>
      <c r="D469" s="32"/>
      <c r="E469" s="31"/>
      <c r="F469" s="32"/>
      <c r="G469" s="32"/>
    </row>
    <row r="470" customFormat="false" ht="15" hidden="false" customHeight="false" outlineLevel="0" collapsed="false">
      <c r="A470" s="27"/>
      <c r="B470" s="32"/>
      <c r="C470" s="32"/>
      <c r="D470" s="32"/>
      <c r="E470" s="31"/>
      <c r="F470" s="32"/>
      <c r="G470" s="32"/>
    </row>
    <row r="471" customFormat="false" ht="15" hidden="false" customHeight="false" outlineLevel="0" collapsed="false">
      <c r="A471" s="27"/>
      <c r="B471" s="32"/>
      <c r="C471" s="32"/>
      <c r="D471" s="32"/>
      <c r="E471" s="31"/>
      <c r="F471" s="32"/>
      <c r="G471" s="32"/>
    </row>
    <row r="472" customFormat="false" ht="15" hidden="false" customHeight="false" outlineLevel="0" collapsed="false">
      <c r="A472" s="27"/>
      <c r="B472" s="32"/>
      <c r="C472" s="32"/>
      <c r="D472" s="32"/>
      <c r="E472" s="31"/>
      <c r="F472" s="32"/>
      <c r="G472" s="32"/>
    </row>
    <row r="473" customFormat="false" ht="15" hidden="false" customHeight="false" outlineLevel="0" collapsed="false">
      <c r="A473" s="27"/>
      <c r="B473" s="32"/>
      <c r="C473" s="32"/>
      <c r="D473" s="32"/>
      <c r="E473" s="31"/>
      <c r="F473" s="32"/>
      <c r="G473" s="32"/>
    </row>
    <row r="474" customFormat="false" ht="15" hidden="false" customHeight="false" outlineLevel="0" collapsed="false">
      <c r="A474" s="27"/>
      <c r="B474" s="32"/>
      <c r="C474" s="32"/>
      <c r="D474" s="32"/>
      <c r="E474" s="31"/>
      <c r="F474" s="32"/>
      <c r="G474" s="32"/>
    </row>
    <row r="475" customFormat="false" ht="15" hidden="false" customHeight="false" outlineLevel="0" collapsed="false">
      <c r="A475" s="27"/>
      <c r="B475" s="32"/>
      <c r="C475" s="32"/>
      <c r="D475" s="32"/>
      <c r="E475" s="31"/>
      <c r="F475" s="32"/>
      <c r="G475" s="32"/>
    </row>
    <row r="476" customFormat="false" ht="15" hidden="false" customHeight="false" outlineLevel="0" collapsed="false">
      <c r="A476" s="27"/>
      <c r="B476" s="32"/>
      <c r="C476" s="32"/>
      <c r="D476" s="32"/>
      <c r="E476" s="31"/>
      <c r="F476" s="32"/>
      <c r="G476" s="32"/>
    </row>
    <row r="477" customFormat="false" ht="15" hidden="false" customHeight="false" outlineLevel="0" collapsed="false">
      <c r="A477" s="27"/>
      <c r="B477" s="32"/>
      <c r="C477" s="32"/>
      <c r="D477" s="32"/>
      <c r="E477" s="31"/>
      <c r="F477" s="32"/>
      <c r="G477" s="32"/>
    </row>
    <row r="478" customFormat="false" ht="15" hidden="false" customHeight="false" outlineLevel="0" collapsed="false">
      <c r="A478" s="27"/>
      <c r="B478" s="32"/>
      <c r="C478" s="32"/>
      <c r="D478" s="32"/>
      <c r="E478" s="31"/>
      <c r="F478" s="32"/>
      <c r="G478" s="32"/>
    </row>
    <row r="479" customFormat="false" ht="15" hidden="false" customHeight="false" outlineLevel="0" collapsed="false">
      <c r="A479" s="27"/>
      <c r="B479" s="32"/>
      <c r="C479" s="32"/>
      <c r="D479" s="32"/>
      <c r="E479" s="31"/>
      <c r="F479" s="32"/>
      <c r="G479" s="32"/>
    </row>
    <row r="480" customFormat="false" ht="15" hidden="false" customHeight="false" outlineLevel="0" collapsed="false">
      <c r="A480" s="27"/>
      <c r="B480" s="32"/>
      <c r="C480" s="32"/>
      <c r="D480" s="32"/>
      <c r="E480" s="31"/>
      <c r="F480" s="32"/>
      <c r="G480" s="32"/>
    </row>
    <row r="481" customFormat="false" ht="15" hidden="false" customHeight="false" outlineLevel="0" collapsed="false">
      <c r="A481" s="27"/>
      <c r="B481" s="32"/>
      <c r="C481" s="32"/>
      <c r="D481" s="32"/>
      <c r="E481" s="31"/>
      <c r="F481" s="32"/>
      <c r="G481" s="32"/>
    </row>
    <row r="482" customFormat="false" ht="15" hidden="false" customHeight="false" outlineLevel="0" collapsed="false">
      <c r="A482" s="27"/>
      <c r="B482" s="32"/>
      <c r="C482" s="32"/>
      <c r="D482" s="32"/>
      <c r="E482" s="31"/>
      <c r="F482" s="32"/>
      <c r="G482" s="32"/>
    </row>
    <row r="483" customFormat="false" ht="15" hidden="false" customHeight="false" outlineLevel="0" collapsed="false">
      <c r="A483" s="27"/>
      <c r="B483" s="32"/>
      <c r="C483" s="32"/>
      <c r="D483" s="32"/>
      <c r="E483" s="31"/>
      <c r="F483" s="32"/>
      <c r="G483" s="32"/>
    </row>
    <row r="484" customFormat="false" ht="15" hidden="false" customHeight="false" outlineLevel="0" collapsed="false">
      <c r="A484" s="27"/>
      <c r="B484" s="32"/>
      <c r="C484" s="32"/>
      <c r="D484" s="32"/>
      <c r="E484" s="31"/>
      <c r="F484" s="32"/>
      <c r="G484" s="32"/>
    </row>
    <row r="485" customFormat="false" ht="15" hidden="false" customHeight="false" outlineLevel="0" collapsed="false">
      <c r="A485" s="27"/>
      <c r="B485" s="32"/>
      <c r="C485" s="32"/>
      <c r="D485" s="32"/>
      <c r="E485" s="31"/>
      <c r="F485" s="32"/>
      <c r="G485" s="32"/>
    </row>
    <row r="486" customFormat="false" ht="15" hidden="false" customHeight="false" outlineLevel="0" collapsed="false">
      <c r="A486" s="27"/>
      <c r="B486" s="32"/>
      <c r="C486" s="32"/>
      <c r="D486" s="32"/>
      <c r="E486" s="31"/>
      <c r="F486" s="32"/>
      <c r="G486" s="32"/>
    </row>
    <row r="487" customFormat="false" ht="15" hidden="false" customHeight="false" outlineLevel="0" collapsed="false">
      <c r="A487" s="27"/>
      <c r="B487" s="32"/>
      <c r="C487" s="32"/>
      <c r="D487" s="32"/>
      <c r="E487" s="31"/>
      <c r="F487" s="32"/>
      <c r="G487" s="32"/>
    </row>
    <row r="488" customFormat="false" ht="15" hidden="false" customHeight="false" outlineLevel="0" collapsed="false">
      <c r="A488" s="27"/>
      <c r="B488" s="32"/>
      <c r="C488" s="32"/>
      <c r="D488" s="32"/>
      <c r="E488" s="31"/>
      <c r="F488" s="32"/>
      <c r="G488" s="32"/>
    </row>
    <row r="489" customFormat="false" ht="15" hidden="false" customHeight="false" outlineLevel="0" collapsed="false">
      <c r="A489" s="27"/>
      <c r="B489" s="32"/>
      <c r="C489" s="32"/>
      <c r="D489" s="32"/>
      <c r="E489" s="31"/>
      <c r="F489" s="32"/>
      <c r="G489" s="32"/>
    </row>
    <row r="490" customFormat="false" ht="15" hidden="false" customHeight="false" outlineLevel="0" collapsed="false">
      <c r="A490" s="27"/>
      <c r="B490" s="32"/>
      <c r="C490" s="32"/>
      <c r="D490" s="32"/>
      <c r="E490" s="31"/>
      <c r="F490" s="32"/>
      <c r="G490" s="32"/>
    </row>
    <row r="491" customFormat="false" ht="15" hidden="false" customHeight="false" outlineLevel="0" collapsed="false">
      <c r="A491" s="27"/>
      <c r="B491" s="32"/>
      <c r="C491" s="32"/>
      <c r="D491" s="32"/>
      <c r="E491" s="31"/>
      <c r="F491" s="32"/>
      <c r="G491" s="32"/>
    </row>
    <row r="492" customFormat="false" ht="15" hidden="false" customHeight="false" outlineLevel="0" collapsed="false">
      <c r="A492" s="27"/>
      <c r="B492" s="32"/>
      <c r="C492" s="32"/>
      <c r="D492" s="32"/>
      <c r="E492" s="31"/>
      <c r="F492" s="32"/>
      <c r="G492" s="32"/>
    </row>
    <row r="493" customFormat="false" ht="15" hidden="false" customHeight="false" outlineLevel="0" collapsed="false">
      <c r="A493" s="27"/>
      <c r="B493" s="32"/>
      <c r="C493" s="32"/>
      <c r="D493" s="32"/>
      <c r="E493" s="31"/>
      <c r="F493" s="32"/>
      <c r="G493" s="32"/>
    </row>
    <row r="494" customFormat="false" ht="15" hidden="false" customHeight="false" outlineLevel="0" collapsed="false">
      <c r="A494" s="27"/>
      <c r="B494" s="32"/>
      <c r="C494" s="32"/>
      <c r="D494" s="32"/>
      <c r="E494" s="31"/>
      <c r="F494" s="32"/>
      <c r="G494" s="32"/>
    </row>
    <row r="495" customFormat="false" ht="15" hidden="false" customHeight="false" outlineLevel="0" collapsed="false">
      <c r="A495" s="27"/>
      <c r="B495" s="32"/>
      <c r="C495" s="32"/>
      <c r="D495" s="32"/>
      <c r="E495" s="31"/>
      <c r="F495" s="32"/>
      <c r="G495" s="32"/>
    </row>
    <row r="496" customFormat="false" ht="15" hidden="false" customHeight="false" outlineLevel="0" collapsed="false">
      <c r="A496" s="27"/>
      <c r="B496" s="32"/>
      <c r="C496" s="32"/>
      <c r="D496" s="32"/>
      <c r="E496" s="31"/>
      <c r="F496" s="32"/>
      <c r="G496" s="32"/>
    </row>
    <row r="497" customFormat="false" ht="15" hidden="false" customHeight="false" outlineLevel="0" collapsed="false">
      <c r="A497" s="27"/>
      <c r="B497" s="32"/>
      <c r="C497" s="32"/>
      <c r="D497" s="32"/>
      <c r="E497" s="31"/>
      <c r="F497" s="32"/>
      <c r="G497" s="32"/>
    </row>
    <row r="498" customFormat="false" ht="15" hidden="false" customHeight="false" outlineLevel="0" collapsed="false">
      <c r="A498" s="27"/>
      <c r="B498" s="32"/>
      <c r="C498" s="32"/>
      <c r="D498" s="32"/>
      <c r="E498" s="31"/>
      <c r="F498" s="32"/>
      <c r="G498" s="32"/>
    </row>
    <row r="499" customFormat="false" ht="15" hidden="false" customHeight="false" outlineLevel="0" collapsed="false">
      <c r="A499" s="27"/>
      <c r="B499" s="32"/>
      <c r="C499" s="32"/>
      <c r="D499" s="32"/>
      <c r="E499" s="31"/>
      <c r="F499" s="32"/>
      <c r="G499" s="32"/>
    </row>
    <row r="500" customFormat="false" ht="15" hidden="false" customHeight="false" outlineLevel="0" collapsed="false">
      <c r="A500" s="27"/>
      <c r="B500" s="32"/>
      <c r="C500" s="32"/>
      <c r="D500" s="32"/>
      <c r="E500" s="31"/>
      <c r="F500" s="32"/>
      <c r="G500" s="32"/>
    </row>
    <row r="501" customFormat="false" ht="15" hidden="false" customHeight="false" outlineLevel="0" collapsed="false">
      <c r="A501" s="27"/>
      <c r="B501" s="32"/>
      <c r="C501" s="32"/>
      <c r="D501" s="32"/>
      <c r="E501" s="31"/>
      <c r="F501" s="32"/>
      <c r="G501" s="32"/>
    </row>
    <row r="502" customFormat="false" ht="15" hidden="false" customHeight="false" outlineLevel="0" collapsed="false">
      <c r="A502" s="27"/>
      <c r="B502" s="32"/>
      <c r="C502" s="32"/>
      <c r="D502" s="32"/>
      <c r="E502" s="31"/>
      <c r="F502" s="32"/>
      <c r="G502" s="32"/>
    </row>
    <row r="503" customFormat="false" ht="15" hidden="false" customHeight="false" outlineLevel="0" collapsed="false">
      <c r="A503" s="27"/>
      <c r="B503" s="32"/>
      <c r="C503" s="32"/>
      <c r="D503" s="32"/>
      <c r="E503" s="31"/>
      <c r="F503" s="32"/>
      <c r="G503" s="32"/>
    </row>
    <row r="504" customFormat="false" ht="15" hidden="false" customHeight="false" outlineLevel="0" collapsed="false">
      <c r="A504" s="27"/>
      <c r="B504" s="32"/>
      <c r="C504" s="32"/>
      <c r="D504" s="32"/>
      <c r="E504" s="31"/>
      <c r="F504" s="32"/>
      <c r="G504" s="32"/>
    </row>
  </sheetData>
  <dataValidations count="3">
    <dataValidation allowBlank="true" errorStyle="stop" operator="between" prompt="Escolha o código do trabalho (aba Trabalhos)." promptTitle="Dica" showDropDown="false" showErrorMessage="false" showInputMessage="true" sqref="B5:B504" type="list">
      <formula1>Trabalhos!$A$5:$A$504</formula1>
      <formula2>0</formula2>
    </dataValidation>
    <dataValidation allowBlank="true" errorStyle="stop" operator="between" showDropDown="false" showErrorMessage="false" showInputMessage="false" sqref="D5:D504" type="list">
      <formula1>Listas!$C$5:$C$30</formula1>
      <formula2>0</formula2>
    </dataValidation>
    <dataValidation allowBlank="true" errorStyle="stop" operator="between" showDropDown="false" showErrorMessage="false" showInputMessage="false" sqref="F5:F504" type="list">
      <formula1>Listas!$H$5:$H$30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F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49</v>
      </c>
    </row>
    <row r="2" customFormat="false" ht="15" hidden="false" customHeight="false" outlineLevel="0" collapsed="false">
      <c r="A2" s="2" t="s">
        <v>172</v>
      </c>
    </row>
    <row r="4" customFormat="false" ht="31.5" hidden="false" customHeight="true" outlineLevel="0" collapsed="false">
      <c r="A4" s="10" t="s">
        <v>94</v>
      </c>
      <c r="B4" s="10" t="s">
        <v>173</v>
      </c>
      <c r="C4" s="10" t="s">
        <v>174</v>
      </c>
      <c r="D4" s="10" t="s">
        <v>175</v>
      </c>
      <c r="E4" s="10" t="s">
        <v>176</v>
      </c>
      <c r="F4" s="10" t="s">
        <v>106</v>
      </c>
    </row>
    <row r="5" customFormat="false" ht="15" hidden="false" customHeight="false" outlineLevel="0" collapsed="false">
      <c r="A5" s="27" t="n">
        <v>46095</v>
      </c>
      <c r="B5" s="32" t="s">
        <v>177</v>
      </c>
      <c r="C5" s="32" t="s">
        <v>178</v>
      </c>
      <c r="D5" s="31" t="n">
        <v>80</v>
      </c>
      <c r="E5" s="32" t="s">
        <v>108</v>
      </c>
      <c r="F5" s="32" t="s">
        <v>112</v>
      </c>
    </row>
    <row r="6" customFormat="false" ht="15" hidden="false" customHeight="false" outlineLevel="0" collapsed="false">
      <c r="A6" s="27" t="n">
        <v>46113</v>
      </c>
      <c r="B6" s="32" t="s">
        <v>179</v>
      </c>
      <c r="C6" s="32" t="s">
        <v>180</v>
      </c>
      <c r="D6" s="31" t="n">
        <v>60</v>
      </c>
      <c r="E6" s="32"/>
      <c r="F6" s="32" t="s">
        <v>112</v>
      </c>
    </row>
    <row r="7" customFormat="false" ht="15" hidden="false" customHeight="false" outlineLevel="0" collapsed="false">
      <c r="A7" s="27" t="n">
        <v>46213</v>
      </c>
      <c r="B7" s="32" t="s">
        <v>181</v>
      </c>
      <c r="C7" s="32" t="s">
        <v>182</v>
      </c>
      <c r="D7" s="31" t="n">
        <v>150</v>
      </c>
      <c r="E7" s="32"/>
      <c r="F7" s="32" t="s">
        <v>112</v>
      </c>
    </row>
    <row r="8" customFormat="false" ht="15" hidden="false" customHeight="false" outlineLevel="0" collapsed="false">
      <c r="A8" s="27" t="n">
        <v>46243</v>
      </c>
      <c r="B8" s="32" t="s">
        <v>183</v>
      </c>
      <c r="C8" s="32" t="s">
        <v>184</v>
      </c>
      <c r="D8" s="31" t="n">
        <v>40</v>
      </c>
      <c r="E8" s="32" t="s">
        <v>117</v>
      </c>
      <c r="F8" s="32" t="s">
        <v>112</v>
      </c>
    </row>
    <row r="9" customFormat="false" ht="15" hidden="false" customHeight="false" outlineLevel="0" collapsed="false">
      <c r="A9" s="27"/>
      <c r="B9" s="32"/>
      <c r="C9" s="32"/>
      <c r="D9" s="31"/>
      <c r="E9" s="32"/>
      <c r="F9" s="32"/>
    </row>
    <row r="10" customFormat="false" ht="15" hidden="false" customHeight="false" outlineLevel="0" collapsed="false">
      <c r="A10" s="27"/>
      <c r="B10" s="32"/>
      <c r="C10" s="32"/>
      <c r="D10" s="31"/>
      <c r="E10" s="32"/>
      <c r="F10" s="32"/>
    </row>
    <row r="11" customFormat="false" ht="15" hidden="false" customHeight="false" outlineLevel="0" collapsed="false">
      <c r="A11" s="27"/>
      <c r="B11" s="32"/>
      <c r="C11" s="32"/>
      <c r="D11" s="31"/>
      <c r="E11" s="32"/>
      <c r="F11" s="32"/>
    </row>
    <row r="12" customFormat="false" ht="15" hidden="false" customHeight="false" outlineLevel="0" collapsed="false">
      <c r="A12" s="27"/>
      <c r="B12" s="32"/>
      <c r="C12" s="32"/>
      <c r="D12" s="31"/>
      <c r="E12" s="32"/>
      <c r="F12" s="32"/>
    </row>
    <row r="13" customFormat="false" ht="15" hidden="false" customHeight="false" outlineLevel="0" collapsed="false">
      <c r="A13" s="27"/>
      <c r="B13" s="32"/>
      <c r="C13" s="32"/>
      <c r="D13" s="31"/>
      <c r="E13" s="32"/>
      <c r="F13" s="32"/>
    </row>
    <row r="14" customFormat="false" ht="15" hidden="false" customHeight="false" outlineLevel="0" collapsed="false">
      <c r="A14" s="27"/>
      <c r="B14" s="32"/>
      <c r="C14" s="32"/>
      <c r="D14" s="31"/>
      <c r="E14" s="32"/>
      <c r="F14" s="32"/>
    </row>
    <row r="15" customFormat="false" ht="15" hidden="false" customHeight="false" outlineLevel="0" collapsed="false">
      <c r="A15" s="27"/>
      <c r="B15" s="32"/>
      <c r="C15" s="32"/>
      <c r="D15" s="31"/>
      <c r="E15" s="32"/>
      <c r="F15" s="32"/>
    </row>
    <row r="16" customFormat="false" ht="15" hidden="false" customHeight="false" outlineLevel="0" collapsed="false">
      <c r="A16" s="27"/>
      <c r="B16" s="32"/>
      <c r="C16" s="32"/>
      <c r="D16" s="31"/>
      <c r="E16" s="32"/>
      <c r="F16" s="32"/>
    </row>
    <row r="17" customFormat="false" ht="15" hidden="false" customHeight="false" outlineLevel="0" collapsed="false">
      <c r="A17" s="27"/>
      <c r="B17" s="32"/>
      <c r="C17" s="32"/>
      <c r="D17" s="31"/>
      <c r="E17" s="32"/>
      <c r="F17" s="32"/>
    </row>
    <row r="18" customFormat="false" ht="15" hidden="false" customHeight="false" outlineLevel="0" collapsed="false">
      <c r="A18" s="27"/>
      <c r="B18" s="32"/>
      <c r="C18" s="32"/>
      <c r="D18" s="31"/>
      <c r="E18" s="32"/>
      <c r="F18" s="32"/>
    </row>
    <row r="19" customFormat="false" ht="15" hidden="false" customHeight="false" outlineLevel="0" collapsed="false">
      <c r="A19" s="27"/>
      <c r="B19" s="32"/>
      <c r="C19" s="32"/>
      <c r="D19" s="31"/>
      <c r="E19" s="32"/>
      <c r="F19" s="32"/>
    </row>
    <row r="20" customFormat="false" ht="15" hidden="false" customHeight="false" outlineLevel="0" collapsed="false">
      <c r="A20" s="27"/>
      <c r="B20" s="32"/>
      <c r="C20" s="32"/>
      <c r="D20" s="31"/>
      <c r="E20" s="32"/>
      <c r="F20" s="32"/>
    </row>
    <row r="21" customFormat="false" ht="15" hidden="false" customHeight="false" outlineLevel="0" collapsed="false">
      <c r="A21" s="27"/>
      <c r="B21" s="32"/>
      <c r="C21" s="32"/>
      <c r="D21" s="31"/>
      <c r="E21" s="32"/>
      <c r="F21" s="32"/>
    </row>
    <row r="22" customFormat="false" ht="15" hidden="false" customHeight="false" outlineLevel="0" collapsed="false">
      <c r="A22" s="27"/>
      <c r="B22" s="32"/>
      <c r="C22" s="32"/>
      <c r="D22" s="31"/>
      <c r="E22" s="32"/>
      <c r="F22" s="32"/>
    </row>
    <row r="23" customFormat="false" ht="15" hidden="false" customHeight="false" outlineLevel="0" collapsed="false">
      <c r="A23" s="27"/>
      <c r="B23" s="32"/>
      <c r="C23" s="32"/>
      <c r="D23" s="31"/>
      <c r="E23" s="32"/>
      <c r="F23" s="32"/>
    </row>
    <row r="24" customFormat="false" ht="15" hidden="false" customHeight="false" outlineLevel="0" collapsed="false">
      <c r="A24" s="27"/>
      <c r="B24" s="32"/>
      <c r="C24" s="32"/>
      <c r="D24" s="31"/>
      <c r="E24" s="32"/>
      <c r="F24" s="32"/>
    </row>
    <row r="25" customFormat="false" ht="15" hidden="false" customHeight="false" outlineLevel="0" collapsed="false">
      <c r="A25" s="27"/>
      <c r="B25" s="32"/>
      <c r="C25" s="32"/>
      <c r="D25" s="31"/>
      <c r="E25" s="32"/>
      <c r="F25" s="32"/>
    </row>
    <row r="26" customFormat="false" ht="15" hidden="false" customHeight="false" outlineLevel="0" collapsed="false">
      <c r="A26" s="27"/>
      <c r="B26" s="32"/>
      <c r="C26" s="32"/>
      <c r="D26" s="31"/>
      <c r="E26" s="32"/>
      <c r="F26" s="32"/>
    </row>
    <row r="27" customFormat="false" ht="15" hidden="false" customHeight="false" outlineLevel="0" collapsed="false">
      <c r="A27" s="27"/>
      <c r="B27" s="32"/>
      <c r="C27" s="32"/>
      <c r="D27" s="31"/>
      <c r="E27" s="32"/>
      <c r="F27" s="32"/>
    </row>
    <row r="28" customFormat="false" ht="15" hidden="false" customHeight="false" outlineLevel="0" collapsed="false">
      <c r="A28" s="27"/>
      <c r="B28" s="32"/>
      <c r="C28" s="32"/>
      <c r="D28" s="31"/>
      <c r="E28" s="32"/>
      <c r="F28" s="32"/>
    </row>
    <row r="29" customFormat="false" ht="15" hidden="false" customHeight="false" outlineLevel="0" collapsed="false">
      <c r="A29" s="27"/>
      <c r="B29" s="32"/>
      <c r="C29" s="32"/>
      <c r="D29" s="31"/>
      <c r="E29" s="32"/>
      <c r="F29" s="32"/>
    </row>
    <row r="30" customFormat="false" ht="15" hidden="false" customHeight="false" outlineLevel="0" collapsed="false">
      <c r="A30" s="27"/>
      <c r="B30" s="32"/>
      <c r="C30" s="32"/>
      <c r="D30" s="31"/>
      <c r="E30" s="32"/>
      <c r="F30" s="32"/>
    </row>
    <row r="31" customFormat="false" ht="15" hidden="false" customHeight="false" outlineLevel="0" collapsed="false">
      <c r="A31" s="27"/>
      <c r="B31" s="32"/>
      <c r="C31" s="32"/>
      <c r="D31" s="31"/>
      <c r="E31" s="32"/>
      <c r="F31" s="32"/>
    </row>
    <row r="32" customFormat="false" ht="15" hidden="false" customHeight="false" outlineLevel="0" collapsed="false">
      <c r="A32" s="27"/>
      <c r="B32" s="32"/>
      <c r="C32" s="32"/>
      <c r="D32" s="31"/>
      <c r="E32" s="32"/>
      <c r="F32" s="32"/>
    </row>
    <row r="33" customFormat="false" ht="15" hidden="false" customHeight="false" outlineLevel="0" collapsed="false">
      <c r="A33" s="27"/>
      <c r="B33" s="32"/>
      <c r="C33" s="32"/>
      <c r="D33" s="31"/>
      <c r="E33" s="32"/>
      <c r="F33" s="32"/>
    </row>
    <row r="34" customFormat="false" ht="15" hidden="false" customHeight="false" outlineLevel="0" collapsed="false">
      <c r="A34" s="27"/>
      <c r="B34" s="32"/>
      <c r="C34" s="32"/>
      <c r="D34" s="31"/>
      <c r="E34" s="32"/>
      <c r="F34" s="32"/>
    </row>
    <row r="35" customFormat="false" ht="15" hidden="false" customHeight="false" outlineLevel="0" collapsed="false">
      <c r="A35" s="27"/>
      <c r="B35" s="32"/>
      <c r="C35" s="32"/>
      <c r="D35" s="31"/>
      <c r="E35" s="32"/>
      <c r="F35" s="32"/>
    </row>
    <row r="36" customFormat="false" ht="15" hidden="false" customHeight="false" outlineLevel="0" collapsed="false">
      <c r="A36" s="27"/>
      <c r="B36" s="32"/>
      <c r="C36" s="32"/>
      <c r="D36" s="31"/>
      <c r="E36" s="32"/>
      <c r="F36" s="32"/>
    </row>
    <row r="37" customFormat="false" ht="15" hidden="false" customHeight="false" outlineLevel="0" collapsed="false">
      <c r="A37" s="27"/>
      <c r="B37" s="32"/>
      <c r="C37" s="32"/>
      <c r="D37" s="31"/>
      <c r="E37" s="32"/>
      <c r="F37" s="32"/>
    </row>
    <row r="38" customFormat="false" ht="15" hidden="false" customHeight="false" outlineLevel="0" collapsed="false">
      <c r="A38" s="27"/>
      <c r="B38" s="32"/>
      <c r="C38" s="32"/>
      <c r="D38" s="31"/>
      <c r="E38" s="32"/>
      <c r="F38" s="32"/>
    </row>
    <row r="39" customFormat="false" ht="15" hidden="false" customHeight="false" outlineLevel="0" collapsed="false">
      <c r="A39" s="27"/>
      <c r="B39" s="32"/>
      <c r="C39" s="32"/>
      <c r="D39" s="31"/>
      <c r="E39" s="32"/>
      <c r="F39" s="32"/>
    </row>
    <row r="40" customFormat="false" ht="15" hidden="false" customHeight="false" outlineLevel="0" collapsed="false">
      <c r="A40" s="27"/>
      <c r="B40" s="32"/>
      <c r="C40" s="32"/>
      <c r="D40" s="31"/>
      <c r="E40" s="32"/>
      <c r="F40" s="32"/>
    </row>
    <row r="41" customFormat="false" ht="15" hidden="false" customHeight="false" outlineLevel="0" collapsed="false">
      <c r="A41" s="27"/>
      <c r="B41" s="32"/>
      <c r="C41" s="32"/>
      <c r="D41" s="31"/>
      <c r="E41" s="32"/>
      <c r="F41" s="32"/>
    </row>
    <row r="42" customFormat="false" ht="15" hidden="false" customHeight="false" outlineLevel="0" collapsed="false">
      <c r="A42" s="27"/>
      <c r="B42" s="32"/>
      <c r="C42" s="32"/>
      <c r="D42" s="31"/>
      <c r="E42" s="32"/>
      <c r="F42" s="32"/>
    </row>
    <row r="43" customFormat="false" ht="15" hidden="false" customHeight="false" outlineLevel="0" collapsed="false">
      <c r="A43" s="27"/>
      <c r="B43" s="32"/>
      <c r="C43" s="32"/>
      <c r="D43" s="31"/>
      <c r="E43" s="32"/>
      <c r="F43" s="32"/>
    </row>
    <row r="44" customFormat="false" ht="15" hidden="false" customHeight="false" outlineLevel="0" collapsed="false">
      <c r="A44" s="27"/>
      <c r="B44" s="32"/>
      <c r="C44" s="32"/>
      <c r="D44" s="31"/>
      <c r="E44" s="32"/>
      <c r="F44" s="32"/>
    </row>
    <row r="45" customFormat="false" ht="15" hidden="false" customHeight="false" outlineLevel="0" collapsed="false">
      <c r="A45" s="27"/>
      <c r="B45" s="32"/>
      <c r="C45" s="32"/>
      <c r="D45" s="31"/>
      <c r="E45" s="32"/>
      <c r="F45" s="32"/>
    </row>
    <row r="46" customFormat="false" ht="15" hidden="false" customHeight="false" outlineLevel="0" collapsed="false">
      <c r="A46" s="27"/>
      <c r="B46" s="32"/>
      <c r="C46" s="32"/>
      <c r="D46" s="31"/>
      <c r="E46" s="32"/>
      <c r="F46" s="32"/>
    </row>
    <row r="47" customFormat="false" ht="15" hidden="false" customHeight="false" outlineLevel="0" collapsed="false">
      <c r="A47" s="27"/>
      <c r="B47" s="32"/>
      <c r="C47" s="32"/>
      <c r="D47" s="31"/>
      <c r="E47" s="32"/>
      <c r="F47" s="32"/>
    </row>
    <row r="48" customFormat="false" ht="15" hidden="false" customHeight="false" outlineLevel="0" collapsed="false">
      <c r="A48" s="27"/>
      <c r="B48" s="32"/>
      <c r="C48" s="32"/>
      <c r="D48" s="31"/>
      <c r="E48" s="32"/>
      <c r="F48" s="32"/>
    </row>
    <row r="49" customFormat="false" ht="15" hidden="false" customHeight="false" outlineLevel="0" collapsed="false">
      <c r="A49" s="27"/>
      <c r="B49" s="32"/>
      <c r="C49" s="32"/>
      <c r="D49" s="31"/>
      <c r="E49" s="32"/>
      <c r="F49" s="32"/>
    </row>
    <row r="50" customFormat="false" ht="15" hidden="false" customHeight="false" outlineLevel="0" collapsed="false">
      <c r="A50" s="27"/>
      <c r="B50" s="32"/>
      <c r="C50" s="32"/>
      <c r="D50" s="31"/>
      <c r="E50" s="32"/>
      <c r="F50" s="32"/>
    </row>
    <row r="51" customFormat="false" ht="15" hidden="false" customHeight="false" outlineLevel="0" collapsed="false">
      <c r="A51" s="27"/>
      <c r="B51" s="32"/>
      <c r="C51" s="32"/>
      <c r="D51" s="31"/>
      <c r="E51" s="32"/>
      <c r="F51" s="32"/>
    </row>
    <row r="52" customFormat="false" ht="15" hidden="false" customHeight="false" outlineLevel="0" collapsed="false">
      <c r="A52" s="27"/>
      <c r="B52" s="32"/>
      <c r="C52" s="32"/>
      <c r="D52" s="31"/>
      <c r="E52" s="32"/>
      <c r="F52" s="32"/>
    </row>
    <row r="53" customFormat="false" ht="15" hidden="false" customHeight="false" outlineLevel="0" collapsed="false">
      <c r="A53" s="27"/>
      <c r="B53" s="32"/>
      <c r="C53" s="32"/>
      <c r="D53" s="31"/>
      <c r="E53" s="32"/>
      <c r="F53" s="32"/>
    </row>
    <row r="54" customFormat="false" ht="15" hidden="false" customHeight="false" outlineLevel="0" collapsed="false">
      <c r="A54" s="27"/>
      <c r="B54" s="32"/>
      <c r="C54" s="32"/>
      <c r="D54" s="31"/>
      <c r="E54" s="32"/>
      <c r="F54" s="32"/>
    </row>
    <row r="55" customFormat="false" ht="15" hidden="false" customHeight="false" outlineLevel="0" collapsed="false">
      <c r="A55" s="27"/>
      <c r="B55" s="32"/>
      <c r="C55" s="32"/>
      <c r="D55" s="31"/>
      <c r="E55" s="32"/>
      <c r="F55" s="32"/>
    </row>
    <row r="56" customFormat="false" ht="15" hidden="false" customHeight="false" outlineLevel="0" collapsed="false">
      <c r="A56" s="27"/>
      <c r="B56" s="32"/>
      <c r="C56" s="32"/>
      <c r="D56" s="31"/>
      <c r="E56" s="32"/>
      <c r="F56" s="32"/>
    </row>
    <row r="57" customFormat="false" ht="15" hidden="false" customHeight="false" outlineLevel="0" collapsed="false">
      <c r="A57" s="27"/>
      <c r="B57" s="32"/>
      <c r="C57" s="32"/>
      <c r="D57" s="31"/>
      <c r="E57" s="32"/>
      <c r="F57" s="32"/>
    </row>
    <row r="58" customFormat="false" ht="15" hidden="false" customHeight="false" outlineLevel="0" collapsed="false">
      <c r="A58" s="27"/>
      <c r="B58" s="32"/>
      <c r="C58" s="32"/>
      <c r="D58" s="31"/>
      <c r="E58" s="32"/>
      <c r="F58" s="32"/>
    </row>
    <row r="59" customFormat="false" ht="15" hidden="false" customHeight="false" outlineLevel="0" collapsed="false">
      <c r="A59" s="27"/>
      <c r="B59" s="32"/>
      <c r="C59" s="32"/>
      <c r="D59" s="31"/>
      <c r="E59" s="32"/>
      <c r="F59" s="32"/>
    </row>
    <row r="60" customFormat="false" ht="15" hidden="false" customHeight="false" outlineLevel="0" collapsed="false">
      <c r="A60" s="27"/>
      <c r="B60" s="32"/>
      <c r="C60" s="32"/>
      <c r="D60" s="31"/>
      <c r="E60" s="32"/>
      <c r="F60" s="32"/>
    </row>
    <row r="61" customFormat="false" ht="15" hidden="false" customHeight="false" outlineLevel="0" collapsed="false">
      <c r="A61" s="27"/>
      <c r="B61" s="32"/>
      <c r="C61" s="32"/>
      <c r="D61" s="31"/>
      <c r="E61" s="32"/>
      <c r="F61" s="32"/>
    </row>
    <row r="62" customFormat="false" ht="15" hidden="false" customHeight="false" outlineLevel="0" collapsed="false">
      <c r="A62" s="27"/>
      <c r="B62" s="32"/>
      <c r="C62" s="32"/>
      <c r="D62" s="31"/>
      <c r="E62" s="32"/>
      <c r="F62" s="32"/>
    </row>
    <row r="63" customFormat="false" ht="15" hidden="false" customHeight="false" outlineLevel="0" collapsed="false">
      <c r="A63" s="27"/>
      <c r="B63" s="32"/>
      <c r="C63" s="32"/>
      <c r="D63" s="31"/>
      <c r="E63" s="32"/>
      <c r="F63" s="32"/>
    </row>
    <row r="64" customFormat="false" ht="15" hidden="false" customHeight="false" outlineLevel="0" collapsed="false">
      <c r="A64" s="27"/>
      <c r="B64" s="32"/>
      <c r="C64" s="32"/>
      <c r="D64" s="31"/>
      <c r="E64" s="32"/>
      <c r="F64" s="32"/>
    </row>
    <row r="65" customFormat="false" ht="15" hidden="false" customHeight="false" outlineLevel="0" collapsed="false">
      <c r="A65" s="27"/>
      <c r="B65" s="32"/>
      <c r="C65" s="32"/>
      <c r="D65" s="31"/>
      <c r="E65" s="32"/>
      <c r="F65" s="32"/>
    </row>
    <row r="66" customFormat="false" ht="15" hidden="false" customHeight="false" outlineLevel="0" collapsed="false">
      <c r="A66" s="27"/>
      <c r="B66" s="32"/>
      <c r="C66" s="32"/>
      <c r="D66" s="31"/>
      <c r="E66" s="32"/>
      <c r="F66" s="32"/>
    </row>
    <row r="67" customFormat="false" ht="15" hidden="false" customHeight="false" outlineLevel="0" collapsed="false">
      <c r="A67" s="27"/>
      <c r="B67" s="32"/>
      <c r="C67" s="32"/>
      <c r="D67" s="31"/>
      <c r="E67" s="32"/>
      <c r="F67" s="32"/>
    </row>
    <row r="68" customFormat="false" ht="15" hidden="false" customHeight="false" outlineLevel="0" collapsed="false">
      <c r="A68" s="27"/>
      <c r="B68" s="32"/>
      <c r="C68" s="32"/>
      <c r="D68" s="31"/>
      <c r="E68" s="32"/>
      <c r="F68" s="32"/>
    </row>
    <row r="69" customFormat="false" ht="15" hidden="false" customHeight="false" outlineLevel="0" collapsed="false">
      <c r="A69" s="27"/>
      <c r="B69" s="32"/>
      <c r="C69" s="32"/>
      <c r="D69" s="31"/>
      <c r="E69" s="32"/>
      <c r="F69" s="32"/>
    </row>
    <row r="70" customFormat="false" ht="15" hidden="false" customHeight="false" outlineLevel="0" collapsed="false">
      <c r="A70" s="27"/>
      <c r="B70" s="32"/>
      <c r="C70" s="32"/>
      <c r="D70" s="31"/>
      <c r="E70" s="32"/>
      <c r="F70" s="32"/>
    </row>
    <row r="71" customFormat="false" ht="15" hidden="false" customHeight="false" outlineLevel="0" collapsed="false">
      <c r="A71" s="27"/>
      <c r="B71" s="32"/>
      <c r="C71" s="32"/>
      <c r="D71" s="31"/>
      <c r="E71" s="32"/>
      <c r="F71" s="32"/>
    </row>
    <row r="72" customFormat="false" ht="15" hidden="false" customHeight="false" outlineLevel="0" collapsed="false">
      <c r="A72" s="27"/>
      <c r="B72" s="32"/>
      <c r="C72" s="32"/>
      <c r="D72" s="31"/>
      <c r="E72" s="32"/>
      <c r="F72" s="32"/>
    </row>
    <row r="73" customFormat="false" ht="15" hidden="false" customHeight="false" outlineLevel="0" collapsed="false">
      <c r="A73" s="27"/>
      <c r="B73" s="32"/>
      <c r="C73" s="32"/>
      <c r="D73" s="31"/>
      <c r="E73" s="32"/>
      <c r="F73" s="32"/>
    </row>
    <row r="74" customFormat="false" ht="15" hidden="false" customHeight="false" outlineLevel="0" collapsed="false">
      <c r="A74" s="27"/>
      <c r="B74" s="32"/>
      <c r="C74" s="32"/>
      <c r="D74" s="31"/>
      <c r="E74" s="32"/>
      <c r="F74" s="32"/>
    </row>
    <row r="75" customFormat="false" ht="15" hidden="false" customHeight="false" outlineLevel="0" collapsed="false">
      <c r="A75" s="27"/>
      <c r="B75" s="32"/>
      <c r="C75" s="32"/>
      <c r="D75" s="31"/>
      <c r="E75" s="32"/>
      <c r="F75" s="32"/>
    </row>
    <row r="76" customFormat="false" ht="15" hidden="false" customHeight="false" outlineLevel="0" collapsed="false">
      <c r="A76" s="27"/>
      <c r="B76" s="32"/>
      <c r="C76" s="32"/>
      <c r="D76" s="31"/>
      <c r="E76" s="32"/>
      <c r="F76" s="32"/>
    </row>
    <row r="77" customFormat="false" ht="15" hidden="false" customHeight="false" outlineLevel="0" collapsed="false">
      <c r="A77" s="27"/>
      <c r="B77" s="32"/>
      <c r="C77" s="32"/>
      <c r="D77" s="31"/>
      <c r="E77" s="32"/>
      <c r="F77" s="32"/>
    </row>
    <row r="78" customFormat="false" ht="15" hidden="false" customHeight="false" outlineLevel="0" collapsed="false">
      <c r="A78" s="27"/>
      <c r="B78" s="32"/>
      <c r="C78" s="32"/>
      <c r="D78" s="31"/>
      <c r="E78" s="32"/>
      <c r="F78" s="32"/>
    </row>
    <row r="79" customFormat="false" ht="15" hidden="false" customHeight="false" outlineLevel="0" collapsed="false">
      <c r="A79" s="27"/>
      <c r="B79" s="32"/>
      <c r="C79" s="32"/>
      <c r="D79" s="31"/>
      <c r="E79" s="32"/>
      <c r="F79" s="32"/>
    </row>
    <row r="80" customFormat="false" ht="15" hidden="false" customHeight="false" outlineLevel="0" collapsed="false">
      <c r="A80" s="27"/>
      <c r="B80" s="32"/>
      <c r="C80" s="32"/>
      <c r="D80" s="31"/>
      <c r="E80" s="32"/>
      <c r="F80" s="32"/>
    </row>
    <row r="81" customFormat="false" ht="15" hidden="false" customHeight="false" outlineLevel="0" collapsed="false">
      <c r="A81" s="27"/>
      <c r="B81" s="32"/>
      <c r="C81" s="32"/>
      <c r="D81" s="31"/>
      <c r="E81" s="32"/>
      <c r="F81" s="32"/>
    </row>
    <row r="82" customFormat="false" ht="15" hidden="false" customHeight="false" outlineLevel="0" collapsed="false">
      <c r="A82" s="27"/>
      <c r="B82" s="32"/>
      <c r="C82" s="32"/>
      <c r="D82" s="31"/>
      <c r="E82" s="32"/>
      <c r="F82" s="32"/>
    </row>
    <row r="83" customFormat="false" ht="15" hidden="false" customHeight="false" outlineLevel="0" collapsed="false">
      <c r="A83" s="27"/>
      <c r="B83" s="32"/>
      <c r="C83" s="32"/>
      <c r="D83" s="31"/>
      <c r="E83" s="32"/>
      <c r="F83" s="32"/>
    </row>
    <row r="84" customFormat="false" ht="15" hidden="false" customHeight="false" outlineLevel="0" collapsed="false">
      <c r="A84" s="27"/>
      <c r="B84" s="32"/>
      <c r="C84" s="32"/>
      <c r="D84" s="31"/>
      <c r="E84" s="32"/>
      <c r="F84" s="32"/>
    </row>
    <row r="85" customFormat="false" ht="15" hidden="false" customHeight="false" outlineLevel="0" collapsed="false">
      <c r="A85" s="27"/>
      <c r="B85" s="32"/>
      <c r="C85" s="32"/>
      <c r="D85" s="31"/>
      <c r="E85" s="32"/>
      <c r="F85" s="32"/>
    </row>
    <row r="86" customFormat="false" ht="15" hidden="false" customHeight="false" outlineLevel="0" collapsed="false">
      <c r="A86" s="27"/>
      <c r="B86" s="32"/>
      <c r="C86" s="32"/>
      <c r="D86" s="31"/>
      <c r="E86" s="32"/>
      <c r="F86" s="32"/>
    </row>
    <row r="87" customFormat="false" ht="15" hidden="false" customHeight="false" outlineLevel="0" collapsed="false">
      <c r="A87" s="27"/>
      <c r="B87" s="32"/>
      <c r="C87" s="32"/>
      <c r="D87" s="31"/>
      <c r="E87" s="32"/>
      <c r="F87" s="32"/>
    </row>
    <row r="88" customFormat="false" ht="15" hidden="false" customHeight="false" outlineLevel="0" collapsed="false">
      <c r="A88" s="27"/>
      <c r="B88" s="32"/>
      <c r="C88" s="32"/>
      <c r="D88" s="31"/>
      <c r="E88" s="32"/>
      <c r="F88" s="32"/>
    </row>
    <row r="89" customFormat="false" ht="15" hidden="false" customHeight="false" outlineLevel="0" collapsed="false">
      <c r="A89" s="27"/>
      <c r="B89" s="32"/>
      <c r="C89" s="32"/>
      <c r="D89" s="31"/>
      <c r="E89" s="32"/>
      <c r="F89" s="32"/>
    </row>
    <row r="90" customFormat="false" ht="15" hidden="false" customHeight="false" outlineLevel="0" collapsed="false">
      <c r="A90" s="27"/>
      <c r="B90" s="32"/>
      <c r="C90" s="32"/>
      <c r="D90" s="31"/>
      <c r="E90" s="32"/>
      <c r="F90" s="32"/>
    </row>
    <row r="91" customFormat="false" ht="15" hidden="false" customHeight="false" outlineLevel="0" collapsed="false">
      <c r="A91" s="27"/>
      <c r="B91" s="32"/>
      <c r="C91" s="32"/>
      <c r="D91" s="31"/>
      <c r="E91" s="32"/>
      <c r="F91" s="32"/>
    </row>
    <row r="92" customFormat="false" ht="15" hidden="false" customHeight="false" outlineLevel="0" collapsed="false">
      <c r="A92" s="27"/>
      <c r="B92" s="32"/>
      <c r="C92" s="32"/>
      <c r="D92" s="31"/>
      <c r="E92" s="32"/>
      <c r="F92" s="32"/>
    </row>
    <row r="93" customFormat="false" ht="15" hidden="false" customHeight="false" outlineLevel="0" collapsed="false">
      <c r="A93" s="27"/>
      <c r="B93" s="32"/>
      <c r="C93" s="32"/>
      <c r="D93" s="31"/>
      <c r="E93" s="32"/>
      <c r="F93" s="32"/>
    </row>
    <row r="94" customFormat="false" ht="15" hidden="false" customHeight="false" outlineLevel="0" collapsed="false">
      <c r="A94" s="27"/>
      <c r="B94" s="32"/>
      <c r="C94" s="32"/>
      <c r="D94" s="31"/>
      <c r="E94" s="32"/>
      <c r="F94" s="32"/>
    </row>
    <row r="95" customFormat="false" ht="15" hidden="false" customHeight="false" outlineLevel="0" collapsed="false">
      <c r="A95" s="27"/>
      <c r="B95" s="32"/>
      <c r="C95" s="32"/>
      <c r="D95" s="31"/>
      <c r="E95" s="32"/>
      <c r="F95" s="32"/>
    </row>
    <row r="96" customFormat="false" ht="15" hidden="false" customHeight="false" outlineLevel="0" collapsed="false">
      <c r="A96" s="27"/>
      <c r="B96" s="32"/>
      <c r="C96" s="32"/>
      <c r="D96" s="31"/>
      <c r="E96" s="32"/>
      <c r="F96" s="32"/>
    </row>
    <row r="97" customFormat="false" ht="15" hidden="false" customHeight="false" outlineLevel="0" collapsed="false">
      <c r="A97" s="27"/>
      <c r="B97" s="32"/>
      <c r="C97" s="32"/>
      <c r="D97" s="31"/>
      <c r="E97" s="32"/>
      <c r="F97" s="32"/>
    </row>
    <row r="98" customFormat="false" ht="15" hidden="false" customHeight="false" outlineLevel="0" collapsed="false">
      <c r="A98" s="27"/>
      <c r="B98" s="32"/>
      <c r="C98" s="32"/>
      <c r="D98" s="31"/>
      <c r="E98" s="32"/>
      <c r="F98" s="32"/>
    </row>
    <row r="99" customFormat="false" ht="15" hidden="false" customHeight="false" outlineLevel="0" collapsed="false">
      <c r="A99" s="27"/>
      <c r="B99" s="32"/>
      <c r="C99" s="32"/>
      <c r="D99" s="31"/>
      <c r="E99" s="32"/>
      <c r="F99" s="32"/>
    </row>
    <row r="100" customFormat="false" ht="15" hidden="false" customHeight="false" outlineLevel="0" collapsed="false">
      <c r="A100" s="27"/>
      <c r="B100" s="32"/>
      <c r="C100" s="32"/>
      <c r="D100" s="31"/>
      <c r="E100" s="32"/>
      <c r="F100" s="32"/>
    </row>
    <row r="101" customFormat="false" ht="15" hidden="false" customHeight="false" outlineLevel="0" collapsed="false">
      <c r="A101" s="27"/>
      <c r="B101" s="32"/>
      <c r="C101" s="32"/>
      <c r="D101" s="31"/>
      <c r="E101" s="32"/>
      <c r="F101" s="32"/>
    </row>
    <row r="102" customFormat="false" ht="15" hidden="false" customHeight="false" outlineLevel="0" collapsed="false">
      <c r="A102" s="27"/>
      <c r="B102" s="32"/>
      <c r="C102" s="32"/>
      <c r="D102" s="31"/>
      <c r="E102" s="32"/>
      <c r="F102" s="32"/>
    </row>
    <row r="103" customFormat="false" ht="15" hidden="false" customHeight="false" outlineLevel="0" collapsed="false">
      <c r="A103" s="27"/>
      <c r="B103" s="32"/>
      <c r="C103" s="32"/>
      <c r="D103" s="31"/>
      <c r="E103" s="32"/>
      <c r="F103" s="32"/>
    </row>
    <row r="104" customFormat="false" ht="15" hidden="false" customHeight="false" outlineLevel="0" collapsed="false">
      <c r="A104" s="27"/>
      <c r="B104" s="32"/>
      <c r="C104" s="32"/>
      <c r="D104" s="31"/>
      <c r="E104" s="32"/>
      <c r="F104" s="32"/>
    </row>
    <row r="105" customFormat="false" ht="15" hidden="false" customHeight="false" outlineLevel="0" collapsed="false">
      <c r="A105" s="27"/>
      <c r="B105" s="32"/>
      <c r="C105" s="32"/>
      <c r="D105" s="31"/>
      <c r="E105" s="32"/>
      <c r="F105" s="32"/>
    </row>
    <row r="106" customFormat="false" ht="15" hidden="false" customHeight="false" outlineLevel="0" collapsed="false">
      <c r="A106" s="27"/>
      <c r="B106" s="32"/>
      <c r="C106" s="32"/>
      <c r="D106" s="31"/>
      <c r="E106" s="32"/>
      <c r="F106" s="32"/>
    </row>
    <row r="107" customFormat="false" ht="15" hidden="false" customHeight="false" outlineLevel="0" collapsed="false">
      <c r="A107" s="27"/>
      <c r="B107" s="32"/>
      <c r="C107" s="32"/>
      <c r="D107" s="31"/>
      <c r="E107" s="32"/>
      <c r="F107" s="32"/>
    </row>
    <row r="108" customFormat="false" ht="15" hidden="false" customHeight="false" outlineLevel="0" collapsed="false">
      <c r="A108" s="27"/>
      <c r="B108" s="32"/>
      <c r="C108" s="32"/>
      <c r="D108" s="31"/>
      <c r="E108" s="32"/>
      <c r="F108" s="32"/>
    </row>
    <row r="109" customFormat="false" ht="15" hidden="false" customHeight="false" outlineLevel="0" collapsed="false">
      <c r="A109" s="27"/>
      <c r="B109" s="32"/>
      <c r="C109" s="32"/>
      <c r="D109" s="31"/>
      <c r="E109" s="32"/>
      <c r="F109" s="32"/>
    </row>
    <row r="110" customFormat="false" ht="15" hidden="false" customHeight="false" outlineLevel="0" collapsed="false">
      <c r="A110" s="27"/>
      <c r="B110" s="32"/>
      <c r="C110" s="32"/>
      <c r="D110" s="31"/>
      <c r="E110" s="32"/>
      <c r="F110" s="32"/>
    </row>
    <row r="111" customFormat="false" ht="15" hidden="false" customHeight="false" outlineLevel="0" collapsed="false">
      <c r="A111" s="27"/>
      <c r="B111" s="32"/>
      <c r="C111" s="32"/>
      <c r="D111" s="31"/>
      <c r="E111" s="32"/>
      <c r="F111" s="32"/>
    </row>
    <row r="112" customFormat="false" ht="15" hidden="false" customHeight="false" outlineLevel="0" collapsed="false">
      <c r="A112" s="27"/>
      <c r="B112" s="32"/>
      <c r="C112" s="32"/>
      <c r="D112" s="31"/>
      <c r="E112" s="32"/>
      <c r="F112" s="32"/>
    </row>
    <row r="113" customFormat="false" ht="15" hidden="false" customHeight="false" outlineLevel="0" collapsed="false">
      <c r="A113" s="27"/>
      <c r="B113" s="32"/>
      <c r="C113" s="32"/>
      <c r="D113" s="31"/>
      <c r="E113" s="32"/>
      <c r="F113" s="32"/>
    </row>
    <row r="114" customFormat="false" ht="15" hidden="false" customHeight="false" outlineLevel="0" collapsed="false">
      <c r="A114" s="27"/>
      <c r="B114" s="32"/>
      <c r="C114" s="32"/>
      <c r="D114" s="31"/>
      <c r="E114" s="32"/>
      <c r="F114" s="32"/>
    </row>
    <row r="115" customFormat="false" ht="15" hidden="false" customHeight="false" outlineLevel="0" collapsed="false">
      <c r="A115" s="27"/>
      <c r="B115" s="32"/>
      <c r="C115" s="32"/>
      <c r="D115" s="31"/>
      <c r="E115" s="32"/>
      <c r="F115" s="32"/>
    </row>
    <row r="116" customFormat="false" ht="15" hidden="false" customHeight="false" outlineLevel="0" collapsed="false">
      <c r="A116" s="27"/>
      <c r="B116" s="32"/>
      <c r="C116" s="32"/>
      <c r="D116" s="31"/>
      <c r="E116" s="32"/>
      <c r="F116" s="32"/>
    </row>
    <row r="117" customFormat="false" ht="15" hidden="false" customHeight="false" outlineLevel="0" collapsed="false">
      <c r="A117" s="27"/>
      <c r="B117" s="32"/>
      <c r="C117" s="32"/>
      <c r="D117" s="31"/>
      <c r="E117" s="32"/>
      <c r="F117" s="32"/>
    </row>
    <row r="118" customFormat="false" ht="15" hidden="false" customHeight="false" outlineLevel="0" collapsed="false">
      <c r="A118" s="27"/>
      <c r="B118" s="32"/>
      <c r="C118" s="32"/>
      <c r="D118" s="31"/>
      <c r="E118" s="32"/>
      <c r="F118" s="32"/>
    </row>
    <row r="119" customFormat="false" ht="15" hidden="false" customHeight="false" outlineLevel="0" collapsed="false">
      <c r="A119" s="27"/>
      <c r="B119" s="32"/>
      <c r="C119" s="32"/>
      <c r="D119" s="31"/>
      <c r="E119" s="32"/>
      <c r="F119" s="32"/>
    </row>
    <row r="120" customFormat="false" ht="15" hidden="false" customHeight="false" outlineLevel="0" collapsed="false">
      <c r="A120" s="27"/>
      <c r="B120" s="32"/>
      <c r="C120" s="32"/>
      <c r="D120" s="31"/>
      <c r="E120" s="32"/>
      <c r="F120" s="32"/>
    </row>
    <row r="121" customFormat="false" ht="15" hidden="false" customHeight="false" outlineLevel="0" collapsed="false">
      <c r="A121" s="27"/>
      <c r="B121" s="32"/>
      <c r="C121" s="32"/>
      <c r="D121" s="31"/>
      <c r="E121" s="32"/>
      <c r="F121" s="32"/>
    </row>
    <row r="122" customFormat="false" ht="15" hidden="false" customHeight="false" outlineLevel="0" collapsed="false">
      <c r="A122" s="27"/>
      <c r="B122" s="32"/>
      <c r="C122" s="32"/>
      <c r="D122" s="31"/>
      <c r="E122" s="32"/>
      <c r="F122" s="32"/>
    </row>
    <row r="123" customFormat="false" ht="15" hidden="false" customHeight="false" outlineLevel="0" collapsed="false">
      <c r="A123" s="27"/>
      <c r="B123" s="32"/>
      <c r="C123" s="32"/>
      <c r="D123" s="31"/>
      <c r="E123" s="32"/>
      <c r="F123" s="32"/>
    </row>
    <row r="124" customFormat="false" ht="15" hidden="false" customHeight="false" outlineLevel="0" collapsed="false">
      <c r="A124" s="27"/>
      <c r="B124" s="32"/>
      <c r="C124" s="32"/>
      <c r="D124" s="31"/>
      <c r="E124" s="32"/>
      <c r="F124" s="32"/>
    </row>
    <row r="125" customFormat="false" ht="15" hidden="false" customHeight="false" outlineLevel="0" collapsed="false">
      <c r="A125" s="27"/>
      <c r="B125" s="32"/>
      <c r="C125" s="32"/>
      <c r="D125" s="31"/>
      <c r="E125" s="32"/>
      <c r="F125" s="32"/>
    </row>
    <row r="126" customFormat="false" ht="15" hidden="false" customHeight="false" outlineLevel="0" collapsed="false">
      <c r="A126" s="27"/>
      <c r="B126" s="32"/>
      <c r="C126" s="32"/>
      <c r="D126" s="31"/>
      <c r="E126" s="32"/>
      <c r="F126" s="32"/>
    </row>
    <row r="127" customFormat="false" ht="15" hidden="false" customHeight="false" outlineLevel="0" collapsed="false">
      <c r="A127" s="27"/>
      <c r="B127" s="32"/>
      <c r="C127" s="32"/>
      <c r="D127" s="31"/>
      <c r="E127" s="32"/>
      <c r="F127" s="32"/>
    </row>
    <row r="128" customFormat="false" ht="15" hidden="false" customHeight="false" outlineLevel="0" collapsed="false">
      <c r="A128" s="27"/>
      <c r="B128" s="32"/>
      <c r="C128" s="32"/>
      <c r="D128" s="31"/>
      <c r="E128" s="32"/>
      <c r="F128" s="32"/>
    </row>
    <row r="129" customFormat="false" ht="15" hidden="false" customHeight="false" outlineLevel="0" collapsed="false">
      <c r="A129" s="27"/>
      <c r="B129" s="32"/>
      <c r="C129" s="32"/>
      <c r="D129" s="31"/>
      <c r="E129" s="32"/>
      <c r="F129" s="32"/>
    </row>
    <row r="130" customFormat="false" ht="15" hidden="false" customHeight="false" outlineLevel="0" collapsed="false">
      <c r="A130" s="27"/>
      <c r="B130" s="32"/>
      <c r="C130" s="32"/>
      <c r="D130" s="31"/>
      <c r="E130" s="32"/>
      <c r="F130" s="32"/>
    </row>
    <row r="131" customFormat="false" ht="15" hidden="false" customHeight="false" outlineLevel="0" collapsed="false">
      <c r="A131" s="27"/>
      <c r="B131" s="32"/>
      <c r="C131" s="32"/>
      <c r="D131" s="31"/>
      <c r="E131" s="32"/>
      <c r="F131" s="32"/>
    </row>
    <row r="132" customFormat="false" ht="15" hidden="false" customHeight="false" outlineLevel="0" collapsed="false">
      <c r="A132" s="27"/>
      <c r="B132" s="32"/>
      <c r="C132" s="32"/>
      <c r="D132" s="31"/>
      <c r="E132" s="32"/>
      <c r="F132" s="32"/>
    </row>
    <row r="133" customFormat="false" ht="15" hidden="false" customHeight="false" outlineLevel="0" collapsed="false">
      <c r="A133" s="27"/>
      <c r="B133" s="32"/>
      <c r="C133" s="32"/>
      <c r="D133" s="31"/>
      <c r="E133" s="32"/>
      <c r="F133" s="32"/>
    </row>
    <row r="134" customFormat="false" ht="15" hidden="false" customHeight="false" outlineLevel="0" collapsed="false">
      <c r="A134" s="27"/>
      <c r="B134" s="32"/>
      <c r="C134" s="32"/>
      <c r="D134" s="31"/>
      <c r="E134" s="32"/>
      <c r="F134" s="32"/>
    </row>
    <row r="135" customFormat="false" ht="15" hidden="false" customHeight="false" outlineLevel="0" collapsed="false">
      <c r="A135" s="27"/>
      <c r="B135" s="32"/>
      <c r="C135" s="32"/>
      <c r="D135" s="31"/>
      <c r="E135" s="32"/>
      <c r="F135" s="32"/>
    </row>
    <row r="136" customFormat="false" ht="15" hidden="false" customHeight="false" outlineLevel="0" collapsed="false">
      <c r="A136" s="27"/>
      <c r="B136" s="32"/>
      <c r="C136" s="32"/>
      <c r="D136" s="31"/>
      <c r="E136" s="32"/>
      <c r="F136" s="32"/>
    </row>
    <row r="137" customFormat="false" ht="15" hidden="false" customHeight="false" outlineLevel="0" collapsed="false">
      <c r="A137" s="27"/>
      <c r="B137" s="32"/>
      <c r="C137" s="32"/>
      <c r="D137" s="31"/>
      <c r="E137" s="32"/>
      <c r="F137" s="32"/>
    </row>
    <row r="138" customFormat="false" ht="15" hidden="false" customHeight="false" outlineLevel="0" collapsed="false">
      <c r="A138" s="27"/>
      <c r="B138" s="32"/>
      <c r="C138" s="32"/>
      <c r="D138" s="31"/>
      <c r="E138" s="32"/>
      <c r="F138" s="32"/>
    </row>
    <row r="139" customFormat="false" ht="15" hidden="false" customHeight="false" outlineLevel="0" collapsed="false">
      <c r="A139" s="27"/>
      <c r="B139" s="32"/>
      <c r="C139" s="32"/>
      <c r="D139" s="31"/>
      <c r="E139" s="32"/>
      <c r="F139" s="32"/>
    </row>
    <row r="140" customFormat="false" ht="15" hidden="false" customHeight="false" outlineLevel="0" collapsed="false">
      <c r="A140" s="27"/>
      <c r="B140" s="32"/>
      <c r="C140" s="32"/>
      <c r="D140" s="31"/>
      <c r="E140" s="32"/>
      <c r="F140" s="32"/>
    </row>
    <row r="141" customFormat="false" ht="15" hidden="false" customHeight="false" outlineLevel="0" collapsed="false">
      <c r="A141" s="27"/>
      <c r="B141" s="32"/>
      <c r="C141" s="32"/>
      <c r="D141" s="31"/>
      <c r="E141" s="32"/>
      <c r="F141" s="32"/>
    </row>
    <row r="142" customFormat="false" ht="15" hidden="false" customHeight="false" outlineLevel="0" collapsed="false">
      <c r="A142" s="27"/>
      <c r="B142" s="32"/>
      <c r="C142" s="32"/>
      <c r="D142" s="31"/>
      <c r="E142" s="32"/>
      <c r="F142" s="32"/>
    </row>
    <row r="143" customFormat="false" ht="15" hidden="false" customHeight="false" outlineLevel="0" collapsed="false">
      <c r="A143" s="27"/>
      <c r="B143" s="32"/>
      <c r="C143" s="32"/>
      <c r="D143" s="31"/>
      <c r="E143" s="32"/>
      <c r="F143" s="32"/>
    </row>
    <row r="144" customFormat="false" ht="15" hidden="false" customHeight="false" outlineLevel="0" collapsed="false">
      <c r="A144" s="27"/>
      <c r="B144" s="32"/>
      <c r="C144" s="32"/>
      <c r="D144" s="31"/>
      <c r="E144" s="32"/>
      <c r="F144" s="32"/>
    </row>
    <row r="145" customFormat="false" ht="15" hidden="false" customHeight="false" outlineLevel="0" collapsed="false">
      <c r="A145" s="27"/>
      <c r="B145" s="32"/>
      <c r="C145" s="32"/>
      <c r="D145" s="31"/>
      <c r="E145" s="32"/>
      <c r="F145" s="32"/>
    </row>
    <row r="146" customFormat="false" ht="15" hidden="false" customHeight="false" outlineLevel="0" collapsed="false">
      <c r="A146" s="27"/>
      <c r="B146" s="32"/>
      <c r="C146" s="32"/>
      <c r="D146" s="31"/>
      <c r="E146" s="32"/>
      <c r="F146" s="32"/>
    </row>
    <row r="147" customFormat="false" ht="15" hidden="false" customHeight="false" outlineLevel="0" collapsed="false">
      <c r="A147" s="27"/>
      <c r="B147" s="32"/>
      <c r="C147" s="32"/>
      <c r="D147" s="31"/>
      <c r="E147" s="32"/>
      <c r="F147" s="32"/>
    </row>
    <row r="148" customFormat="false" ht="15" hidden="false" customHeight="false" outlineLevel="0" collapsed="false">
      <c r="A148" s="27"/>
      <c r="B148" s="32"/>
      <c r="C148" s="32"/>
      <c r="D148" s="31"/>
      <c r="E148" s="32"/>
      <c r="F148" s="32"/>
    </row>
    <row r="149" customFormat="false" ht="15" hidden="false" customHeight="false" outlineLevel="0" collapsed="false">
      <c r="A149" s="27"/>
      <c r="B149" s="32"/>
      <c r="C149" s="32"/>
      <c r="D149" s="31"/>
      <c r="E149" s="32"/>
      <c r="F149" s="32"/>
    </row>
    <row r="150" customFormat="false" ht="15" hidden="false" customHeight="false" outlineLevel="0" collapsed="false">
      <c r="A150" s="27"/>
      <c r="B150" s="32"/>
      <c r="C150" s="32"/>
      <c r="D150" s="31"/>
      <c r="E150" s="32"/>
      <c r="F150" s="32"/>
    </row>
    <row r="151" customFormat="false" ht="15" hidden="false" customHeight="false" outlineLevel="0" collapsed="false">
      <c r="A151" s="27"/>
      <c r="B151" s="32"/>
      <c r="C151" s="32"/>
      <c r="D151" s="31"/>
      <c r="E151" s="32"/>
      <c r="F151" s="32"/>
    </row>
    <row r="152" customFormat="false" ht="15" hidden="false" customHeight="false" outlineLevel="0" collapsed="false">
      <c r="A152" s="27"/>
      <c r="B152" s="32"/>
      <c r="C152" s="32"/>
      <c r="D152" s="31"/>
      <c r="E152" s="32"/>
      <c r="F152" s="32"/>
    </row>
    <row r="153" customFormat="false" ht="15" hidden="false" customHeight="false" outlineLevel="0" collapsed="false">
      <c r="A153" s="27"/>
      <c r="B153" s="32"/>
      <c r="C153" s="32"/>
      <c r="D153" s="31"/>
      <c r="E153" s="32"/>
      <c r="F153" s="32"/>
    </row>
    <row r="154" customFormat="false" ht="15" hidden="false" customHeight="false" outlineLevel="0" collapsed="false">
      <c r="A154" s="27"/>
      <c r="B154" s="32"/>
      <c r="C154" s="32"/>
      <c r="D154" s="31"/>
      <c r="E154" s="32"/>
      <c r="F154" s="32"/>
    </row>
    <row r="155" customFormat="false" ht="15" hidden="false" customHeight="false" outlineLevel="0" collapsed="false">
      <c r="A155" s="27"/>
      <c r="B155" s="32"/>
      <c r="C155" s="32"/>
      <c r="D155" s="31"/>
      <c r="E155" s="32"/>
      <c r="F155" s="32"/>
    </row>
    <row r="156" customFormat="false" ht="15" hidden="false" customHeight="false" outlineLevel="0" collapsed="false">
      <c r="A156" s="27"/>
      <c r="B156" s="32"/>
      <c r="C156" s="32"/>
      <c r="D156" s="31"/>
      <c r="E156" s="32"/>
      <c r="F156" s="32"/>
    </row>
    <row r="157" customFormat="false" ht="15" hidden="false" customHeight="false" outlineLevel="0" collapsed="false">
      <c r="A157" s="27"/>
      <c r="B157" s="32"/>
      <c r="C157" s="32"/>
      <c r="D157" s="31"/>
      <c r="E157" s="32"/>
      <c r="F157" s="32"/>
    </row>
    <row r="158" customFormat="false" ht="15" hidden="false" customHeight="false" outlineLevel="0" collapsed="false">
      <c r="A158" s="27"/>
      <c r="B158" s="32"/>
      <c r="C158" s="32"/>
      <c r="D158" s="31"/>
      <c r="E158" s="32"/>
      <c r="F158" s="32"/>
    </row>
    <row r="159" customFormat="false" ht="15" hidden="false" customHeight="false" outlineLevel="0" collapsed="false">
      <c r="A159" s="27"/>
      <c r="B159" s="32"/>
      <c r="C159" s="32"/>
      <c r="D159" s="31"/>
      <c r="E159" s="32"/>
      <c r="F159" s="32"/>
    </row>
    <row r="160" customFormat="false" ht="15" hidden="false" customHeight="false" outlineLevel="0" collapsed="false">
      <c r="A160" s="27"/>
      <c r="B160" s="32"/>
      <c r="C160" s="32"/>
      <c r="D160" s="31"/>
      <c r="E160" s="32"/>
      <c r="F160" s="32"/>
    </row>
    <row r="161" customFormat="false" ht="15" hidden="false" customHeight="false" outlineLevel="0" collapsed="false">
      <c r="A161" s="27"/>
      <c r="B161" s="32"/>
      <c r="C161" s="32"/>
      <c r="D161" s="31"/>
      <c r="E161" s="32"/>
      <c r="F161" s="32"/>
    </row>
    <row r="162" customFormat="false" ht="15" hidden="false" customHeight="false" outlineLevel="0" collapsed="false">
      <c r="A162" s="27"/>
      <c r="B162" s="32"/>
      <c r="C162" s="32"/>
      <c r="D162" s="31"/>
      <c r="E162" s="32"/>
      <c r="F162" s="32"/>
    </row>
    <row r="163" customFormat="false" ht="15" hidden="false" customHeight="false" outlineLevel="0" collapsed="false">
      <c r="A163" s="27"/>
      <c r="B163" s="32"/>
      <c r="C163" s="32"/>
      <c r="D163" s="31"/>
      <c r="E163" s="32"/>
      <c r="F163" s="32"/>
    </row>
    <row r="164" customFormat="false" ht="15" hidden="false" customHeight="false" outlineLevel="0" collapsed="false">
      <c r="A164" s="27"/>
      <c r="B164" s="32"/>
      <c r="C164" s="32"/>
      <c r="D164" s="31"/>
      <c r="E164" s="32"/>
      <c r="F164" s="32"/>
    </row>
    <row r="165" customFormat="false" ht="15" hidden="false" customHeight="false" outlineLevel="0" collapsed="false">
      <c r="A165" s="27"/>
      <c r="B165" s="32"/>
      <c r="C165" s="32"/>
      <c r="D165" s="31"/>
      <c r="E165" s="32"/>
      <c r="F165" s="32"/>
    </row>
    <row r="166" customFormat="false" ht="15" hidden="false" customHeight="false" outlineLevel="0" collapsed="false">
      <c r="A166" s="27"/>
      <c r="B166" s="32"/>
      <c r="C166" s="32"/>
      <c r="D166" s="31"/>
      <c r="E166" s="32"/>
      <c r="F166" s="32"/>
    </row>
    <row r="167" customFormat="false" ht="15" hidden="false" customHeight="false" outlineLevel="0" collapsed="false">
      <c r="A167" s="27"/>
      <c r="B167" s="32"/>
      <c r="C167" s="32"/>
      <c r="D167" s="31"/>
      <c r="E167" s="32"/>
      <c r="F167" s="32"/>
    </row>
    <row r="168" customFormat="false" ht="15" hidden="false" customHeight="false" outlineLevel="0" collapsed="false">
      <c r="A168" s="27"/>
      <c r="B168" s="32"/>
      <c r="C168" s="32"/>
      <c r="D168" s="31"/>
      <c r="E168" s="32"/>
      <c r="F168" s="32"/>
    </row>
    <row r="169" customFormat="false" ht="15" hidden="false" customHeight="false" outlineLevel="0" collapsed="false">
      <c r="A169" s="27"/>
      <c r="B169" s="32"/>
      <c r="C169" s="32"/>
      <c r="D169" s="31"/>
      <c r="E169" s="32"/>
      <c r="F169" s="32"/>
    </row>
    <row r="170" customFormat="false" ht="15" hidden="false" customHeight="false" outlineLevel="0" collapsed="false">
      <c r="A170" s="27"/>
      <c r="B170" s="32"/>
      <c r="C170" s="32"/>
      <c r="D170" s="31"/>
      <c r="E170" s="32"/>
      <c r="F170" s="32"/>
    </row>
    <row r="171" customFormat="false" ht="15" hidden="false" customHeight="false" outlineLevel="0" collapsed="false">
      <c r="A171" s="27"/>
      <c r="B171" s="32"/>
      <c r="C171" s="32"/>
      <c r="D171" s="31"/>
      <c r="E171" s="32"/>
      <c r="F171" s="32"/>
    </row>
    <row r="172" customFormat="false" ht="15" hidden="false" customHeight="false" outlineLevel="0" collapsed="false">
      <c r="A172" s="27"/>
      <c r="B172" s="32"/>
      <c r="C172" s="32"/>
      <c r="D172" s="31"/>
      <c r="E172" s="32"/>
      <c r="F172" s="32"/>
    </row>
    <row r="173" customFormat="false" ht="15" hidden="false" customHeight="false" outlineLevel="0" collapsed="false">
      <c r="A173" s="27"/>
      <c r="B173" s="32"/>
      <c r="C173" s="32"/>
      <c r="D173" s="31"/>
      <c r="E173" s="32"/>
      <c r="F173" s="32"/>
    </row>
    <row r="174" customFormat="false" ht="15" hidden="false" customHeight="false" outlineLevel="0" collapsed="false">
      <c r="A174" s="27"/>
      <c r="B174" s="32"/>
      <c r="C174" s="32"/>
      <c r="D174" s="31"/>
      <c r="E174" s="32"/>
      <c r="F174" s="32"/>
    </row>
    <row r="175" customFormat="false" ht="15" hidden="false" customHeight="false" outlineLevel="0" collapsed="false">
      <c r="A175" s="27"/>
      <c r="B175" s="32"/>
      <c r="C175" s="32"/>
      <c r="D175" s="31"/>
      <c r="E175" s="32"/>
      <c r="F175" s="32"/>
    </row>
    <row r="176" customFormat="false" ht="15" hidden="false" customHeight="false" outlineLevel="0" collapsed="false">
      <c r="A176" s="27"/>
      <c r="B176" s="32"/>
      <c r="C176" s="32"/>
      <c r="D176" s="31"/>
      <c r="E176" s="32"/>
      <c r="F176" s="32"/>
    </row>
    <row r="177" customFormat="false" ht="15" hidden="false" customHeight="false" outlineLevel="0" collapsed="false">
      <c r="A177" s="27"/>
      <c r="B177" s="32"/>
      <c r="C177" s="32"/>
      <c r="D177" s="31"/>
      <c r="E177" s="32"/>
      <c r="F177" s="32"/>
    </row>
    <row r="178" customFormat="false" ht="15" hidden="false" customHeight="false" outlineLevel="0" collapsed="false">
      <c r="A178" s="27"/>
      <c r="B178" s="32"/>
      <c r="C178" s="32"/>
      <c r="D178" s="31"/>
      <c r="E178" s="32"/>
      <c r="F178" s="32"/>
    </row>
    <row r="179" customFormat="false" ht="15" hidden="false" customHeight="false" outlineLevel="0" collapsed="false">
      <c r="A179" s="27"/>
      <c r="B179" s="32"/>
      <c r="C179" s="32"/>
      <c r="D179" s="31"/>
      <c r="E179" s="32"/>
      <c r="F179" s="32"/>
    </row>
    <row r="180" customFormat="false" ht="15" hidden="false" customHeight="false" outlineLevel="0" collapsed="false">
      <c r="A180" s="27"/>
      <c r="B180" s="32"/>
      <c r="C180" s="32"/>
      <c r="D180" s="31"/>
      <c r="E180" s="32"/>
      <c r="F180" s="32"/>
    </row>
    <row r="181" customFormat="false" ht="15" hidden="false" customHeight="false" outlineLevel="0" collapsed="false">
      <c r="A181" s="27"/>
      <c r="B181" s="32"/>
      <c r="C181" s="32"/>
      <c r="D181" s="31"/>
      <c r="E181" s="32"/>
      <c r="F181" s="32"/>
    </row>
    <row r="182" customFormat="false" ht="15" hidden="false" customHeight="false" outlineLevel="0" collapsed="false">
      <c r="A182" s="27"/>
      <c r="B182" s="32"/>
      <c r="C182" s="32"/>
      <c r="D182" s="31"/>
      <c r="E182" s="32"/>
      <c r="F182" s="32"/>
    </row>
    <row r="183" customFormat="false" ht="15" hidden="false" customHeight="false" outlineLevel="0" collapsed="false">
      <c r="A183" s="27"/>
      <c r="B183" s="32"/>
      <c r="C183" s="32"/>
      <c r="D183" s="31"/>
      <c r="E183" s="32"/>
      <c r="F183" s="32"/>
    </row>
    <row r="184" customFormat="false" ht="15" hidden="false" customHeight="false" outlineLevel="0" collapsed="false">
      <c r="A184" s="27"/>
      <c r="B184" s="32"/>
      <c r="C184" s="32"/>
      <c r="D184" s="31"/>
      <c r="E184" s="32"/>
      <c r="F184" s="32"/>
    </row>
    <row r="185" customFormat="false" ht="15" hidden="false" customHeight="false" outlineLevel="0" collapsed="false">
      <c r="A185" s="27"/>
      <c r="B185" s="32"/>
      <c r="C185" s="32"/>
      <c r="D185" s="31"/>
      <c r="E185" s="32"/>
      <c r="F185" s="32"/>
    </row>
    <row r="186" customFormat="false" ht="15" hidden="false" customHeight="false" outlineLevel="0" collapsed="false">
      <c r="A186" s="27"/>
      <c r="B186" s="32"/>
      <c r="C186" s="32"/>
      <c r="D186" s="31"/>
      <c r="E186" s="32"/>
      <c r="F186" s="32"/>
    </row>
    <row r="187" customFormat="false" ht="15" hidden="false" customHeight="false" outlineLevel="0" collapsed="false">
      <c r="A187" s="27"/>
      <c r="B187" s="32"/>
      <c r="C187" s="32"/>
      <c r="D187" s="31"/>
      <c r="E187" s="32"/>
      <c r="F187" s="32"/>
    </row>
    <row r="188" customFormat="false" ht="15" hidden="false" customHeight="false" outlineLevel="0" collapsed="false">
      <c r="A188" s="27"/>
      <c r="B188" s="32"/>
      <c r="C188" s="32"/>
      <c r="D188" s="31"/>
      <c r="E188" s="32"/>
      <c r="F188" s="32"/>
    </row>
    <row r="189" customFormat="false" ht="15" hidden="false" customHeight="false" outlineLevel="0" collapsed="false">
      <c r="A189" s="27"/>
      <c r="B189" s="32"/>
      <c r="C189" s="32"/>
      <c r="D189" s="31"/>
      <c r="E189" s="32"/>
      <c r="F189" s="32"/>
    </row>
    <row r="190" customFormat="false" ht="15" hidden="false" customHeight="false" outlineLevel="0" collapsed="false">
      <c r="A190" s="27"/>
      <c r="B190" s="32"/>
      <c r="C190" s="32"/>
      <c r="D190" s="31"/>
      <c r="E190" s="32"/>
      <c r="F190" s="32"/>
    </row>
    <row r="191" customFormat="false" ht="15" hidden="false" customHeight="false" outlineLevel="0" collapsed="false">
      <c r="A191" s="27"/>
      <c r="B191" s="32"/>
      <c r="C191" s="32"/>
      <c r="D191" s="31"/>
      <c r="E191" s="32"/>
      <c r="F191" s="32"/>
    </row>
    <row r="192" customFormat="false" ht="15" hidden="false" customHeight="false" outlineLevel="0" collapsed="false">
      <c r="A192" s="27"/>
      <c r="B192" s="32"/>
      <c r="C192" s="32"/>
      <c r="D192" s="31"/>
      <c r="E192" s="32"/>
      <c r="F192" s="32"/>
    </row>
    <row r="193" customFormat="false" ht="15" hidden="false" customHeight="false" outlineLevel="0" collapsed="false">
      <c r="A193" s="27"/>
      <c r="B193" s="32"/>
      <c r="C193" s="32"/>
      <c r="D193" s="31"/>
      <c r="E193" s="32"/>
      <c r="F193" s="32"/>
    </row>
    <row r="194" customFormat="false" ht="15" hidden="false" customHeight="false" outlineLevel="0" collapsed="false">
      <c r="A194" s="27"/>
      <c r="B194" s="32"/>
      <c r="C194" s="32"/>
      <c r="D194" s="31"/>
      <c r="E194" s="32"/>
      <c r="F194" s="32"/>
    </row>
    <row r="195" customFormat="false" ht="15" hidden="false" customHeight="false" outlineLevel="0" collapsed="false">
      <c r="A195" s="27"/>
      <c r="B195" s="32"/>
      <c r="C195" s="32"/>
      <c r="D195" s="31"/>
      <c r="E195" s="32"/>
      <c r="F195" s="32"/>
    </row>
    <row r="196" customFormat="false" ht="15" hidden="false" customHeight="false" outlineLevel="0" collapsed="false">
      <c r="A196" s="27"/>
      <c r="B196" s="32"/>
      <c r="C196" s="32"/>
      <c r="D196" s="31"/>
      <c r="E196" s="32"/>
      <c r="F196" s="32"/>
    </row>
    <row r="197" customFormat="false" ht="15" hidden="false" customHeight="false" outlineLevel="0" collapsed="false">
      <c r="A197" s="27"/>
      <c r="B197" s="32"/>
      <c r="C197" s="32"/>
      <c r="D197" s="31"/>
      <c r="E197" s="32"/>
      <c r="F197" s="32"/>
    </row>
    <row r="198" customFormat="false" ht="15" hidden="false" customHeight="false" outlineLevel="0" collapsed="false">
      <c r="A198" s="27"/>
      <c r="B198" s="32"/>
      <c r="C198" s="32"/>
      <c r="D198" s="31"/>
      <c r="E198" s="32"/>
      <c r="F198" s="32"/>
    </row>
    <row r="199" customFormat="false" ht="15" hidden="false" customHeight="false" outlineLevel="0" collapsed="false">
      <c r="A199" s="27"/>
      <c r="B199" s="32"/>
      <c r="C199" s="32"/>
      <c r="D199" s="31"/>
      <c r="E199" s="32"/>
      <c r="F199" s="32"/>
    </row>
    <row r="200" customFormat="false" ht="15" hidden="false" customHeight="false" outlineLevel="0" collapsed="false">
      <c r="A200" s="27"/>
      <c r="B200" s="32"/>
      <c r="C200" s="32"/>
      <c r="D200" s="31"/>
      <c r="E200" s="32"/>
      <c r="F200" s="32"/>
    </row>
    <row r="201" customFormat="false" ht="15" hidden="false" customHeight="false" outlineLevel="0" collapsed="false">
      <c r="A201" s="27"/>
      <c r="B201" s="32"/>
      <c r="C201" s="32"/>
      <c r="D201" s="31"/>
      <c r="E201" s="32"/>
      <c r="F201" s="32"/>
    </row>
    <row r="202" customFormat="false" ht="15" hidden="false" customHeight="false" outlineLevel="0" collapsed="false">
      <c r="A202" s="27"/>
      <c r="B202" s="32"/>
      <c r="C202" s="32"/>
      <c r="D202" s="31"/>
      <c r="E202" s="32"/>
      <c r="F202" s="32"/>
    </row>
    <row r="203" customFormat="false" ht="15" hidden="false" customHeight="false" outlineLevel="0" collapsed="false">
      <c r="A203" s="27"/>
      <c r="B203" s="32"/>
      <c r="C203" s="32"/>
      <c r="D203" s="31"/>
      <c r="E203" s="32"/>
      <c r="F203" s="32"/>
    </row>
    <row r="204" customFormat="false" ht="15" hidden="false" customHeight="false" outlineLevel="0" collapsed="false">
      <c r="A204" s="27"/>
      <c r="B204" s="32"/>
      <c r="C204" s="32"/>
      <c r="D204" s="31"/>
      <c r="E204" s="32"/>
      <c r="F204" s="32"/>
    </row>
    <row r="205" customFormat="false" ht="15" hidden="false" customHeight="false" outlineLevel="0" collapsed="false">
      <c r="A205" s="27"/>
      <c r="B205" s="32"/>
      <c r="C205" s="32"/>
      <c r="D205" s="31"/>
      <c r="E205" s="32"/>
      <c r="F205" s="32"/>
    </row>
    <row r="206" customFormat="false" ht="15" hidden="false" customHeight="false" outlineLevel="0" collapsed="false">
      <c r="A206" s="27"/>
      <c r="B206" s="32"/>
      <c r="C206" s="32"/>
      <c r="D206" s="31"/>
      <c r="E206" s="32"/>
      <c r="F206" s="32"/>
    </row>
    <row r="207" customFormat="false" ht="15" hidden="false" customHeight="false" outlineLevel="0" collapsed="false">
      <c r="A207" s="27"/>
      <c r="B207" s="32"/>
      <c r="C207" s="32"/>
      <c r="D207" s="31"/>
      <c r="E207" s="32"/>
      <c r="F207" s="32"/>
    </row>
    <row r="208" customFormat="false" ht="15" hidden="false" customHeight="false" outlineLevel="0" collapsed="false">
      <c r="A208" s="27"/>
      <c r="B208" s="32"/>
      <c r="C208" s="32"/>
      <c r="D208" s="31"/>
      <c r="E208" s="32"/>
      <c r="F208" s="32"/>
    </row>
    <row r="209" customFormat="false" ht="15" hidden="false" customHeight="false" outlineLevel="0" collapsed="false">
      <c r="A209" s="27"/>
      <c r="B209" s="32"/>
      <c r="C209" s="32"/>
      <c r="D209" s="31"/>
      <c r="E209" s="32"/>
      <c r="F209" s="32"/>
    </row>
    <row r="210" customFormat="false" ht="15" hidden="false" customHeight="false" outlineLevel="0" collapsed="false">
      <c r="A210" s="27"/>
      <c r="B210" s="32"/>
      <c r="C210" s="32"/>
      <c r="D210" s="31"/>
      <c r="E210" s="32"/>
      <c r="F210" s="32"/>
    </row>
    <row r="211" customFormat="false" ht="15" hidden="false" customHeight="false" outlineLevel="0" collapsed="false">
      <c r="A211" s="27"/>
      <c r="B211" s="32"/>
      <c r="C211" s="32"/>
      <c r="D211" s="31"/>
      <c r="E211" s="32"/>
      <c r="F211" s="32"/>
    </row>
    <row r="212" customFormat="false" ht="15" hidden="false" customHeight="false" outlineLevel="0" collapsed="false">
      <c r="A212" s="27"/>
      <c r="B212" s="32"/>
      <c r="C212" s="32"/>
      <c r="D212" s="31"/>
      <c r="E212" s="32"/>
      <c r="F212" s="32"/>
    </row>
    <row r="213" customFormat="false" ht="15" hidden="false" customHeight="false" outlineLevel="0" collapsed="false">
      <c r="A213" s="27"/>
      <c r="B213" s="32"/>
      <c r="C213" s="32"/>
      <c r="D213" s="31"/>
      <c r="E213" s="32"/>
      <c r="F213" s="32"/>
    </row>
    <row r="214" customFormat="false" ht="15" hidden="false" customHeight="false" outlineLevel="0" collapsed="false">
      <c r="A214" s="27"/>
      <c r="B214" s="32"/>
      <c r="C214" s="32"/>
      <c r="D214" s="31"/>
      <c r="E214" s="32"/>
      <c r="F214" s="32"/>
    </row>
    <row r="215" customFormat="false" ht="15" hidden="false" customHeight="false" outlineLevel="0" collapsed="false">
      <c r="A215" s="27"/>
      <c r="B215" s="32"/>
      <c r="C215" s="32"/>
      <c r="D215" s="31"/>
      <c r="E215" s="32"/>
      <c r="F215" s="32"/>
    </row>
    <row r="216" customFormat="false" ht="15" hidden="false" customHeight="false" outlineLevel="0" collapsed="false">
      <c r="A216" s="27"/>
      <c r="B216" s="32"/>
      <c r="C216" s="32"/>
      <c r="D216" s="31"/>
      <c r="E216" s="32"/>
      <c r="F216" s="32"/>
    </row>
    <row r="217" customFormat="false" ht="15" hidden="false" customHeight="false" outlineLevel="0" collapsed="false">
      <c r="A217" s="27"/>
      <c r="B217" s="32"/>
      <c r="C217" s="32"/>
      <c r="D217" s="31"/>
      <c r="E217" s="32"/>
      <c r="F217" s="32"/>
    </row>
    <row r="218" customFormat="false" ht="15" hidden="false" customHeight="false" outlineLevel="0" collapsed="false">
      <c r="A218" s="27"/>
      <c r="B218" s="32"/>
      <c r="C218" s="32"/>
      <c r="D218" s="31"/>
      <c r="E218" s="32"/>
      <c r="F218" s="32"/>
    </row>
    <row r="219" customFormat="false" ht="15" hidden="false" customHeight="false" outlineLevel="0" collapsed="false">
      <c r="A219" s="27"/>
      <c r="B219" s="32"/>
      <c r="C219" s="32"/>
      <c r="D219" s="31"/>
      <c r="E219" s="32"/>
      <c r="F219" s="32"/>
    </row>
    <row r="220" customFormat="false" ht="15" hidden="false" customHeight="false" outlineLevel="0" collapsed="false">
      <c r="A220" s="27"/>
      <c r="B220" s="32"/>
      <c r="C220" s="32"/>
      <c r="D220" s="31"/>
      <c r="E220" s="32"/>
      <c r="F220" s="32"/>
    </row>
    <row r="221" customFormat="false" ht="15" hidden="false" customHeight="false" outlineLevel="0" collapsed="false">
      <c r="A221" s="27"/>
      <c r="B221" s="32"/>
      <c r="C221" s="32"/>
      <c r="D221" s="31"/>
      <c r="E221" s="32"/>
      <c r="F221" s="32"/>
    </row>
    <row r="222" customFormat="false" ht="15" hidden="false" customHeight="false" outlineLevel="0" collapsed="false">
      <c r="A222" s="27"/>
      <c r="B222" s="32"/>
      <c r="C222" s="32"/>
      <c r="D222" s="31"/>
      <c r="E222" s="32"/>
      <c r="F222" s="32"/>
    </row>
    <row r="223" customFormat="false" ht="15" hidden="false" customHeight="false" outlineLevel="0" collapsed="false">
      <c r="A223" s="27"/>
      <c r="B223" s="32"/>
      <c r="C223" s="32"/>
      <c r="D223" s="31"/>
      <c r="E223" s="32"/>
      <c r="F223" s="32"/>
    </row>
    <row r="224" customFormat="false" ht="15" hidden="false" customHeight="false" outlineLevel="0" collapsed="false">
      <c r="A224" s="27"/>
      <c r="B224" s="32"/>
      <c r="C224" s="32"/>
      <c r="D224" s="31"/>
      <c r="E224" s="32"/>
      <c r="F224" s="32"/>
    </row>
    <row r="225" customFormat="false" ht="15" hidden="false" customHeight="false" outlineLevel="0" collapsed="false">
      <c r="A225" s="27"/>
      <c r="B225" s="32"/>
      <c r="C225" s="32"/>
      <c r="D225" s="31"/>
      <c r="E225" s="32"/>
      <c r="F225" s="32"/>
    </row>
    <row r="226" customFormat="false" ht="15" hidden="false" customHeight="false" outlineLevel="0" collapsed="false">
      <c r="A226" s="27"/>
      <c r="B226" s="32"/>
      <c r="C226" s="32"/>
      <c r="D226" s="31"/>
      <c r="E226" s="32"/>
      <c r="F226" s="32"/>
    </row>
    <row r="227" customFormat="false" ht="15" hidden="false" customHeight="false" outlineLevel="0" collapsed="false">
      <c r="A227" s="27"/>
      <c r="B227" s="32"/>
      <c r="C227" s="32"/>
      <c r="D227" s="31"/>
      <c r="E227" s="32"/>
      <c r="F227" s="32"/>
    </row>
    <row r="228" customFormat="false" ht="15" hidden="false" customHeight="false" outlineLevel="0" collapsed="false">
      <c r="A228" s="27"/>
      <c r="B228" s="32"/>
      <c r="C228" s="32"/>
      <c r="D228" s="31"/>
      <c r="E228" s="32"/>
      <c r="F228" s="32"/>
    </row>
    <row r="229" customFormat="false" ht="15" hidden="false" customHeight="false" outlineLevel="0" collapsed="false">
      <c r="A229" s="27"/>
      <c r="B229" s="32"/>
      <c r="C229" s="32"/>
      <c r="D229" s="31"/>
      <c r="E229" s="32"/>
      <c r="F229" s="32"/>
    </row>
    <row r="230" customFormat="false" ht="15" hidden="false" customHeight="false" outlineLevel="0" collapsed="false">
      <c r="A230" s="27"/>
      <c r="B230" s="32"/>
      <c r="C230" s="32"/>
      <c r="D230" s="31"/>
      <c r="E230" s="32"/>
      <c r="F230" s="32"/>
    </row>
    <row r="231" customFormat="false" ht="15" hidden="false" customHeight="false" outlineLevel="0" collapsed="false">
      <c r="A231" s="27"/>
      <c r="B231" s="32"/>
      <c r="C231" s="32"/>
      <c r="D231" s="31"/>
      <c r="E231" s="32"/>
      <c r="F231" s="32"/>
    </row>
    <row r="232" customFormat="false" ht="15" hidden="false" customHeight="false" outlineLevel="0" collapsed="false">
      <c r="A232" s="27"/>
      <c r="B232" s="32"/>
      <c r="C232" s="32"/>
      <c r="D232" s="31"/>
      <c r="E232" s="32"/>
      <c r="F232" s="32"/>
    </row>
    <row r="233" customFormat="false" ht="15" hidden="false" customHeight="false" outlineLevel="0" collapsed="false">
      <c r="A233" s="27"/>
      <c r="B233" s="32"/>
      <c r="C233" s="32"/>
      <c r="D233" s="31"/>
      <c r="E233" s="32"/>
      <c r="F233" s="32"/>
    </row>
    <row r="234" customFormat="false" ht="15" hidden="false" customHeight="false" outlineLevel="0" collapsed="false">
      <c r="A234" s="27"/>
      <c r="B234" s="32"/>
      <c r="C234" s="32"/>
      <c r="D234" s="31"/>
      <c r="E234" s="32"/>
      <c r="F234" s="32"/>
    </row>
    <row r="235" customFormat="false" ht="15" hidden="false" customHeight="false" outlineLevel="0" collapsed="false">
      <c r="A235" s="27"/>
      <c r="B235" s="32"/>
      <c r="C235" s="32"/>
      <c r="D235" s="31"/>
      <c r="E235" s="32"/>
      <c r="F235" s="32"/>
    </row>
    <row r="236" customFormat="false" ht="15" hidden="false" customHeight="false" outlineLevel="0" collapsed="false">
      <c r="A236" s="27"/>
      <c r="B236" s="32"/>
      <c r="C236" s="32"/>
      <c r="D236" s="31"/>
      <c r="E236" s="32"/>
      <c r="F236" s="32"/>
    </row>
    <row r="237" customFormat="false" ht="15" hidden="false" customHeight="false" outlineLevel="0" collapsed="false">
      <c r="A237" s="27"/>
      <c r="B237" s="32"/>
      <c r="C237" s="32"/>
      <c r="D237" s="31"/>
      <c r="E237" s="32"/>
      <c r="F237" s="32"/>
    </row>
    <row r="238" customFormat="false" ht="15" hidden="false" customHeight="false" outlineLevel="0" collapsed="false">
      <c r="A238" s="27"/>
      <c r="B238" s="32"/>
      <c r="C238" s="32"/>
      <c r="D238" s="31"/>
      <c r="E238" s="32"/>
      <c r="F238" s="32"/>
    </row>
    <row r="239" customFormat="false" ht="15" hidden="false" customHeight="false" outlineLevel="0" collapsed="false">
      <c r="A239" s="27"/>
      <c r="B239" s="32"/>
      <c r="C239" s="32"/>
      <c r="D239" s="31"/>
      <c r="E239" s="32"/>
      <c r="F239" s="32"/>
    </row>
    <row r="240" customFormat="false" ht="15" hidden="false" customHeight="false" outlineLevel="0" collapsed="false">
      <c r="A240" s="27"/>
      <c r="B240" s="32"/>
      <c r="C240" s="32"/>
      <c r="D240" s="31"/>
      <c r="E240" s="32"/>
      <c r="F240" s="32"/>
    </row>
    <row r="241" customFormat="false" ht="15" hidden="false" customHeight="false" outlineLevel="0" collapsed="false">
      <c r="A241" s="27"/>
      <c r="B241" s="32"/>
      <c r="C241" s="32"/>
      <c r="D241" s="31"/>
      <c r="E241" s="32"/>
      <c r="F241" s="32"/>
    </row>
    <row r="242" customFormat="false" ht="15" hidden="false" customHeight="false" outlineLevel="0" collapsed="false">
      <c r="A242" s="27"/>
      <c r="B242" s="32"/>
      <c r="C242" s="32"/>
      <c r="D242" s="31"/>
      <c r="E242" s="32"/>
      <c r="F242" s="32"/>
    </row>
    <row r="243" customFormat="false" ht="15" hidden="false" customHeight="false" outlineLevel="0" collapsed="false">
      <c r="A243" s="27"/>
      <c r="B243" s="32"/>
      <c r="C243" s="32"/>
      <c r="D243" s="31"/>
      <c r="E243" s="32"/>
      <c r="F243" s="32"/>
    </row>
    <row r="244" customFormat="false" ht="15" hidden="false" customHeight="false" outlineLevel="0" collapsed="false">
      <c r="A244" s="27"/>
      <c r="B244" s="32"/>
      <c r="C244" s="32"/>
      <c r="D244" s="31"/>
      <c r="E244" s="32"/>
      <c r="F244" s="32"/>
    </row>
    <row r="245" customFormat="false" ht="15" hidden="false" customHeight="false" outlineLevel="0" collapsed="false">
      <c r="A245" s="27"/>
      <c r="B245" s="32"/>
      <c r="C245" s="32"/>
      <c r="D245" s="31"/>
      <c r="E245" s="32"/>
      <c r="F245" s="32"/>
    </row>
    <row r="246" customFormat="false" ht="15" hidden="false" customHeight="false" outlineLevel="0" collapsed="false">
      <c r="A246" s="27"/>
      <c r="B246" s="32"/>
      <c r="C246" s="32"/>
      <c r="D246" s="31"/>
      <c r="E246" s="32"/>
      <c r="F246" s="32"/>
    </row>
    <row r="247" customFormat="false" ht="15" hidden="false" customHeight="false" outlineLevel="0" collapsed="false">
      <c r="A247" s="27"/>
      <c r="B247" s="32"/>
      <c r="C247" s="32"/>
      <c r="D247" s="31"/>
      <c r="E247" s="32"/>
      <c r="F247" s="32"/>
    </row>
    <row r="248" customFormat="false" ht="15" hidden="false" customHeight="false" outlineLevel="0" collapsed="false">
      <c r="A248" s="27"/>
      <c r="B248" s="32"/>
      <c r="C248" s="32"/>
      <c r="D248" s="31"/>
      <c r="E248" s="32"/>
      <c r="F248" s="32"/>
    </row>
    <row r="249" customFormat="false" ht="15" hidden="false" customHeight="false" outlineLevel="0" collapsed="false">
      <c r="A249" s="27"/>
      <c r="B249" s="32"/>
      <c r="C249" s="32"/>
      <c r="D249" s="31"/>
      <c r="E249" s="32"/>
      <c r="F249" s="32"/>
    </row>
    <row r="250" customFormat="false" ht="15" hidden="false" customHeight="false" outlineLevel="0" collapsed="false">
      <c r="A250" s="27"/>
      <c r="B250" s="32"/>
      <c r="C250" s="32"/>
      <c r="D250" s="31"/>
      <c r="E250" s="32"/>
      <c r="F250" s="32"/>
    </row>
    <row r="251" customFormat="false" ht="15" hidden="false" customHeight="false" outlineLevel="0" collapsed="false">
      <c r="A251" s="27"/>
      <c r="B251" s="32"/>
      <c r="C251" s="32"/>
      <c r="D251" s="31"/>
      <c r="E251" s="32"/>
      <c r="F251" s="32"/>
    </row>
    <row r="252" customFormat="false" ht="15" hidden="false" customHeight="false" outlineLevel="0" collapsed="false">
      <c r="A252" s="27"/>
      <c r="B252" s="32"/>
      <c r="C252" s="32"/>
      <c r="D252" s="31"/>
      <c r="E252" s="32"/>
      <c r="F252" s="32"/>
    </row>
    <row r="253" customFormat="false" ht="15" hidden="false" customHeight="false" outlineLevel="0" collapsed="false">
      <c r="A253" s="27"/>
      <c r="B253" s="32"/>
      <c r="C253" s="32"/>
      <c r="D253" s="31"/>
      <c r="E253" s="32"/>
      <c r="F253" s="32"/>
    </row>
    <row r="254" customFormat="false" ht="15" hidden="false" customHeight="false" outlineLevel="0" collapsed="false">
      <c r="A254" s="27"/>
      <c r="B254" s="32"/>
      <c r="C254" s="32"/>
      <c r="D254" s="31"/>
      <c r="E254" s="32"/>
      <c r="F254" s="32"/>
    </row>
    <row r="255" customFormat="false" ht="15" hidden="false" customHeight="false" outlineLevel="0" collapsed="false">
      <c r="A255" s="27"/>
      <c r="B255" s="32"/>
      <c r="C255" s="32"/>
      <c r="D255" s="31"/>
      <c r="E255" s="32"/>
      <c r="F255" s="32"/>
    </row>
    <row r="256" customFormat="false" ht="15" hidden="false" customHeight="false" outlineLevel="0" collapsed="false">
      <c r="A256" s="27"/>
      <c r="B256" s="32"/>
      <c r="C256" s="32"/>
      <c r="D256" s="31"/>
      <c r="E256" s="32"/>
      <c r="F256" s="32"/>
    </row>
    <row r="257" customFormat="false" ht="15" hidden="false" customHeight="false" outlineLevel="0" collapsed="false">
      <c r="A257" s="27"/>
      <c r="B257" s="32"/>
      <c r="C257" s="32"/>
      <c r="D257" s="31"/>
      <c r="E257" s="32"/>
      <c r="F257" s="32"/>
    </row>
    <row r="258" customFormat="false" ht="15" hidden="false" customHeight="false" outlineLevel="0" collapsed="false">
      <c r="A258" s="27"/>
      <c r="B258" s="32"/>
      <c r="C258" s="32"/>
      <c r="D258" s="31"/>
      <c r="E258" s="32"/>
      <c r="F258" s="32"/>
    </row>
    <row r="259" customFormat="false" ht="15" hidden="false" customHeight="false" outlineLevel="0" collapsed="false">
      <c r="A259" s="27"/>
      <c r="B259" s="32"/>
      <c r="C259" s="32"/>
      <c r="D259" s="31"/>
      <c r="E259" s="32"/>
      <c r="F259" s="32"/>
    </row>
    <row r="260" customFormat="false" ht="15" hidden="false" customHeight="false" outlineLevel="0" collapsed="false">
      <c r="A260" s="27"/>
      <c r="B260" s="32"/>
      <c r="C260" s="32"/>
      <c r="D260" s="31"/>
      <c r="E260" s="32"/>
      <c r="F260" s="32"/>
    </row>
    <row r="261" customFormat="false" ht="15" hidden="false" customHeight="false" outlineLevel="0" collapsed="false">
      <c r="A261" s="27"/>
      <c r="B261" s="32"/>
      <c r="C261" s="32"/>
      <c r="D261" s="31"/>
      <c r="E261" s="32"/>
      <c r="F261" s="32"/>
    </row>
    <row r="262" customFormat="false" ht="15" hidden="false" customHeight="false" outlineLevel="0" collapsed="false">
      <c r="A262" s="27"/>
      <c r="B262" s="32"/>
      <c r="C262" s="32"/>
      <c r="D262" s="31"/>
      <c r="E262" s="32"/>
      <c r="F262" s="32"/>
    </row>
    <row r="263" customFormat="false" ht="15" hidden="false" customHeight="false" outlineLevel="0" collapsed="false">
      <c r="A263" s="27"/>
      <c r="B263" s="32"/>
      <c r="C263" s="32"/>
      <c r="D263" s="31"/>
      <c r="E263" s="32"/>
      <c r="F263" s="32"/>
    </row>
    <row r="264" customFormat="false" ht="15" hidden="false" customHeight="false" outlineLevel="0" collapsed="false">
      <c r="A264" s="27"/>
      <c r="B264" s="32"/>
      <c r="C264" s="32"/>
      <c r="D264" s="31"/>
      <c r="E264" s="32"/>
      <c r="F264" s="32"/>
    </row>
    <row r="265" customFormat="false" ht="15" hidden="false" customHeight="false" outlineLevel="0" collapsed="false">
      <c r="A265" s="27"/>
      <c r="B265" s="32"/>
      <c r="C265" s="32"/>
      <c r="D265" s="31"/>
      <c r="E265" s="32"/>
      <c r="F265" s="32"/>
    </row>
    <row r="266" customFormat="false" ht="15" hidden="false" customHeight="false" outlineLevel="0" collapsed="false">
      <c r="A266" s="27"/>
      <c r="B266" s="32"/>
      <c r="C266" s="32"/>
      <c r="D266" s="31"/>
      <c r="E266" s="32"/>
      <c r="F266" s="32"/>
    </row>
    <row r="267" customFormat="false" ht="15" hidden="false" customHeight="false" outlineLevel="0" collapsed="false">
      <c r="A267" s="27"/>
      <c r="B267" s="32"/>
      <c r="C267" s="32"/>
      <c r="D267" s="31"/>
      <c r="E267" s="32"/>
      <c r="F267" s="32"/>
    </row>
    <row r="268" customFormat="false" ht="15" hidden="false" customHeight="false" outlineLevel="0" collapsed="false">
      <c r="A268" s="27"/>
      <c r="B268" s="32"/>
      <c r="C268" s="32"/>
      <c r="D268" s="31"/>
      <c r="E268" s="32"/>
      <c r="F268" s="32"/>
    </row>
    <row r="269" customFormat="false" ht="15" hidden="false" customHeight="false" outlineLevel="0" collapsed="false">
      <c r="A269" s="27"/>
      <c r="B269" s="32"/>
      <c r="C269" s="32"/>
      <c r="D269" s="31"/>
      <c r="E269" s="32"/>
      <c r="F269" s="32"/>
    </row>
    <row r="270" customFormat="false" ht="15" hidden="false" customHeight="false" outlineLevel="0" collapsed="false">
      <c r="A270" s="27"/>
      <c r="B270" s="32"/>
      <c r="C270" s="32"/>
      <c r="D270" s="31"/>
      <c r="E270" s="32"/>
      <c r="F270" s="32"/>
    </row>
    <row r="271" customFormat="false" ht="15" hidden="false" customHeight="false" outlineLevel="0" collapsed="false">
      <c r="A271" s="27"/>
      <c r="B271" s="32"/>
      <c r="C271" s="32"/>
      <c r="D271" s="31"/>
      <c r="E271" s="32"/>
      <c r="F271" s="32"/>
    </row>
    <row r="272" customFormat="false" ht="15" hidden="false" customHeight="false" outlineLevel="0" collapsed="false">
      <c r="A272" s="27"/>
      <c r="B272" s="32"/>
      <c r="C272" s="32"/>
      <c r="D272" s="31"/>
      <c r="E272" s="32"/>
      <c r="F272" s="32"/>
    </row>
    <row r="273" customFormat="false" ht="15" hidden="false" customHeight="false" outlineLevel="0" collapsed="false">
      <c r="A273" s="27"/>
      <c r="B273" s="32"/>
      <c r="C273" s="32"/>
      <c r="D273" s="31"/>
      <c r="E273" s="32"/>
      <c r="F273" s="32"/>
    </row>
    <row r="274" customFormat="false" ht="15" hidden="false" customHeight="false" outlineLevel="0" collapsed="false">
      <c r="A274" s="27"/>
      <c r="B274" s="32"/>
      <c r="C274" s="32"/>
      <c r="D274" s="31"/>
      <c r="E274" s="32"/>
      <c r="F274" s="32"/>
    </row>
    <row r="275" customFormat="false" ht="15" hidden="false" customHeight="false" outlineLevel="0" collapsed="false">
      <c r="A275" s="27"/>
      <c r="B275" s="32"/>
      <c r="C275" s="32"/>
      <c r="D275" s="31"/>
      <c r="E275" s="32"/>
      <c r="F275" s="32"/>
    </row>
    <row r="276" customFormat="false" ht="15" hidden="false" customHeight="false" outlineLevel="0" collapsed="false">
      <c r="A276" s="27"/>
      <c r="B276" s="32"/>
      <c r="C276" s="32"/>
      <c r="D276" s="31"/>
      <c r="E276" s="32"/>
      <c r="F276" s="32"/>
    </row>
    <row r="277" customFormat="false" ht="15" hidden="false" customHeight="false" outlineLevel="0" collapsed="false">
      <c r="A277" s="27"/>
      <c r="B277" s="32"/>
      <c r="C277" s="32"/>
      <c r="D277" s="31"/>
      <c r="E277" s="32"/>
      <c r="F277" s="32"/>
    </row>
    <row r="278" customFormat="false" ht="15" hidden="false" customHeight="false" outlineLevel="0" collapsed="false">
      <c r="A278" s="27"/>
      <c r="B278" s="32"/>
      <c r="C278" s="32"/>
      <c r="D278" s="31"/>
      <c r="E278" s="32"/>
      <c r="F278" s="32"/>
    </row>
    <row r="279" customFormat="false" ht="15" hidden="false" customHeight="false" outlineLevel="0" collapsed="false">
      <c r="A279" s="27"/>
      <c r="B279" s="32"/>
      <c r="C279" s="32"/>
      <c r="D279" s="31"/>
      <c r="E279" s="32"/>
      <c r="F279" s="32"/>
    </row>
    <row r="280" customFormat="false" ht="15" hidden="false" customHeight="false" outlineLevel="0" collapsed="false">
      <c r="A280" s="27"/>
      <c r="B280" s="32"/>
      <c r="C280" s="32"/>
      <c r="D280" s="31"/>
      <c r="E280" s="32"/>
      <c r="F280" s="32"/>
    </row>
    <row r="281" customFormat="false" ht="15" hidden="false" customHeight="false" outlineLevel="0" collapsed="false">
      <c r="A281" s="27"/>
      <c r="B281" s="32"/>
      <c r="C281" s="32"/>
      <c r="D281" s="31"/>
      <c r="E281" s="32"/>
      <c r="F281" s="32"/>
    </row>
    <row r="282" customFormat="false" ht="15" hidden="false" customHeight="false" outlineLevel="0" collapsed="false">
      <c r="A282" s="27"/>
      <c r="B282" s="32"/>
      <c r="C282" s="32"/>
      <c r="D282" s="31"/>
      <c r="E282" s="32"/>
      <c r="F282" s="32"/>
    </row>
    <row r="283" customFormat="false" ht="15" hidden="false" customHeight="false" outlineLevel="0" collapsed="false">
      <c r="A283" s="27"/>
      <c r="B283" s="32"/>
      <c r="C283" s="32"/>
      <c r="D283" s="31"/>
      <c r="E283" s="32"/>
      <c r="F283" s="32"/>
    </row>
    <row r="284" customFormat="false" ht="15" hidden="false" customHeight="false" outlineLevel="0" collapsed="false">
      <c r="A284" s="27"/>
      <c r="B284" s="32"/>
      <c r="C284" s="32"/>
      <c r="D284" s="31"/>
      <c r="E284" s="32"/>
      <c r="F284" s="32"/>
    </row>
    <row r="285" customFormat="false" ht="15" hidden="false" customHeight="false" outlineLevel="0" collapsed="false">
      <c r="A285" s="27"/>
      <c r="B285" s="32"/>
      <c r="C285" s="32"/>
      <c r="D285" s="31"/>
      <c r="E285" s="32"/>
      <c r="F285" s="32"/>
    </row>
    <row r="286" customFormat="false" ht="15" hidden="false" customHeight="false" outlineLevel="0" collapsed="false">
      <c r="A286" s="27"/>
      <c r="B286" s="32"/>
      <c r="C286" s="32"/>
      <c r="D286" s="31"/>
      <c r="E286" s="32"/>
      <c r="F286" s="32"/>
    </row>
    <row r="287" customFormat="false" ht="15" hidden="false" customHeight="false" outlineLevel="0" collapsed="false">
      <c r="A287" s="27"/>
      <c r="B287" s="32"/>
      <c r="C287" s="32"/>
      <c r="D287" s="31"/>
      <c r="E287" s="32"/>
      <c r="F287" s="32"/>
    </row>
    <row r="288" customFormat="false" ht="15" hidden="false" customHeight="false" outlineLevel="0" collapsed="false">
      <c r="A288" s="27"/>
      <c r="B288" s="32"/>
      <c r="C288" s="32"/>
      <c r="D288" s="31"/>
      <c r="E288" s="32"/>
      <c r="F288" s="32"/>
    </row>
    <row r="289" customFormat="false" ht="15" hidden="false" customHeight="false" outlineLevel="0" collapsed="false">
      <c r="A289" s="27"/>
      <c r="B289" s="32"/>
      <c r="C289" s="32"/>
      <c r="D289" s="31"/>
      <c r="E289" s="32"/>
      <c r="F289" s="32"/>
    </row>
    <row r="290" customFormat="false" ht="15" hidden="false" customHeight="false" outlineLevel="0" collapsed="false">
      <c r="A290" s="27"/>
      <c r="B290" s="32"/>
      <c r="C290" s="32"/>
      <c r="D290" s="31"/>
      <c r="E290" s="32"/>
      <c r="F290" s="32"/>
    </row>
    <row r="291" customFormat="false" ht="15" hidden="false" customHeight="false" outlineLevel="0" collapsed="false">
      <c r="A291" s="27"/>
      <c r="B291" s="32"/>
      <c r="C291" s="32"/>
      <c r="D291" s="31"/>
      <c r="E291" s="32"/>
      <c r="F291" s="32"/>
    </row>
    <row r="292" customFormat="false" ht="15" hidden="false" customHeight="false" outlineLevel="0" collapsed="false">
      <c r="A292" s="27"/>
      <c r="B292" s="32"/>
      <c r="C292" s="32"/>
      <c r="D292" s="31"/>
      <c r="E292" s="32"/>
      <c r="F292" s="32"/>
    </row>
    <row r="293" customFormat="false" ht="15" hidden="false" customHeight="false" outlineLevel="0" collapsed="false">
      <c r="A293" s="27"/>
      <c r="B293" s="32"/>
      <c r="C293" s="32"/>
      <c r="D293" s="31"/>
      <c r="E293" s="32"/>
      <c r="F293" s="32"/>
    </row>
    <row r="294" customFormat="false" ht="15" hidden="false" customHeight="false" outlineLevel="0" collapsed="false">
      <c r="A294" s="27"/>
      <c r="B294" s="32"/>
      <c r="C294" s="32"/>
      <c r="D294" s="31"/>
      <c r="E294" s="32"/>
      <c r="F294" s="32"/>
    </row>
    <row r="295" customFormat="false" ht="15" hidden="false" customHeight="false" outlineLevel="0" collapsed="false">
      <c r="A295" s="27"/>
      <c r="B295" s="32"/>
      <c r="C295" s="32"/>
      <c r="D295" s="31"/>
      <c r="E295" s="32"/>
      <c r="F295" s="32"/>
    </row>
    <row r="296" customFormat="false" ht="15" hidden="false" customHeight="false" outlineLevel="0" collapsed="false">
      <c r="A296" s="27"/>
      <c r="B296" s="32"/>
      <c r="C296" s="32"/>
      <c r="D296" s="31"/>
      <c r="E296" s="32"/>
      <c r="F296" s="32"/>
    </row>
    <row r="297" customFormat="false" ht="15" hidden="false" customHeight="false" outlineLevel="0" collapsed="false">
      <c r="A297" s="27"/>
      <c r="B297" s="32"/>
      <c r="C297" s="32"/>
      <c r="D297" s="31"/>
      <c r="E297" s="32"/>
      <c r="F297" s="32"/>
    </row>
    <row r="298" customFormat="false" ht="15" hidden="false" customHeight="false" outlineLevel="0" collapsed="false">
      <c r="A298" s="27"/>
      <c r="B298" s="32"/>
      <c r="C298" s="32"/>
      <c r="D298" s="31"/>
      <c r="E298" s="32"/>
      <c r="F298" s="32"/>
    </row>
    <row r="299" customFormat="false" ht="15" hidden="false" customHeight="false" outlineLevel="0" collapsed="false">
      <c r="A299" s="27"/>
      <c r="B299" s="32"/>
      <c r="C299" s="32"/>
      <c r="D299" s="31"/>
      <c r="E299" s="32"/>
      <c r="F299" s="32"/>
    </row>
    <row r="300" customFormat="false" ht="15" hidden="false" customHeight="false" outlineLevel="0" collapsed="false">
      <c r="A300" s="27"/>
      <c r="B300" s="32"/>
      <c r="C300" s="32"/>
      <c r="D300" s="31"/>
      <c r="E300" s="32"/>
      <c r="F300" s="32"/>
    </row>
    <row r="301" customFormat="false" ht="15" hidden="false" customHeight="false" outlineLevel="0" collapsed="false">
      <c r="A301" s="27"/>
      <c r="B301" s="32"/>
      <c r="C301" s="32"/>
      <c r="D301" s="31"/>
      <c r="E301" s="32"/>
      <c r="F301" s="32"/>
    </row>
    <row r="302" customFormat="false" ht="15" hidden="false" customHeight="false" outlineLevel="0" collapsed="false">
      <c r="A302" s="27"/>
      <c r="B302" s="32"/>
      <c r="C302" s="32"/>
      <c r="D302" s="31"/>
      <c r="E302" s="32"/>
      <c r="F302" s="32"/>
    </row>
    <row r="303" customFormat="false" ht="15" hidden="false" customHeight="false" outlineLevel="0" collapsed="false">
      <c r="A303" s="27"/>
      <c r="B303" s="32"/>
      <c r="C303" s="32"/>
      <c r="D303" s="31"/>
      <c r="E303" s="32"/>
      <c r="F303" s="32"/>
    </row>
    <row r="304" customFormat="false" ht="15" hidden="false" customHeight="false" outlineLevel="0" collapsed="false">
      <c r="A304" s="27"/>
      <c r="B304" s="32"/>
      <c r="C304" s="32"/>
      <c r="D304" s="31"/>
      <c r="E304" s="32"/>
      <c r="F304" s="32"/>
    </row>
    <row r="305" customFormat="false" ht="15" hidden="false" customHeight="false" outlineLevel="0" collapsed="false">
      <c r="A305" s="27"/>
      <c r="B305" s="32"/>
      <c r="C305" s="32"/>
      <c r="D305" s="31"/>
      <c r="E305" s="32"/>
      <c r="F305" s="32"/>
    </row>
    <row r="306" customFormat="false" ht="15" hidden="false" customHeight="false" outlineLevel="0" collapsed="false">
      <c r="A306" s="27"/>
      <c r="B306" s="32"/>
      <c r="C306" s="32"/>
      <c r="D306" s="31"/>
      <c r="E306" s="32"/>
      <c r="F306" s="32"/>
    </row>
    <row r="307" customFormat="false" ht="15" hidden="false" customHeight="false" outlineLevel="0" collapsed="false">
      <c r="A307" s="27"/>
      <c r="B307" s="32"/>
      <c r="C307" s="32"/>
      <c r="D307" s="31"/>
      <c r="E307" s="32"/>
      <c r="F307" s="32"/>
    </row>
    <row r="308" customFormat="false" ht="15" hidden="false" customHeight="false" outlineLevel="0" collapsed="false">
      <c r="A308" s="27"/>
      <c r="B308" s="32"/>
      <c r="C308" s="32"/>
      <c r="D308" s="31"/>
      <c r="E308" s="32"/>
      <c r="F308" s="32"/>
    </row>
    <row r="309" customFormat="false" ht="15" hidden="false" customHeight="false" outlineLevel="0" collapsed="false">
      <c r="A309" s="27"/>
      <c r="B309" s="32"/>
      <c r="C309" s="32"/>
      <c r="D309" s="31"/>
      <c r="E309" s="32"/>
      <c r="F309" s="32"/>
    </row>
    <row r="310" customFormat="false" ht="15" hidden="false" customHeight="false" outlineLevel="0" collapsed="false">
      <c r="A310" s="27"/>
      <c r="B310" s="32"/>
      <c r="C310" s="32"/>
      <c r="D310" s="31"/>
      <c r="E310" s="32"/>
      <c r="F310" s="32"/>
    </row>
    <row r="311" customFormat="false" ht="15" hidden="false" customHeight="false" outlineLevel="0" collapsed="false">
      <c r="A311" s="27"/>
      <c r="B311" s="32"/>
      <c r="C311" s="32"/>
      <c r="D311" s="31"/>
      <c r="E311" s="32"/>
      <c r="F311" s="32"/>
    </row>
    <row r="312" customFormat="false" ht="15" hidden="false" customHeight="false" outlineLevel="0" collapsed="false">
      <c r="A312" s="27"/>
      <c r="B312" s="32"/>
      <c r="C312" s="32"/>
      <c r="D312" s="31"/>
      <c r="E312" s="32"/>
      <c r="F312" s="32"/>
    </row>
    <row r="313" customFormat="false" ht="15" hidden="false" customHeight="false" outlineLevel="0" collapsed="false">
      <c r="A313" s="27"/>
      <c r="B313" s="32"/>
      <c r="C313" s="32"/>
      <c r="D313" s="31"/>
      <c r="E313" s="32"/>
      <c r="F313" s="32"/>
    </row>
    <row r="314" customFormat="false" ht="15" hidden="false" customHeight="false" outlineLevel="0" collapsed="false">
      <c r="A314" s="27"/>
      <c r="B314" s="32"/>
      <c r="C314" s="32"/>
      <c r="D314" s="31"/>
      <c r="E314" s="32"/>
      <c r="F314" s="32"/>
    </row>
    <row r="315" customFormat="false" ht="15" hidden="false" customHeight="false" outlineLevel="0" collapsed="false">
      <c r="A315" s="27"/>
      <c r="B315" s="32"/>
      <c r="C315" s="32"/>
      <c r="D315" s="31"/>
      <c r="E315" s="32"/>
      <c r="F315" s="32"/>
    </row>
    <row r="316" customFormat="false" ht="15" hidden="false" customHeight="false" outlineLevel="0" collapsed="false">
      <c r="A316" s="27"/>
      <c r="B316" s="32"/>
      <c r="C316" s="32"/>
      <c r="D316" s="31"/>
      <c r="E316" s="32"/>
      <c r="F316" s="32"/>
    </row>
    <row r="317" customFormat="false" ht="15" hidden="false" customHeight="false" outlineLevel="0" collapsed="false">
      <c r="A317" s="27"/>
      <c r="B317" s="32"/>
      <c r="C317" s="32"/>
      <c r="D317" s="31"/>
      <c r="E317" s="32"/>
      <c r="F317" s="32"/>
    </row>
    <row r="318" customFormat="false" ht="15" hidden="false" customHeight="false" outlineLevel="0" collapsed="false">
      <c r="A318" s="27"/>
      <c r="B318" s="32"/>
      <c r="C318" s="32"/>
      <c r="D318" s="31"/>
      <c r="E318" s="32"/>
      <c r="F318" s="32"/>
    </row>
    <row r="319" customFormat="false" ht="15" hidden="false" customHeight="false" outlineLevel="0" collapsed="false">
      <c r="A319" s="27"/>
      <c r="B319" s="32"/>
      <c r="C319" s="32"/>
      <c r="D319" s="31"/>
      <c r="E319" s="32"/>
      <c r="F319" s="32"/>
    </row>
    <row r="320" customFormat="false" ht="15" hidden="false" customHeight="false" outlineLevel="0" collapsed="false">
      <c r="A320" s="27"/>
      <c r="B320" s="32"/>
      <c r="C320" s="32"/>
      <c r="D320" s="31"/>
      <c r="E320" s="32"/>
      <c r="F320" s="32"/>
    </row>
    <row r="321" customFormat="false" ht="15" hidden="false" customHeight="false" outlineLevel="0" collapsed="false">
      <c r="A321" s="27"/>
      <c r="B321" s="32"/>
      <c r="C321" s="32"/>
      <c r="D321" s="31"/>
      <c r="E321" s="32"/>
      <c r="F321" s="32"/>
    </row>
    <row r="322" customFormat="false" ht="15" hidden="false" customHeight="false" outlineLevel="0" collapsed="false">
      <c r="A322" s="27"/>
      <c r="B322" s="32"/>
      <c r="C322" s="32"/>
      <c r="D322" s="31"/>
      <c r="E322" s="32"/>
      <c r="F322" s="32"/>
    </row>
    <row r="323" customFormat="false" ht="15" hidden="false" customHeight="false" outlineLevel="0" collapsed="false">
      <c r="A323" s="27"/>
      <c r="B323" s="32"/>
      <c r="C323" s="32"/>
      <c r="D323" s="31"/>
      <c r="E323" s="32"/>
      <c r="F323" s="32"/>
    </row>
    <row r="324" customFormat="false" ht="15" hidden="false" customHeight="false" outlineLevel="0" collapsed="false">
      <c r="A324" s="27"/>
      <c r="B324" s="32"/>
      <c r="C324" s="32"/>
      <c r="D324" s="31"/>
      <c r="E324" s="32"/>
      <c r="F324" s="32"/>
    </row>
    <row r="325" customFormat="false" ht="15" hidden="false" customHeight="false" outlineLevel="0" collapsed="false">
      <c r="A325" s="27"/>
      <c r="B325" s="32"/>
      <c r="C325" s="32"/>
      <c r="D325" s="31"/>
      <c r="E325" s="32"/>
      <c r="F325" s="32"/>
    </row>
    <row r="326" customFormat="false" ht="15" hidden="false" customHeight="false" outlineLevel="0" collapsed="false">
      <c r="A326" s="27"/>
      <c r="B326" s="32"/>
      <c r="C326" s="32"/>
      <c r="D326" s="31"/>
      <c r="E326" s="32"/>
      <c r="F326" s="32"/>
    </row>
    <row r="327" customFormat="false" ht="15" hidden="false" customHeight="false" outlineLevel="0" collapsed="false">
      <c r="A327" s="27"/>
      <c r="B327" s="32"/>
      <c r="C327" s="32"/>
      <c r="D327" s="31"/>
      <c r="E327" s="32"/>
      <c r="F327" s="32"/>
    </row>
    <row r="328" customFormat="false" ht="15" hidden="false" customHeight="false" outlineLevel="0" collapsed="false">
      <c r="A328" s="27"/>
      <c r="B328" s="32"/>
      <c r="C328" s="32"/>
      <c r="D328" s="31"/>
      <c r="E328" s="32"/>
      <c r="F328" s="32"/>
    </row>
    <row r="329" customFormat="false" ht="15" hidden="false" customHeight="false" outlineLevel="0" collapsed="false">
      <c r="A329" s="27"/>
      <c r="B329" s="32"/>
      <c r="C329" s="32"/>
      <c r="D329" s="31"/>
      <c r="E329" s="32"/>
      <c r="F329" s="32"/>
    </row>
    <row r="330" customFormat="false" ht="15" hidden="false" customHeight="false" outlineLevel="0" collapsed="false">
      <c r="A330" s="27"/>
      <c r="B330" s="32"/>
      <c r="C330" s="32"/>
      <c r="D330" s="31"/>
      <c r="E330" s="32"/>
      <c r="F330" s="32"/>
    </row>
    <row r="331" customFormat="false" ht="15" hidden="false" customHeight="false" outlineLevel="0" collapsed="false">
      <c r="A331" s="27"/>
      <c r="B331" s="32"/>
      <c r="C331" s="32"/>
      <c r="D331" s="31"/>
      <c r="E331" s="32"/>
      <c r="F331" s="32"/>
    </row>
    <row r="332" customFormat="false" ht="15" hidden="false" customHeight="false" outlineLevel="0" collapsed="false">
      <c r="A332" s="27"/>
      <c r="B332" s="32"/>
      <c r="C332" s="32"/>
      <c r="D332" s="31"/>
      <c r="E332" s="32"/>
      <c r="F332" s="32"/>
    </row>
    <row r="333" customFormat="false" ht="15" hidden="false" customHeight="false" outlineLevel="0" collapsed="false">
      <c r="A333" s="27"/>
      <c r="B333" s="32"/>
      <c r="C333" s="32"/>
      <c r="D333" s="31"/>
      <c r="E333" s="32"/>
      <c r="F333" s="32"/>
    </row>
    <row r="334" customFormat="false" ht="15" hidden="false" customHeight="false" outlineLevel="0" collapsed="false">
      <c r="A334" s="27"/>
      <c r="B334" s="32"/>
      <c r="C334" s="32"/>
      <c r="D334" s="31"/>
      <c r="E334" s="32"/>
      <c r="F334" s="32"/>
    </row>
    <row r="335" customFormat="false" ht="15" hidden="false" customHeight="false" outlineLevel="0" collapsed="false">
      <c r="A335" s="27"/>
      <c r="B335" s="32"/>
      <c r="C335" s="32"/>
      <c r="D335" s="31"/>
      <c r="E335" s="32"/>
      <c r="F335" s="32"/>
    </row>
    <row r="336" customFormat="false" ht="15" hidden="false" customHeight="false" outlineLevel="0" collapsed="false">
      <c r="A336" s="27"/>
      <c r="B336" s="32"/>
      <c r="C336" s="32"/>
      <c r="D336" s="31"/>
      <c r="E336" s="32"/>
      <c r="F336" s="32"/>
    </row>
    <row r="337" customFormat="false" ht="15" hidden="false" customHeight="false" outlineLevel="0" collapsed="false">
      <c r="A337" s="27"/>
      <c r="B337" s="32"/>
      <c r="C337" s="32"/>
      <c r="D337" s="31"/>
      <c r="E337" s="32"/>
      <c r="F337" s="32"/>
    </row>
    <row r="338" customFormat="false" ht="15" hidden="false" customHeight="false" outlineLevel="0" collapsed="false">
      <c r="A338" s="27"/>
      <c r="B338" s="32"/>
      <c r="C338" s="32"/>
      <c r="D338" s="31"/>
      <c r="E338" s="32"/>
      <c r="F338" s="32"/>
    </row>
    <row r="339" customFormat="false" ht="15" hidden="false" customHeight="false" outlineLevel="0" collapsed="false">
      <c r="A339" s="27"/>
      <c r="B339" s="32"/>
      <c r="C339" s="32"/>
      <c r="D339" s="31"/>
      <c r="E339" s="32"/>
      <c r="F339" s="32"/>
    </row>
    <row r="340" customFormat="false" ht="15" hidden="false" customHeight="false" outlineLevel="0" collapsed="false">
      <c r="A340" s="27"/>
      <c r="B340" s="32"/>
      <c r="C340" s="32"/>
      <c r="D340" s="31"/>
      <c r="E340" s="32"/>
      <c r="F340" s="32"/>
    </row>
    <row r="341" customFormat="false" ht="15" hidden="false" customHeight="false" outlineLevel="0" collapsed="false">
      <c r="A341" s="27"/>
      <c r="B341" s="32"/>
      <c r="C341" s="32"/>
      <c r="D341" s="31"/>
      <c r="E341" s="32"/>
      <c r="F341" s="32"/>
    </row>
    <row r="342" customFormat="false" ht="15" hidden="false" customHeight="false" outlineLevel="0" collapsed="false">
      <c r="A342" s="27"/>
      <c r="B342" s="32"/>
      <c r="C342" s="32"/>
      <c r="D342" s="31"/>
      <c r="E342" s="32"/>
      <c r="F342" s="32"/>
    </row>
    <row r="343" customFormat="false" ht="15" hidden="false" customHeight="false" outlineLevel="0" collapsed="false">
      <c r="A343" s="27"/>
      <c r="B343" s="32"/>
      <c r="C343" s="32"/>
      <c r="D343" s="31"/>
      <c r="E343" s="32"/>
      <c r="F343" s="32"/>
    </row>
    <row r="344" customFormat="false" ht="15" hidden="false" customHeight="false" outlineLevel="0" collapsed="false">
      <c r="A344" s="27"/>
      <c r="B344" s="32"/>
      <c r="C344" s="32"/>
      <c r="D344" s="31"/>
      <c r="E344" s="32"/>
      <c r="F344" s="32"/>
    </row>
    <row r="345" customFormat="false" ht="15" hidden="false" customHeight="false" outlineLevel="0" collapsed="false">
      <c r="A345" s="27"/>
      <c r="B345" s="32"/>
      <c r="C345" s="32"/>
      <c r="D345" s="31"/>
      <c r="E345" s="32"/>
      <c r="F345" s="32"/>
    </row>
    <row r="346" customFormat="false" ht="15" hidden="false" customHeight="false" outlineLevel="0" collapsed="false">
      <c r="A346" s="27"/>
      <c r="B346" s="32"/>
      <c r="C346" s="32"/>
      <c r="D346" s="31"/>
      <c r="E346" s="32"/>
      <c r="F346" s="32"/>
    </row>
    <row r="347" customFormat="false" ht="15" hidden="false" customHeight="false" outlineLevel="0" collapsed="false">
      <c r="A347" s="27"/>
      <c r="B347" s="32"/>
      <c r="C347" s="32"/>
      <c r="D347" s="31"/>
      <c r="E347" s="32"/>
      <c r="F347" s="32"/>
    </row>
    <row r="348" customFormat="false" ht="15" hidden="false" customHeight="false" outlineLevel="0" collapsed="false">
      <c r="A348" s="27"/>
      <c r="B348" s="32"/>
      <c r="C348" s="32"/>
      <c r="D348" s="31"/>
      <c r="E348" s="32"/>
      <c r="F348" s="32"/>
    </row>
    <row r="349" customFormat="false" ht="15" hidden="false" customHeight="false" outlineLevel="0" collapsed="false">
      <c r="A349" s="27"/>
      <c r="B349" s="32"/>
      <c r="C349" s="32"/>
      <c r="D349" s="31"/>
      <c r="E349" s="32"/>
      <c r="F349" s="32"/>
    </row>
    <row r="350" customFormat="false" ht="15" hidden="false" customHeight="false" outlineLevel="0" collapsed="false">
      <c r="A350" s="27"/>
      <c r="B350" s="32"/>
      <c r="C350" s="32"/>
      <c r="D350" s="31"/>
      <c r="E350" s="32"/>
      <c r="F350" s="32"/>
    </row>
    <row r="351" customFormat="false" ht="15" hidden="false" customHeight="false" outlineLevel="0" collapsed="false">
      <c r="A351" s="27"/>
      <c r="B351" s="32"/>
      <c r="C351" s="32"/>
      <c r="D351" s="31"/>
      <c r="E351" s="32"/>
      <c r="F351" s="32"/>
    </row>
    <row r="352" customFormat="false" ht="15" hidden="false" customHeight="false" outlineLevel="0" collapsed="false">
      <c r="A352" s="27"/>
      <c r="B352" s="32"/>
      <c r="C352" s="32"/>
      <c r="D352" s="31"/>
      <c r="E352" s="32"/>
      <c r="F352" s="32"/>
    </row>
    <row r="353" customFormat="false" ht="15" hidden="false" customHeight="false" outlineLevel="0" collapsed="false">
      <c r="A353" s="27"/>
      <c r="B353" s="32"/>
      <c r="C353" s="32"/>
      <c r="D353" s="31"/>
      <c r="E353" s="32"/>
      <c r="F353" s="32"/>
    </row>
    <row r="354" customFormat="false" ht="15" hidden="false" customHeight="false" outlineLevel="0" collapsed="false">
      <c r="A354" s="27"/>
      <c r="B354" s="32"/>
      <c r="C354" s="32"/>
      <c r="D354" s="31"/>
      <c r="E354" s="32"/>
      <c r="F354" s="32"/>
    </row>
    <row r="355" customFormat="false" ht="15" hidden="false" customHeight="false" outlineLevel="0" collapsed="false">
      <c r="A355" s="27"/>
      <c r="B355" s="32"/>
      <c r="C355" s="32"/>
      <c r="D355" s="31"/>
      <c r="E355" s="32"/>
      <c r="F355" s="32"/>
    </row>
    <row r="356" customFormat="false" ht="15" hidden="false" customHeight="false" outlineLevel="0" collapsed="false">
      <c r="A356" s="27"/>
      <c r="B356" s="32"/>
      <c r="C356" s="32"/>
      <c r="D356" s="31"/>
      <c r="E356" s="32"/>
      <c r="F356" s="32"/>
    </row>
    <row r="357" customFormat="false" ht="15" hidden="false" customHeight="false" outlineLevel="0" collapsed="false">
      <c r="A357" s="27"/>
      <c r="B357" s="32"/>
      <c r="C357" s="32"/>
      <c r="D357" s="31"/>
      <c r="E357" s="32"/>
      <c r="F357" s="32"/>
    </row>
    <row r="358" customFormat="false" ht="15" hidden="false" customHeight="false" outlineLevel="0" collapsed="false">
      <c r="A358" s="27"/>
      <c r="B358" s="32"/>
      <c r="C358" s="32"/>
      <c r="D358" s="31"/>
      <c r="E358" s="32"/>
      <c r="F358" s="32"/>
    </row>
    <row r="359" customFormat="false" ht="15" hidden="false" customHeight="false" outlineLevel="0" collapsed="false">
      <c r="A359" s="27"/>
      <c r="B359" s="32"/>
      <c r="C359" s="32"/>
      <c r="D359" s="31"/>
      <c r="E359" s="32"/>
      <c r="F359" s="32"/>
    </row>
    <row r="360" customFormat="false" ht="15" hidden="false" customHeight="false" outlineLevel="0" collapsed="false">
      <c r="A360" s="27"/>
      <c r="B360" s="32"/>
      <c r="C360" s="32"/>
      <c r="D360" s="31"/>
      <c r="E360" s="32"/>
      <c r="F360" s="32"/>
    </row>
    <row r="361" customFormat="false" ht="15" hidden="false" customHeight="false" outlineLevel="0" collapsed="false">
      <c r="A361" s="27"/>
      <c r="B361" s="32"/>
      <c r="C361" s="32"/>
      <c r="D361" s="31"/>
      <c r="E361" s="32"/>
      <c r="F361" s="32"/>
    </row>
    <row r="362" customFormat="false" ht="15" hidden="false" customHeight="false" outlineLevel="0" collapsed="false">
      <c r="A362" s="27"/>
      <c r="B362" s="32"/>
      <c r="C362" s="32"/>
      <c r="D362" s="31"/>
      <c r="E362" s="32"/>
      <c r="F362" s="32"/>
    </row>
    <row r="363" customFormat="false" ht="15" hidden="false" customHeight="false" outlineLevel="0" collapsed="false">
      <c r="A363" s="27"/>
      <c r="B363" s="32"/>
      <c r="C363" s="32"/>
      <c r="D363" s="31"/>
      <c r="E363" s="32"/>
      <c r="F363" s="32"/>
    </row>
    <row r="364" customFormat="false" ht="15" hidden="false" customHeight="false" outlineLevel="0" collapsed="false">
      <c r="A364" s="27"/>
      <c r="B364" s="32"/>
      <c r="C364" s="32"/>
      <c r="D364" s="31"/>
      <c r="E364" s="32"/>
      <c r="F364" s="32"/>
    </row>
    <row r="365" customFormat="false" ht="15" hidden="false" customHeight="false" outlineLevel="0" collapsed="false">
      <c r="A365" s="27"/>
      <c r="B365" s="32"/>
      <c r="C365" s="32"/>
      <c r="D365" s="31"/>
      <c r="E365" s="32"/>
      <c r="F365" s="32"/>
    </row>
    <row r="366" customFormat="false" ht="15" hidden="false" customHeight="false" outlineLevel="0" collapsed="false">
      <c r="A366" s="27"/>
      <c r="B366" s="32"/>
      <c r="C366" s="32"/>
      <c r="D366" s="31"/>
      <c r="E366" s="32"/>
      <c r="F366" s="32"/>
    </row>
    <row r="367" customFormat="false" ht="15" hidden="false" customHeight="false" outlineLevel="0" collapsed="false">
      <c r="A367" s="27"/>
      <c r="B367" s="32"/>
      <c r="C367" s="32"/>
      <c r="D367" s="31"/>
      <c r="E367" s="32"/>
      <c r="F367" s="32"/>
    </row>
    <row r="368" customFormat="false" ht="15" hidden="false" customHeight="false" outlineLevel="0" collapsed="false">
      <c r="A368" s="27"/>
      <c r="B368" s="32"/>
      <c r="C368" s="32"/>
      <c r="D368" s="31"/>
      <c r="E368" s="32"/>
      <c r="F368" s="32"/>
    </row>
    <row r="369" customFormat="false" ht="15" hidden="false" customHeight="false" outlineLevel="0" collapsed="false">
      <c r="A369" s="27"/>
      <c r="B369" s="32"/>
      <c r="C369" s="32"/>
      <c r="D369" s="31"/>
      <c r="E369" s="32"/>
      <c r="F369" s="32"/>
    </row>
    <row r="370" customFormat="false" ht="15" hidden="false" customHeight="false" outlineLevel="0" collapsed="false">
      <c r="A370" s="27"/>
      <c r="B370" s="32"/>
      <c r="C370" s="32"/>
      <c r="D370" s="31"/>
      <c r="E370" s="32"/>
      <c r="F370" s="32"/>
    </row>
    <row r="371" customFormat="false" ht="15" hidden="false" customHeight="false" outlineLevel="0" collapsed="false">
      <c r="A371" s="27"/>
      <c r="B371" s="32"/>
      <c r="C371" s="32"/>
      <c r="D371" s="31"/>
      <c r="E371" s="32"/>
      <c r="F371" s="32"/>
    </row>
    <row r="372" customFormat="false" ht="15" hidden="false" customHeight="false" outlineLevel="0" collapsed="false">
      <c r="A372" s="27"/>
      <c r="B372" s="32"/>
      <c r="C372" s="32"/>
      <c r="D372" s="31"/>
      <c r="E372" s="32"/>
      <c r="F372" s="32"/>
    </row>
    <row r="373" customFormat="false" ht="15" hidden="false" customHeight="false" outlineLevel="0" collapsed="false">
      <c r="A373" s="27"/>
      <c r="B373" s="32"/>
      <c r="C373" s="32"/>
      <c r="D373" s="31"/>
      <c r="E373" s="32"/>
      <c r="F373" s="32"/>
    </row>
    <row r="374" customFormat="false" ht="15" hidden="false" customHeight="false" outlineLevel="0" collapsed="false">
      <c r="A374" s="27"/>
      <c r="B374" s="32"/>
      <c r="C374" s="32"/>
      <c r="D374" s="31"/>
      <c r="E374" s="32"/>
      <c r="F374" s="32"/>
    </row>
    <row r="375" customFormat="false" ht="15" hidden="false" customHeight="false" outlineLevel="0" collapsed="false">
      <c r="A375" s="27"/>
      <c r="B375" s="32"/>
      <c r="C375" s="32"/>
      <c r="D375" s="31"/>
      <c r="E375" s="32"/>
      <c r="F375" s="32"/>
    </row>
    <row r="376" customFormat="false" ht="15" hidden="false" customHeight="false" outlineLevel="0" collapsed="false">
      <c r="A376" s="27"/>
      <c r="B376" s="32"/>
      <c r="C376" s="32"/>
      <c r="D376" s="31"/>
      <c r="E376" s="32"/>
      <c r="F376" s="32"/>
    </row>
    <row r="377" customFormat="false" ht="15" hidden="false" customHeight="false" outlineLevel="0" collapsed="false">
      <c r="A377" s="27"/>
      <c r="B377" s="32"/>
      <c r="C377" s="32"/>
      <c r="D377" s="31"/>
      <c r="E377" s="32"/>
      <c r="F377" s="32"/>
    </row>
    <row r="378" customFormat="false" ht="15" hidden="false" customHeight="false" outlineLevel="0" collapsed="false">
      <c r="A378" s="27"/>
      <c r="B378" s="32"/>
      <c r="C378" s="32"/>
      <c r="D378" s="31"/>
      <c r="E378" s="32"/>
      <c r="F378" s="32"/>
    </row>
    <row r="379" customFormat="false" ht="15" hidden="false" customHeight="false" outlineLevel="0" collapsed="false">
      <c r="A379" s="27"/>
      <c r="B379" s="32"/>
      <c r="C379" s="32"/>
      <c r="D379" s="31"/>
      <c r="E379" s="32"/>
      <c r="F379" s="32"/>
    </row>
    <row r="380" customFormat="false" ht="15" hidden="false" customHeight="false" outlineLevel="0" collapsed="false">
      <c r="A380" s="27"/>
      <c r="B380" s="32"/>
      <c r="C380" s="32"/>
      <c r="D380" s="31"/>
      <c r="E380" s="32"/>
      <c r="F380" s="32"/>
    </row>
    <row r="381" customFormat="false" ht="15" hidden="false" customHeight="false" outlineLevel="0" collapsed="false">
      <c r="A381" s="27"/>
      <c r="B381" s="32"/>
      <c r="C381" s="32"/>
      <c r="D381" s="31"/>
      <c r="E381" s="32"/>
      <c r="F381" s="32"/>
    </row>
    <row r="382" customFormat="false" ht="15" hidden="false" customHeight="false" outlineLevel="0" collapsed="false">
      <c r="A382" s="27"/>
      <c r="B382" s="32"/>
      <c r="C382" s="32"/>
      <c r="D382" s="31"/>
      <c r="E382" s="32"/>
      <c r="F382" s="32"/>
    </row>
    <row r="383" customFormat="false" ht="15" hidden="false" customHeight="false" outlineLevel="0" collapsed="false">
      <c r="A383" s="27"/>
      <c r="B383" s="32"/>
      <c r="C383" s="32"/>
      <c r="D383" s="31"/>
      <c r="E383" s="32"/>
      <c r="F383" s="32"/>
    </row>
    <row r="384" customFormat="false" ht="15" hidden="false" customHeight="false" outlineLevel="0" collapsed="false">
      <c r="A384" s="27"/>
      <c r="B384" s="32"/>
      <c r="C384" s="32"/>
      <c r="D384" s="31"/>
      <c r="E384" s="32"/>
      <c r="F384" s="32"/>
    </row>
    <row r="385" customFormat="false" ht="15" hidden="false" customHeight="false" outlineLevel="0" collapsed="false">
      <c r="A385" s="27"/>
      <c r="B385" s="32"/>
      <c r="C385" s="32"/>
      <c r="D385" s="31"/>
      <c r="E385" s="32"/>
      <c r="F385" s="32"/>
    </row>
    <row r="386" customFormat="false" ht="15" hidden="false" customHeight="false" outlineLevel="0" collapsed="false">
      <c r="A386" s="27"/>
      <c r="B386" s="32"/>
      <c r="C386" s="32"/>
      <c r="D386" s="31"/>
      <c r="E386" s="32"/>
      <c r="F386" s="32"/>
    </row>
    <row r="387" customFormat="false" ht="15" hidden="false" customHeight="false" outlineLevel="0" collapsed="false">
      <c r="A387" s="27"/>
      <c r="B387" s="32"/>
      <c r="C387" s="32"/>
      <c r="D387" s="31"/>
      <c r="E387" s="32"/>
      <c r="F387" s="32"/>
    </row>
    <row r="388" customFormat="false" ht="15" hidden="false" customHeight="false" outlineLevel="0" collapsed="false">
      <c r="A388" s="27"/>
      <c r="B388" s="32"/>
      <c r="C388" s="32"/>
      <c r="D388" s="31"/>
      <c r="E388" s="32"/>
      <c r="F388" s="32"/>
    </row>
    <row r="389" customFormat="false" ht="15" hidden="false" customHeight="false" outlineLevel="0" collapsed="false">
      <c r="A389" s="27"/>
      <c r="B389" s="32"/>
      <c r="C389" s="32"/>
      <c r="D389" s="31"/>
      <c r="E389" s="32"/>
      <c r="F389" s="32"/>
    </row>
    <row r="390" customFormat="false" ht="15" hidden="false" customHeight="false" outlineLevel="0" collapsed="false">
      <c r="A390" s="27"/>
      <c r="B390" s="32"/>
      <c r="C390" s="32"/>
      <c r="D390" s="31"/>
      <c r="E390" s="32"/>
      <c r="F390" s="32"/>
    </row>
    <row r="391" customFormat="false" ht="15" hidden="false" customHeight="false" outlineLevel="0" collapsed="false">
      <c r="A391" s="27"/>
      <c r="B391" s="32"/>
      <c r="C391" s="32"/>
      <c r="D391" s="31"/>
      <c r="E391" s="32"/>
      <c r="F391" s="32"/>
    </row>
    <row r="392" customFormat="false" ht="15" hidden="false" customHeight="false" outlineLevel="0" collapsed="false">
      <c r="A392" s="27"/>
      <c r="B392" s="32"/>
      <c r="C392" s="32"/>
      <c r="D392" s="31"/>
      <c r="E392" s="32"/>
      <c r="F392" s="32"/>
    </row>
    <row r="393" customFormat="false" ht="15" hidden="false" customHeight="false" outlineLevel="0" collapsed="false">
      <c r="A393" s="27"/>
      <c r="B393" s="32"/>
      <c r="C393" s="32"/>
      <c r="D393" s="31"/>
      <c r="E393" s="32"/>
      <c r="F393" s="32"/>
    </row>
    <row r="394" customFormat="false" ht="15" hidden="false" customHeight="false" outlineLevel="0" collapsed="false">
      <c r="A394" s="27"/>
      <c r="B394" s="32"/>
      <c r="C394" s="32"/>
      <c r="D394" s="31"/>
      <c r="E394" s="32"/>
      <c r="F394" s="32"/>
    </row>
    <row r="395" customFormat="false" ht="15" hidden="false" customHeight="false" outlineLevel="0" collapsed="false">
      <c r="A395" s="27"/>
      <c r="B395" s="32"/>
      <c r="C395" s="32"/>
      <c r="D395" s="31"/>
      <c r="E395" s="32"/>
      <c r="F395" s="32"/>
    </row>
    <row r="396" customFormat="false" ht="15" hidden="false" customHeight="false" outlineLevel="0" collapsed="false">
      <c r="A396" s="27"/>
      <c r="B396" s="32"/>
      <c r="C396" s="32"/>
      <c r="D396" s="31"/>
      <c r="E396" s="32"/>
      <c r="F396" s="32"/>
    </row>
    <row r="397" customFormat="false" ht="15" hidden="false" customHeight="false" outlineLevel="0" collapsed="false">
      <c r="A397" s="27"/>
      <c r="B397" s="32"/>
      <c r="C397" s="32"/>
      <c r="D397" s="31"/>
      <c r="E397" s="32"/>
      <c r="F397" s="32"/>
    </row>
    <row r="398" customFormat="false" ht="15" hidden="false" customHeight="false" outlineLevel="0" collapsed="false">
      <c r="A398" s="27"/>
      <c r="B398" s="32"/>
      <c r="C398" s="32"/>
      <c r="D398" s="31"/>
      <c r="E398" s="32"/>
      <c r="F398" s="32"/>
    </row>
    <row r="399" customFormat="false" ht="15" hidden="false" customHeight="false" outlineLevel="0" collapsed="false">
      <c r="A399" s="27"/>
      <c r="B399" s="32"/>
      <c r="C399" s="32"/>
      <c r="D399" s="31"/>
      <c r="E399" s="32"/>
      <c r="F399" s="32"/>
    </row>
    <row r="400" customFormat="false" ht="15" hidden="false" customHeight="false" outlineLevel="0" collapsed="false">
      <c r="A400" s="27"/>
      <c r="B400" s="32"/>
      <c r="C400" s="32"/>
      <c r="D400" s="31"/>
      <c r="E400" s="32"/>
      <c r="F400" s="32"/>
    </row>
    <row r="401" customFormat="false" ht="15" hidden="false" customHeight="false" outlineLevel="0" collapsed="false">
      <c r="A401" s="27"/>
      <c r="B401" s="32"/>
      <c r="C401" s="32"/>
      <c r="D401" s="31"/>
      <c r="E401" s="32"/>
      <c r="F401" s="32"/>
    </row>
    <row r="402" customFormat="false" ht="15" hidden="false" customHeight="false" outlineLevel="0" collapsed="false">
      <c r="A402" s="27"/>
      <c r="B402" s="32"/>
      <c r="C402" s="32"/>
      <c r="D402" s="31"/>
      <c r="E402" s="32"/>
      <c r="F402" s="32"/>
    </row>
    <row r="403" customFormat="false" ht="15" hidden="false" customHeight="false" outlineLevel="0" collapsed="false">
      <c r="A403" s="27"/>
      <c r="B403" s="32"/>
      <c r="C403" s="32"/>
      <c r="D403" s="31"/>
      <c r="E403" s="32"/>
      <c r="F403" s="32"/>
    </row>
    <row r="404" customFormat="false" ht="15" hidden="false" customHeight="false" outlineLevel="0" collapsed="false">
      <c r="A404" s="27"/>
      <c r="B404" s="32"/>
      <c r="C404" s="32"/>
      <c r="D404" s="31"/>
      <c r="E404" s="32"/>
      <c r="F404" s="32"/>
    </row>
    <row r="405" customFormat="false" ht="15" hidden="false" customHeight="false" outlineLevel="0" collapsed="false">
      <c r="A405" s="27"/>
      <c r="B405" s="32"/>
      <c r="C405" s="32"/>
      <c r="D405" s="31"/>
      <c r="E405" s="32"/>
      <c r="F405" s="32"/>
    </row>
    <row r="406" customFormat="false" ht="15" hidden="false" customHeight="false" outlineLevel="0" collapsed="false">
      <c r="A406" s="27"/>
      <c r="B406" s="32"/>
      <c r="C406" s="32"/>
      <c r="D406" s="31"/>
      <c r="E406" s="32"/>
      <c r="F406" s="32"/>
    </row>
    <row r="407" customFormat="false" ht="15" hidden="false" customHeight="false" outlineLevel="0" collapsed="false">
      <c r="A407" s="27"/>
      <c r="B407" s="32"/>
      <c r="C407" s="32"/>
      <c r="D407" s="31"/>
      <c r="E407" s="32"/>
      <c r="F407" s="32"/>
    </row>
    <row r="408" customFormat="false" ht="15" hidden="false" customHeight="false" outlineLevel="0" collapsed="false">
      <c r="A408" s="27"/>
      <c r="B408" s="32"/>
      <c r="C408" s="32"/>
      <c r="D408" s="31"/>
      <c r="E408" s="32"/>
      <c r="F408" s="32"/>
    </row>
    <row r="409" customFormat="false" ht="15" hidden="false" customHeight="false" outlineLevel="0" collapsed="false">
      <c r="A409" s="27"/>
      <c r="B409" s="32"/>
      <c r="C409" s="32"/>
      <c r="D409" s="31"/>
      <c r="E409" s="32"/>
      <c r="F409" s="32"/>
    </row>
    <row r="410" customFormat="false" ht="15" hidden="false" customHeight="false" outlineLevel="0" collapsed="false">
      <c r="A410" s="27"/>
      <c r="B410" s="32"/>
      <c r="C410" s="32"/>
      <c r="D410" s="31"/>
      <c r="E410" s="32"/>
      <c r="F410" s="32"/>
    </row>
    <row r="411" customFormat="false" ht="15" hidden="false" customHeight="false" outlineLevel="0" collapsed="false">
      <c r="A411" s="27"/>
      <c r="B411" s="32"/>
      <c r="C411" s="32"/>
      <c r="D411" s="31"/>
      <c r="E411" s="32"/>
      <c r="F411" s="32"/>
    </row>
    <row r="412" customFormat="false" ht="15" hidden="false" customHeight="false" outlineLevel="0" collapsed="false">
      <c r="A412" s="27"/>
      <c r="B412" s="32"/>
      <c r="C412" s="32"/>
      <c r="D412" s="31"/>
      <c r="E412" s="32"/>
      <c r="F412" s="32"/>
    </row>
    <row r="413" customFormat="false" ht="15" hidden="false" customHeight="false" outlineLevel="0" collapsed="false">
      <c r="A413" s="27"/>
      <c r="B413" s="32"/>
      <c r="C413" s="32"/>
      <c r="D413" s="31"/>
      <c r="E413" s="32"/>
      <c r="F413" s="32"/>
    </row>
    <row r="414" customFormat="false" ht="15" hidden="false" customHeight="false" outlineLevel="0" collapsed="false">
      <c r="A414" s="27"/>
      <c r="B414" s="32"/>
      <c r="C414" s="32"/>
      <c r="D414" s="31"/>
      <c r="E414" s="32"/>
      <c r="F414" s="32"/>
    </row>
    <row r="415" customFormat="false" ht="15" hidden="false" customHeight="false" outlineLevel="0" collapsed="false">
      <c r="A415" s="27"/>
      <c r="B415" s="32"/>
      <c r="C415" s="32"/>
      <c r="D415" s="31"/>
      <c r="E415" s="32"/>
      <c r="F415" s="32"/>
    </row>
    <row r="416" customFormat="false" ht="15" hidden="false" customHeight="false" outlineLevel="0" collapsed="false">
      <c r="A416" s="27"/>
      <c r="B416" s="32"/>
      <c r="C416" s="32"/>
      <c r="D416" s="31"/>
      <c r="E416" s="32"/>
      <c r="F416" s="32"/>
    </row>
    <row r="417" customFormat="false" ht="15" hidden="false" customHeight="false" outlineLevel="0" collapsed="false">
      <c r="A417" s="27"/>
      <c r="B417" s="32"/>
      <c r="C417" s="32"/>
      <c r="D417" s="31"/>
      <c r="E417" s="32"/>
      <c r="F417" s="32"/>
    </row>
    <row r="418" customFormat="false" ht="15" hidden="false" customHeight="false" outlineLevel="0" collapsed="false">
      <c r="A418" s="27"/>
      <c r="B418" s="32"/>
      <c r="C418" s="32"/>
      <c r="D418" s="31"/>
      <c r="E418" s="32"/>
      <c r="F418" s="32"/>
    </row>
    <row r="419" customFormat="false" ht="15" hidden="false" customHeight="false" outlineLevel="0" collapsed="false">
      <c r="A419" s="27"/>
      <c r="B419" s="32"/>
      <c r="C419" s="32"/>
      <c r="D419" s="31"/>
      <c r="E419" s="32"/>
      <c r="F419" s="32"/>
    </row>
    <row r="420" customFormat="false" ht="15" hidden="false" customHeight="false" outlineLevel="0" collapsed="false">
      <c r="A420" s="27"/>
      <c r="B420" s="32"/>
      <c r="C420" s="32"/>
      <c r="D420" s="31"/>
      <c r="E420" s="32"/>
      <c r="F420" s="32"/>
    </row>
    <row r="421" customFormat="false" ht="15" hidden="false" customHeight="false" outlineLevel="0" collapsed="false">
      <c r="A421" s="27"/>
      <c r="B421" s="32"/>
      <c r="C421" s="32"/>
      <c r="D421" s="31"/>
      <c r="E421" s="32"/>
      <c r="F421" s="32"/>
    </row>
    <row r="422" customFormat="false" ht="15" hidden="false" customHeight="false" outlineLevel="0" collapsed="false">
      <c r="A422" s="27"/>
      <c r="B422" s="32"/>
      <c r="C422" s="32"/>
      <c r="D422" s="31"/>
      <c r="E422" s="32"/>
      <c r="F422" s="32"/>
    </row>
    <row r="423" customFormat="false" ht="15" hidden="false" customHeight="false" outlineLevel="0" collapsed="false">
      <c r="A423" s="27"/>
      <c r="B423" s="32"/>
      <c r="C423" s="32"/>
      <c r="D423" s="31"/>
      <c r="E423" s="32"/>
      <c r="F423" s="32"/>
    </row>
    <row r="424" customFormat="false" ht="15" hidden="false" customHeight="false" outlineLevel="0" collapsed="false">
      <c r="A424" s="27"/>
      <c r="B424" s="32"/>
      <c r="C424" s="32"/>
      <c r="D424" s="31"/>
      <c r="E424" s="32"/>
      <c r="F424" s="32"/>
    </row>
    <row r="425" customFormat="false" ht="15" hidden="false" customHeight="false" outlineLevel="0" collapsed="false">
      <c r="A425" s="27"/>
      <c r="B425" s="32"/>
      <c r="C425" s="32"/>
      <c r="D425" s="31"/>
      <c r="E425" s="32"/>
      <c r="F425" s="32"/>
    </row>
    <row r="426" customFormat="false" ht="15" hidden="false" customHeight="false" outlineLevel="0" collapsed="false">
      <c r="A426" s="27"/>
      <c r="B426" s="32"/>
      <c r="C426" s="32"/>
      <c r="D426" s="31"/>
      <c r="E426" s="32"/>
      <c r="F426" s="32"/>
    </row>
    <row r="427" customFormat="false" ht="15" hidden="false" customHeight="false" outlineLevel="0" collapsed="false">
      <c r="A427" s="27"/>
      <c r="B427" s="32"/>
      <c r="C427" s="32"/>
      <c r="D427" s="31"/>
      <c r="E427" s="32"/>
      <c r="F427" s="32"/>
    </row>
    <row r="428" customFormat="false" ht="15" hidden="false" customHeight="false" outlineLevel="0" collapsed="false">
      <c r="A428" s="27"/>
      <c r="B428" s="32"/>
      <c r="C428" s="32"/>
      <c r="D428" s="31"/>
      <c r="E428" s="32"/>
      <c r="F428" s="32"/>
    </row>
    <row r="429" customFormat="false" ht="15" hidden="false" customHeight="false" outlineLevel="0" collapsed="false">
      <c r="A429" s="27"/>
      <c r="B429" s="32"/>
      <c r="C429" s="32"/>
      <c r="D429" s="31"/>
      <c r="E429" s="32"/>
      <c r="F429" s="32"/>
    </row>
    <row r="430" customFormat="false" ht="15" hidden="false" customHeight="false" outlineLevel="0" collapsed="false">
      <c r="A430" s="27"/>
      <c r="B430" s="32"/>
      <c r="C430" s="32"/>
      <c r="D430" s="31"/>
      <c r="E430" s="32"/>
      <c r="F430" s="32"/>
    </row>
    <row r="431" customFormat="false" ht="15" hidden="false" customHeight="false" outlineLevel="0" collapsed="false">
      <c r="A431" s="27"/>
      <c r="B431" s="32"/>
      <c r="C431" s="32"/>
      <c r="D431" s="31"/>
      <c r="E431" s="32"/>
      <c r="F431" s="32"/>
    </row>
    <row r="432" customFormat="false" ht="15" hidden="false" customHeight="false" outlineLevel="0" collapsed="false">
      <c r="A432" s="27"/>
      <c r="B432" s="32"/>
      <c r="C432" s="32"/>
      <c r="D432" s="31"/>
      <c r="E432" s="32"/>
      <c r="F432" s="32"/>
    </row>
    <row r="433" customFormat="false" ht="15" hidden="false" customHeight="false" outlineLevel="0" collapsed="false">
      <c r="A433" s="27"/>
      <c r="B433" s="32"/>
      <c r="C433" s="32"/>
      <c r="D433" s="31"/>
      <c r="E433" s="32"/>
      <c r="F433" s="32"/>
    </row>
    <row r="434" customFormat="false" ht="15" hidden="false" customHeight="false" outlineLevel="0" collapsed="false">
      <c r="A434" s="27"/>
      <c r="B434" s="32"/>
      <c r="C434" s="32"/>
      <c r="D434" s="31"/>
      <c r="E434" s="32"/>
      <c r="F434" s="32"/>
    </row>
    <row r="435" customFormat="false" ht="15" hidden="false" customHeight="false" outlineLevel="0" collapsed="false">
      <c r="A435" s="27"/>
      <c r="B435" s="32"/>
      <c r="C435" s="32"/>
      <c r="D435" s="31"/>
      <c r="E435" s="32"/>
      <c r="F435" s="32"/>
    </row>
    <row r="436" customFormat="false" ht="15" hidden="false" customHeight="false" outlineLevel="0" collapsed="false">
      <c r="A436" s="27"/>
      <c r="B436" s="32"/>
      <c r="C436" s="32"/>
      <c r="D436" s="31"/>
      <c r="E436" s="32"/>
      <c r="F436" s="32"/>
    </row>
    <row r="437" customFormat="false" ht="15" hidden="false" customHeight="false" outlineLevel="0" collapsed="false">
      <c r="A437" s="27"/>
      <c r="B437" s="32"/>
      <c r="C437" s="32"/>
      <c r="D437" s="31"/>
      <c r="E437" s="32"/>
      <c r="F437" s="32"/>
    </row>
    <row r="438" customFormat="false" ht="15" hidden="false" customHeight="false" outlineLevel="0" collapsed="false">
      <c r="A438" s="27"/>
      <c r="B438" s="32"/>
      <c r="C438" s="32"/>
      <c r="D438" s="31"/>
      <c r="E438" s="32"/>
      <c r="F438" s="32"/>
    </row>
    <row r="439" customFormat="false" ht="15" hidden="false" customHeight="false" outlineLevel="0" collapsed="false">
      <c r="A439" s="27"/>
      <c r="B439" s="32"/>
      <c r="C439" s="32"/>
      <c r="D439" s="31"/>
      <c r="E439" s="32"/>
      <c r="F439" s="32"/>
    </row>
    <row r="440" customFormat="false" ht="15" hidden="false" customHeight="false" outlineLevel="0" collapsed="false">
      <c r="A440" s="27"/>
      <c r="B440" s="32"/>
      <c r="C440" s="32"/>
      <c r="D440" s="31"/>
      <c r="E440" s="32"/>
      <c r="F440" s="32"/>
    </row>
    <row r="441" customFormat="false" ht="15" hidden="false" customHeight="false" outlineLevel="0" collapsed="false">
      <c r="A441" s="27"/>
      <c r="B441" s="32"/>
      <c r="C441" s="32"/>
      <c r="D441" s="31"/>
      <c r="E441" s="32"/>
      <c r="F441" s="32"/>
    </row>
    <row r="442" customFormat="false" ht="15" hidden="false" customHeight="false" outlineLevel="0" collapsed="false">
      <c r="A442" s="27"/>
      <c r="B442" s="32"/>
      <c r="C442" s="32"/>
      <c r="D442" s="31"/>
      <c r="E442" s="32"/>
      <c r="F442" s="32"/>
    </row>
    <row r="443" customFormat="false" ht="15" hidden="false" customHeight="false" outlineLevel="0" collapsed="false">
      <c r="A443" s="27"/>
      <c r="B443" s="32"/>
      <c r="C443" s="32"/>
      <c r="D443" s="31"/>
      <c r="E443" s="32"/>
      <c r="F443" s="32"/>
    </row>
    <row r="444" customFormat="false" ht="15" hidden="false" customHeight="false" outlineLevel="0" collapsed="false">
      <c r="A444" s="27"/>
      <c r="B444" s="32"/>
      <c r="C444" s="32"/>
      <c r="D444" s="31"/>
      <c r="E444" s="32"/>
      <c r="F444" s="32"/>
    </row>
    <row r="445" customFormat="false" ht="15" hidden="false" customHeight="false" outlineLevel="0" collapsed="false">
      <c r="A445" s="27"/>
      <c r="B445" s="32"/>
      <c r="C445" s="32"/>
      <c r="D445" s="31"/>
      <c r="E445" s="32"/>
      <c r="F445" s="32"/>
    </row>
    <row r="446" customFormat="false" ht="15" hidden="false" customHeight="false" outlineLevel="0" collapsed="false">
      <c r="A446" s="27"/>
      <c r="B446" s="32"/>
      <c r="C446" s="32"/>
      <c r="D446" s="31"/>
      <c r="E446" s="32"/>
      <c r="F446" s="32"/>
    </row>
    <row r="447" customFormat="false" ht="15" hidden="false" customHeight="false" outlineLevel="0" collapsed="false">
      <c r="A447" s="27"/>
      <c r="B447" s="32"/>
      <c r="C447" s="32"/>
      <c r="D447" s="31"/>
      <c r="E447" s="32"/>
      <c r="F447" s="32"/>
    </row>
    <row r="448" customFormat="false" ht="15" hidden="false" customHeight="false" outlineLevel="0" collapsed="false">
      <c r="A448" s="27"/>
      <c r="B448" s="32"/>
      <c r="C448" s="32"/>
      <c r="D448" s="31"/>
      <c r="E448" s="32"/>
      <c r="F448" s="32"/>
    </row>
    <row r="449" customFormat="false" ht="15" hidden="false" customHeight="false" outlineLevel="0" collapsed="false">
      <c r="A449" s="27"/>
      <c r="B449" s="32"/>
      <c r="C449" s="32"/>
      <c r="D449" s="31"/>
      <c r="E449" s="32"/>
      <c r="F449" s="32"/>
    </row>
    <row r="450" customFormat="false" ht="15" hidden="false" customHeight="false" outlineLevel="0" collapsed="false">
      <c r="A450" s="27"/>
      <c r="B450" s="32"/>
      <c r="C450" s="32"/>
      <c r="D450" s="31"/>
      <c r="E450" s="32"/>
      <c r="F450" s="32"/>
    </row>
    <row r="451" customFormat="false" ht="15" hidden="false" customHeight="false" outlineLevel="0" collapsed="false">
      <c r="A451" s="27"/>
      <c r="B451" s="32"/>
      <c r="C451" s="32"/>
      <c r="D451" s="31"/>
      <c r="E451" s="32"/>
      <c r="F451" s="32"/>
    </row>
    <row r="452" customFormat="false" ht="15" hidden="false" customHeight="false" outlineLevel="0" collapsed="false">
      <c r="A452" s="27"/>
      <c r="B452" s="32"/>
      <c r="C452" s="32"/>
      <c r="D452" s="31"/>
      <c r="E452" s="32"/>
      <c r="F452" s="32"/>
    </row>
    <row r="453" customFormat="false" ht="15" hidden="false" customHeight="false" outlineLevel="0" collapsed="false">
      <c r="A453" s="27"/>
      <c r="B453" s="32"/>
      <c r="C453" s="32"/>
      <c r="D453" s="31"/>
      <c r="E453" s="32"/>
      <c r="F453" s="32"/>
    </row>
    <row r="454" customFormat="false" ht="15" hidden="false" customHeight="false" outlineLevel="0" collapsed="false">
      <c r="A454" s="27"/>
      <c r="B454" s="32"/>
      <c r="C454" s="32"/>
      <c r="D454" s="31"/>
      <c r="E454" s="32"/>
      <c r="F454" s="32"/>
    </row>
    <row r="455" customFormat="false" ht="15" hidden="false" customHeight="false" outlineLevel="0" collapsed="false">
      <c r="A455" s="27"/>
      <c r="B455" s="32"/>
      <c r="C455" s="32"/>
      <c r="D455" s="31"/>
      <c r="E455" s="32"/>
      <c r="F455" s="32"/>
    </row>
    <row r="456" customFormat="false" ht="15" hidden="false" customHeight="false" outlineLevel="0" collapsed="false">
      <c r="A456" s="27"/>
      <c r="B456" s="32"/>
      <c r="C456" s="32"/>
      <c r="D456" s="31"/>
      <c r="E456" s="32"/>
      <c r="F456" s="32"/>
    </row>
    <row r="457" customFormat="false" ht="15" hidden="false" customHeight="false" outlineLevel="0" collapsed="false">
      <c r="A457" s="27"/>
      <c r="B457" s="32"/>
      <c r="C457" s="32"/>
      <c r="D457" s="31"/>
      <c r="E457" s="32"/>
      <c r="F457" s="32"/>
    </row>
    <row r="458" customFormat="false" ht="15" hidden="false" customHeight="false" outlineLevel="0" collapsed="false">
      <c r="A458" s="27"/>
      <c r="B458" s="32"/>
      <c r="C458" s="32"/>
      <c r="D458" s="31"/>
      <c r="E458" s="32"/>
      <c r="F458" s="32"/>
    </row>
    <row r="459" customFormat="false" ht="15" hidden="false" customHeight="false" outlineLevel="0" collapsed="false">
      <c r="A459" s="27"/>
      <c r="B459" s="32"/>
      <c r="C459" s="32"/>
      <c r="D459" s="31"/>
      <c r="E459" s="32"/>
      <c r="F459" s="32"/>
    </row>
    <row r="460" customFormat="false" ht="15" hidden="false" customHeight="false" outlineLevel="0" collapsed="false">
      <c r="A460" s="27"/>
      <c r="B460" s="32"/>
      <c r="C460" s="32"/>
      <c r="D460" s="31"/>
      <c r="E460" s="32"/>
      <c r="F460" s="32"/>
    </row>
    <row r="461" customFormat="false" ht="15" hidden="false" customHeight="false" outlineLevel="0" collapsed="false">
      <c r="A461" s="27"/>
      <c r="B461" s="32"/>
      <c r="C461" s="32"/>
      <c r="D461" s="31"/>
      <c r="E461" s="32"/>
      <c r="F461" s="32"/>
    </row>
    <row r="462" customFormat="false" ht="15" hidden="false" customHeight="false" outlineLevel="0" collapsed="false">
      <c r="A462" s="27"/>
      <c r="B462" s="32"/>
      <c r="C462" s="32"/>
      <c r="D462" s="31"/>
      <c r="E462" s="32"/>
      <c r="F462" s="32"/>
    </row>
    <row r="463" customFormat="false" ht="15" hidden="false" customHeight="false" outlineLevel="0" collapsed="false">
      <c r="A463" s="27"/>
      <c r="B463" s="32"/>
      <c r="C463" s="32"/>
      <c r="D463" s="31"/>
      <c r="E463" s="32"/>
      <c r="F463" s="32"/>
    </row>
    <row r="464" customFormat="false" ht="15" hidden="false" customHeight="false" outlineLevel="0" collapsed="false">
      <c r="A464" s="27"/>
      <c r="B464" s="32"/>
      <c r="C464" s="32"/>
      <c r="D464" s="31"/>
      <c r="E464" s="32"/>
      <c r="F464" s="32"/>
    </row>
    <row r="465" customFormat="false" ht="15" hidden="false" customHeight="false" outlineLevel="0" collapsed="false">
      <c r="A465" s="27"/>
      <c r="B465" s="32"/>
      <c r="C465" s="32"/>
      <c r="D465" s="31"/>
      <c r="E465" s="32"/>
      <c r="F465" s="32"/>
    </row>
    <row r="466" customFormat="false" ht="15" hidden="false" customHeight="false" outlineLevel="0" collapsed="false">
      <c r="A466" s="27"/>
      <c r="B466" s="32"/>
      <c r="C466" s="32"/>
      <c r="D466" s="31"/>
      <c r="E466" s="32"/>
      <c r="F466" s="32"/>
    </row>
    <row r="467" customFormat="false" ht="15" hidden="false" customHeight="false" outlineLevel="0" collapsed="false">
      <c r="A467" s="27"/>
      <c r="B467" s="32"/>
      <c r="C467" s="32"/>
      <c r="D467" s="31"/>
      <c r="E467" s="32"/>
      <c r="F467" s="32"/>
    </row>
    <row r="468" customFormat="false" ht="15" hidden="false" customHeight="false" outlineLevel="0" collapsed="false">
      <c r="A468" s="27"/>
      <c r="B468" s="32"/>
      <c r="C468" s="32"/>
      <c r="D468" s="31"/>
      <c r="E468" s="32"/>
      <c r="F468" s="32"/>
    </row>
    <row r="469" customFormat="false" ht="15" hidden="false" customHeight="false" outlineLevel="0" collapsed="false">
      <c r="A469" s="27"/>
      <c r="B469" s="32"/>
      <c r="C469" s="32"/>
      <c r="D469" s="31"/>
      <c r="E469" s="32"/>
      <c r="F469" s="32"/>
    </row>
    <row r="470" customFormat="false" ht="15" hidden="false" customHeight="false" outlineLevel="0" collapsed="false">
      <c r="A470" s="27"/>
      <c r="B470" s="32"/>
      <c r="C470" s="32"/>
      <c r="D470" s="31"/>
      <c r="E470" s="32"/>
      <c r="F470" s="32"/>
    </row>
    <row r="471" customFormat="false" ht="15" hidden="false" customHeight="false" outlineLevel="0" collapsed="false">
      <c r="A471" s="27"/>
      <c r="B471" s="32"/>
      <c r="C471" s="32"/>
      <c r="D471" s="31"/>
      <c r="E471" s="32"/>
      <c r="F471" s="32"/>
    </row>
    <row r="472" customFormat="false" ht="15" hidden="false" customHeight="false" outlineLevel="0" collapsed="false">
      <c r="A472" s="27"/>
      <c r="B472" s="32"/>
      <c r="C472" s="32"/>
      <c r="D472" s="31"/>
      <c r="E472" s="32"/>
      <c r="F472" s="32"/>
    </row>
    <row r="473" customFormat="false" ht="15" hidden="false" customHeight="false" outlineLevel="0" collapsed="false">
      <c r="A473" s="27"/>
      <c r="B473" s="32"/>
      <c r="C473" s="32"/>
      <c r="D473" s="31"/>
      <c r="E473" s="32"/>
      <c r="F473" s="32"/>
    </row>
    <row r="474" customFormat="false" ht="15" hidden="false" customHeight="false" outlineLevel="0" collapsed="false">
      <c r="A474" s="27"/>
      <c r="B474" s="32"/>
      <c r="C474" s="32"/>
      <c r="D474" s="31"/>
      <c r="E474" s="32"/>
      <c r="F474" s="32"/>
    </row>
    <row r="475" customFormat="false" ht="15" hidden="false" customHeight="false" outlineLevel="0" collapsed="false">
      <c r="A475" s="27"/>
      <c r="B475" s="32"/>
      <c r="C475" s="32"/>
      <c r="D475" s="31"/>
      <c r="E475" s="32"/>
      <c r="F475" s="32"/>
    </row>
    <row r="476" customFormat="false" ht="15" hidden="false" customHeight="false" outlineLevel="0" collapsed="false">
      <c r="A476" s="27"/>
      <c r="B476" s="32"/>
      <c r="C476" s="32"/>
      <c r="D476" s="31"/>
      <c r="E476" s="32"/>
      <c r="F476" s="32"/>
    </row>
    <row r="477" customFormat="false" ht="15" hidden="false" customHeight="false" outlineLevel="0" collapsed="false">
      <c r="A477" s="27"/>
      <c r="B477" s="32"/>
      <c r="C477" s="32"/>
      <c r="D477" s="31"/>
      <c r="E477" s="32"/>
      <c r="F477" s="32"/>
    </row>
    <row r="478" customFormat="false" ht="15" hidden="false" customHeight="false" outlineLevel="0" collapsed="false">
      <c r="A478" s="27"/>
      <c r="B478" s="32"/>
      <c r="C478" s="32"/>
      <c r="D478" s="31"/>
      <c r="E478" s="32"/>
      <c r="F478" s="32"/>
    </row>
    <row r="479" customFormat="false" ht="15" hidden="false" customHeight="false" outlineLevel="0" collapsed="false">
      <c r="A479" s="27"/>
      <c r="B479" s="32"/>
      <c r="C479" s="32"/>
      <c r="D479" s="31"/>
      <c r="E479" s="32"/>
      <c r="F479" s="32"/>
    </row>
    <row r="480" customFormat="false" ht="15" hidden="false" customHeight="false" outlineLevel="0" collapsed="false">
      <c r="A480" s="27"/>
      <c r="B480" s="32"/>
      <c r="C480" s="32"/>
      <c r="D480" s="31"/>
      <c r="E480" s="32"/>
      <c r="F480" s="32"/>
    </row>
    <row r="481" customFormat="false" ht="15" hidden="false" customHeight="false" outlineLevel="0" collapsed="false">
      <c r="A481" s="27"/>
      <c r="B481" s="32"/>
      <c r="C481" s="32"/>
      <c r="D481" s="31"/>
      <c r="E481" s="32"/>
      <c r="F481" s="32"/>
    </row>
    <row r="482" customFormat="false" ht="15" hidden="false" customHeight="false" outlineLevel="0" collapsed="false">
      <c r="A482" s="27"/>
      <c r="B482" s="32"/>
      <c r="C482" s="32"/>
      <c r="D482" s="31"/>
      <c r="E482" s="32"/>
      <c r="F482" s="32"/>
    </row>
    <row r="483" customFormat="false" ht="15" hidden="false" customHeight="false" outlineLevel="0" collapsed="false">
      <c r="A483" s="27"/>
      <c r="B483" s="32"/>
      <c r="C483" s="32"/>
      <c r="D483" s="31"/>
      <c r="E483" s="32"/>
      <c r="F483" s="32"/>
    </row>
    <row r="484" customFormat="false" ht="15" hidden="false" customHeight="false" outlineLevel="0" collapsed="false">
      <c r="A484" s="27"/>
      <c r="B484" s="32"/>
      <c r="C484" s="32"/>
      <c r="D484" s="31"/>
      <c r="E484" s="32"/>
      <c r="F484" s="32"/>
    </row>
    <row r="485" customFormat="false" ht="15" hidden="false" customHeight="false" outlineLevel="0" collapsed="false">
      <c r="A485" s="27"/>
      <c r="B485" s="32"/>
      <c r="C485" s="32"/>
      <c r="D485" s="31"/>
      <c r="E485" s="32"/>
      <c r="F485" s="32"/>
    </row>
    <row r="486" customFormat="false" ht="15" hidden="false" customHeight="false" outlineLevel="0" collapsed="false">
      <c r="A486" s="27"/>
      <c r="B486" s="32"/>
      <c r="C486" s="32"/>
      <c r="D486" s="31"/>
      <c r="E486" s="32"/>
      <c r="F486" s="32"/>
    </row>
    <row r="487" customFormat="false" ht="15" hidden="false" customHeight="false" outlineLevel="0" collapsed="false">
      <c r="A487" s="27"/>
      <c r="B487" s="32"/>
      <c r="C487" s="32"/>
      <c r="D487" s="31"/>
      <c r="E487" s="32"/>
      <c r="F487" s="32"/>
    </row>
    <row r="488" customFormat="false" ht="15" hidden="false" customHeight="false" outlineLevel="0" collapsed="false">
      <c r="A488" s="27"/>
      <c r="B488" s="32"/>
      <c r="C488" s="32"/>
      <c r="D488" s="31"/>
      <c r="E488" s="32"/>
      <c r="F488" s="32"/>
    </row>
    <row r="489" customFormat="false" ht="15" hidden="false" customHeight="false" outlineLevel="0" collapsed="false">
      <c r="A489" s="27"/>
      <c r="B489" s="32"/>
      <c r="C489" s="32"/>
      <c r="D489" s="31"/>
      <c r="E489" s="32"/>
      <c r="F489" s="32"/>
    </row>
    <row r="490" customFormat="false" ht="15" hidden="false" customHeight="false" outlineLevel="0" collapsed="false">
      <c r="A490" s="27"/>
      <c r="B490" s="32"/>
      <c r="C490" s="32"/>
      <c r="D490" s="31"/>
      <c r="E490" s="32"/>
      <c r="F490" s="32"/>
    </row>
    <row r="491" customFormat="false" ht="15" hidden="false" customHeight="false" outlineLevel="0" collapsed="false">
      <c r="A491" s="27"/>
      <c r="B491" s="32"/>
      <c r="C491" s="32"/>
      <c r="D491" s="31"/>
      <c r="E491" s="32"/>
      <c r="F491" s="32"/>
    </row>
    <row r="492" customFormat="false" ht="15" hidden="false" customHeight="false" outlineLevel="0" collapsed="false">
      <c r="A492" s="27"/>
      <c r="B492" s="32"/>
      <c r="C492" s="32"/>
      <c r="D492" s="31"/>
      <c r="E492" s="32"/>
      <c r="F492" s="32"/>
    </row>
    <row r="493" customFormat="false" ht="15" hidden="false" customHeight="false" outlineLevel="0" collapsed="false">
      <c r="A493" s="27"/>
      <c r="B493" s="32"/>
      <c r="C493" s="32"/>
      <c r="D493" s="31"/>
      <c r="E493" s="32"/>
      <c r="F493" s="32"/>
    </row>
    <row r="494" customFormat="false" ht="15" hidden="false" customHeight="false" outlineLevel="0" collapsed="false">
      <c r="A494" s="27"/>
      <c r="B494" s="32"/>
      <c r="C494" s="32"/>
      <c r="D494" s="31"/>
      <c r="E494" s="32"/>
      <c r="F494" s="32"/>
    </row>
    <row r="495" customFormat="false" ht="15" hidden="false" customHeight="false" outlineLevel="0" collapsed="false">
      <c r="A495" s="27"/>
      <c r="B495" s="32"/>
      <c r="C495" s="32"/>
      <c r="D495" s="31"/>
      <c r="E495" s="32"/>
      <c r="F495" s="32"/>
    </row>
    <row r="496" customFormat="false" ht="15" hidden="false" customHeight="false" outlineLevel="0" collapsed="false">
      <c r="A496" s="27"/>
      <c r="B496" s="32"/>
      <c r="C496" s="32"/>
      <c r="D496" s="31"/>
      <c r="E496" s="32"/>
      <c r="F496" s="32"/>
    </row>
    <row r="497" customFormat="false" ht="15" hidden="false" customHeight="false" outlineLevel="0" collapsed="false">
      <c r="A497" s="27"/>
      <c r="B497" s="32"/>
      <c r="C497" s="32"/>
      <c r="D497" s="31"/>
      <c r="E497" s="32"/>
      <c r="F497" s="32"/>
    </row>
    <row r="498" customFormat="false" ht="15" hidden="false" customHeight="false" outlineLevel="0" collapsed="false">
      <c r="A498" s="27"/>
      <c r="B498" s="32"/>
      <c r="C498" s="32"/>
      <c r="D498" s="31"/>
      <c r="E498" s="32"/>
      <c r="F498" s="32"/>
    </row>
    <row r="499" customFormat="false" ht="15" hidden="false" customHeight="false" outlineLevel="0" collapsed="false">
      <c r="A499" s="27"/>
      <c r="B499" s="32"/>
      <c r="C499" s="32"/>
      <c r="D499" s="31"/>
      <c r="E499" s="32"/>
      <c r="F499" s="32"/>
    </row>
    <row r="500" customFormat="false" ht="15" hidden="false" customHeight="false" outlineLevel="0" collapsed="false">
      <c r="A500" s="27"/>
      <c r="B500" s="32"/>
      <c r="C500" s="32"/>
      <c r="D500" s="31"/>
      <c r="E500" s="32"/>
      <c r="F500" s="32"/>
    </row>
    <row r="501" customFormat="false" ht="15" hidden="false" customHeight="false" outlineLevel="0" collapsed="false">
      <c r="A501" s="27"/>
      <c r="B501" s="32"/>
      <c r="C501" s="32"/>
      <c r="D501" s="31"/>
      <c r="E501" s="32"/>
      <c r="F501" s="32"/>
    </row>
    <row r="502" customFormat="false" ht="15" hidden="false" customHeight="false" outlineLevel="0" collapsed="false">
      <c r="A502" s="27"/>
      <c r="B502" s="32"/>
      <c r="C502" s="32"/>
      <c r="D502" s="31"/>
      <c r="E502" s="32"/>
      <c r="F502" s="32"/>
    </row>
    <row r="503" customFormat="false" ht="15" hidden="false" customHeight="false" outlineLevel="0" collapsed="false">
      <c r="A503" s="27"/>
      <c r="B503" s="32"/>
      <c r="C503" s="32"/>
      <c r="D503" s="31"/>
      <c r="E503" s="32"/>
      <c r="F503" s="32"/>
    </row>
    <row r="504" customFormat="false" ht="15" hidden="false" customHeight="false" outlineLevel="0" collapsed="false">
      <c r="A504" s="27"/>
      <c r="B504" s="32"/>
      <c r="C504" s="32"/>
      <c r="D504" s="31"/>
      <c r="E504" s="32"/>
      <c r="F504" s="32"/>
    </row>
  </sheetData>
  <dataValidations count="2">
    <dataValidation allowBlank="true" errorStyle="stop" operator="between" showDropDown="false" showErrorMessage="false" showInputMessage="false" sqref="B5:B504" type="list">
      <formula1>Listas!$D$5:$D$30</formula1>
      <formula2>0</formula2>
    </dataValidation>
    <dataValidation allowBlank="true" errorStyle="stop" operator="between" prompt="Opcional: código do trabalho (aba Trabalhos)." promptTitle="Dica" showDropDown="false" showErrorMessage="false" showInputMessage="true" sqref="E5:E504" type="list">
      <formula1>Trabalhos!$A$5:$A$504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2E24"/>
    <pageSetUpPr fitToPage="fals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1.5" hidden="false" customHeight="true" outlineLevel="0" collapsed="false">
      <c r="A4" s="10" t="s">
        <v>187</v>
      </c>
      <c r="B4" s="10" t="s">
        <v>173</v>
      </c>
      <c r="C4" s="10" t="s">
        <v>188</v>
      </c>
      <c r="D4" s="10" t="s">
        <v>162</v>
      </c>
      <c r="E4" s="10" t="s">
        <v>189</v>
      </c>
      <c r="F4" s="10" t="s">
        <v>190</v>
      </c>
      <c r="G4" s="10" t="s">
        <v>106</v>
      </c>
    </row>
    <row r="5" customFormat="false" ht="15" hidden="false" customHeight="false" outlineLevel="0" collapsed="false">
      <c r="A5" s="32" t="s">
        <v>191</v>
      </c>
      <c r="B5" s="32" t="s">
        <v>192</v>
      </c>
      <c r="C5" s="27" t="n">
        <v>45971</v>
      </c>
      <c r="D5" s="31" t="n">
        <v>7000</v>
      </c>
      <c r="E5" s="32" t="s">
        <v>193</v>
      </c>
      <c r="F5" s="32" t="s">
        <v>194</v>
      </c>
      <c r="G5" s="32" t="s">
        <v>112</v>
      </c>
    </row>
    <row r="6" customFormat="false" ht="15" hidden="false" customHeight="false" outlineLevel="0" collapsed="false">
      <c r="A6" s="32" t="s">
        <v>195</v>
      </c>
      <c r="B6" s="32" t="s">
        <v>196</v>
      </c>
      <c r="C6" s="27" t="n">
        <v>45971</v>
      </c>
      <c r="D6" s="31" t="n">
        <v>900</v>
      </c>
      <c r="E6" s="32" t="s">
        <v>197</v>
      </c>
      <c r="F6" s="32" t="s">
        <v>194</v>
      </c>
      <c r="G6" s="32" t="s">
        <v>112</v>
      </c>
    </row>
    <row r="7" customFormat="false" ht="15" hidden="false" customHeight="false" outlineLevel="0" collapsed="false">
      <c r="A7" s="32" t="s">
        <v>198</v>
      </c>
      <c r="B7" s="32" t="s">
        <v>199</v>
      </c>
      <c r="C7" s="27" t="n">
        <v>46058</v>
      </c>
      <c r="D7" s="31" t="n">
        <v>650</v>
      </c>
      <c r="E7" s="32" t="s">
        <v>200</v>
      </c>
      <c r="F7" s="32" t="s">
        <v>194</v>
      </c>
      <c r="G7" s="32" t="s">
        <v>112</v>
      </c>
    </row>
    <row r="8" customFormat="false" ht="15" hidden="false" customHeight="false" outlineLevel="0" collapsed="false">
      <c r="A8" s="32" t="s">
        <v>201</v>
      </c>
      <c r="B8" s="32" t="s">
        <v>202</v>
      </c>
      <c r="C8" s="27" t="n">
        <v>46160</v>
      </c>
      <c r="D8" s="31" t="n">
        <v>350</v>
      </c>
      <c r="E8" s="32" t="s">
        <v>197</v>
      </c>
      <c r="F8" s="32" t="s">
        <v>194</v>
      </c>
      <c r="G8" s="32" t="s">
        <v>112</v>
      </c>
    </row>
    <row r="9" customFormat="false" ht="15" hidden="false" customHeight="false" outlineLevel="0" collapsed="false">
      <c r="A9" s="32"/>
      <c r="B9" s="32"/>
      <c r="C9" s="27"/>
      <c r="D9" s="31"/>
      <c r="E9" s="32"/>
      <c r="F9" s="32"/>
      <c r="G9" s="32"/>
    </row>
    <row r="10" customFormat="false" ht="15" hidden="false" customHeight="false" outlineLevel="0" collapsed="false">
      <c r="A10" s="32"/>
      <c r="B10" s="32"/>
      <c r="C10" s="27"/>
      <c r="D10" s="31"/>
      <c r="E10" s="32"/>
      <c r="F10" s="32"/>
      <c r="G10" s="32"/>
    </row>
    <row r="11" customFormat="false" ht="15" hidden="false" customHeight="false" outlineLevel="0" collapsed="false">
      <c r="A11" s="32"/>
      <c r="B11" s="32"/>
      <c r="C11" s="27"/>
      <c r="D11" s="31"/>
      <c r="E11" s="32"/>
      <c r="F11" s="32"/>
      <c r="G11" s="32"/>
    </row>
    <row r="12" customFormat="false" ht="15" hidden="false" customHeight="false" outlineLevel="0" collapsed="false">
      <c r="A12" s="32"/>
      <c r="B12" s="32"/>
      <c r="C12" s="27"/>
      <c r="D12" s="31"/>
      <c r="E12" s="32"/>
      <c r="F12" s="32"/>
      <c r="G12" s="32"/>
    </row>
    <row r="13" customFormat="false" ht="15" hidden="false" customHeight="false" outlineLevel="0" collapsed="false">
      <c r="A13" s="32"/>
      <c r="B13" s="32"/>
      <c r="C13" s="27"/>
      <c r="D13" s="31"/>
      <c r="E13" s="32"/>
      <c r="F13" s="32"/>
      <c r="G13" s="32"/>
    </row>
    <row r="14" customFormat="false" ht="15" hidden="false" customHeight="false" outlineLevel="0" collapsed="false">
      <c r="A14" s="32"/>
      <c r="B14" s="32"/>
      <c r="C14" s="27"/>
      <c r="D14" s="31"/>
      <c r="E14" s="32"/>
      <c r="F14" s="32"/>
      <c r="G14" s="32"/>
    </row>
    <row r="15" customFormat="false" ht="15" hidden="false" customHeight="false" outlineLevel="0" collapsed="false">
      <c r="A15" s="32"/>
      <c r="B15" s="32"/>
      <c r="C15" s="27"/>
      <c r="D15" s="31"/>
      <c r="E15" s="32"/>
      <c r="F15" s="32"/>
      <c r="G15" s="32"/>
    </row>
    <row r="16" customFormat="false" ht="15" hidden="false" customHeight="false" outlineLevel="0" collapsed="false">
      <c r="A16" s="32"/>
      <c r="B16" s="32"/>
      <c r="C16" s="27"/>
      <c r="D16" s="31"/>
      <c r="E16" s="32"/>
      <c r="F16" s="32"/>
      <c r="G16" s="32"/>
    </row>
    <row r="17" customFormat="false" ht="15" hidden="false" customHeight="false" outlineLevel="0" collapsed="false">
      <c r="A17" s="32"/>
      <c r="B17" s="32"/>
      <c r="C17" s="27"/>
      <c r="D17" s="31"/>
      <c r="E17" s="32"/>
      <c r="F17" s="32"/>
      <c r="G17" s="32"/>
    </row>
    <row r="18" customFormat="false" ht="15" hidden="false" customHeight="false" outlineLevel="0" collapsed="false">
      <c r="A18" s="32"/>
      <c r="B18" s="32"/>
      <c r="C18" s="27"/>
      <c r="D18" s="31"/>
      <c r="E18" s="32"/>
      <c r="F18" s="32"/>
      <c r="G18" s="32"/>
    </row>
    <row r="19" customFormat="false" ht="15" hidden="false" customHeight="false" outlineLevel="0" collapsed="false">
      <c r="A19" s="32"/>
      <c r="B19" s="32"/>
      <c r="C19" s="27"/>
      <c r="D19" s="31"/>
      <c r="E19" s="32"/>
      <c r="F19" s="32"/>
      <c r="G19" s="32"/>
    </row>
    <row r="20" customFormat="false" ht="15" hidden="false" customHeight="false" outlineLevel="0" collapsed="false">
      <c r="A20" s="32"/>
      <c r="B20" s="32"/>
      <c r="C20" s="27"/>
      <c r="D20" s="31"/>
      <c r="E20" s="32"/>
      <c r="F20" s="32"/>
      <c r="G20" s="32"/>
    </row>
    <row r="21" customFormat="false" ht="15" hidden="false" customHeight="false" outlineLevel="0" collapsed="false">
      <c r="A21" s="32"/>
      <c r="B21" s="32"/>
      <c r="C21" s="27"/>
      <c r="D21" s="31"/>
      <c r="E21" s="32"/>
      <c r="F21" s="32"/>
      <c r="G21" s="32"/>
    </row>
    <row r="22" customFormat="false" ht="15" hidden="false" customHeight="false" outlineLevel="0" collapsed="false">
      <c r="A22" s="32"/>
      <c r="B22" s="32"/>
      <c r="C22" s="27"/>
      <c r="D22" s="31"/>
      <c r="E22" s="32"/>
      <c r="F22" s="32"/>
      <c r="G22" s="32"/>
    </row>
    <row r="23" customFormat="false" ht="15" hidden="false" customHeight="false" outlineLevel="0" collapsed="false">
      <c r="A23" s="32"/>
      <c r="B23" s="32"/>
      <c r="C23" s="27"/>
      <c r="D23" s="31"/>
      <c r="E23" s="32"/>
      <c r="F23" s="32"/>
      <c r="G23" s="32"/>
    </row>
    <row r="24" customFormat="false" ht="15" hidden="false" customHeight="false" outlineLevel="0" collapsed="false">
      <c r="A24" s="32"/>
      <c r="B24" s="32"/>
      <c r="C24" s="27"/>
      <c r="D24" s="31"/>
      <c r="E24" s="32"/>
      <c r="F24" s="32"/>
      <c r="G24" s="32"/>
    </row>
    <row r="25" customFormat="false" ht="15" hidden="false" customHeight="false" outlineLevel="0" collapsed="false">
      <c r="A25" s="32"/>
      <c r="B25" s="32"/>
      <c r="C25" s="27"/>
      <c r="D25" s="31"/>
      <c r="E25" s="32"/>
      <c r="F25" s="32"/>
      <c r="G25" s="32"/>
    </row>
    <row r="26" customFormat="false" ht="15" hidden="false" customHeight="false" outlineLevel="0" collapsed="false">
      <c r="A26" s="32"/>
      <c r="B26" s="32"/>
      <c r="C26" s="27"/>
      <c r="D26" s="31"/>
      <c r="E26" s="32"/>
      <c r="F26" s="32"/>
      <c r="G26" s="32"/>
    </row>
    <row r="27" customFormat="false" ht="15" hidden="false" customHeight="false" outlineLevel="0" collapsed="false">
      <c r="A27" s="32"/>
      <c r="B27" s="32"/>
      <c r="C27" s="27"/>
      <c r="D27" s="31"/>
      <c r="E27" s="32"/>
      <c r="F27" s="32"/>
      <c r="G27" s="32"/>
    </row>
    <row r="28" customFormat="false" ht="15" hidden="false" customHeight="false" outlineLevel="0" collapsed="false">
      <c r="A28" s="32"/>
      <c r="B28" s="32"/>
      <c r="C28" s="27"/>
      <c r="D28" s="31"/>
      <c r="E28" s="32"/>
      <c r="F28" s="32"/>
      <c r="G28" s="32"/>
    </row>
    <row r="29" customFormat="false" ht="15" hidden="false" customHeight="false" outlineLevel="0" collapsed="false">
      <c r="A29" s="32"/>
      <c r="B29" s="32"/>
      <c r="C29" s="27"/>
      <c r="D29" s="31"/>
      <c r="E29" s="32"/>
      <c r="F29" s="32"/>
      <c r="G29" s="32"/>
    </row>
    <row r="30" customFormat="false" ht="15" hidden="false" customHeight="false" outlineLevel="0" collapsed="false">
      <c r="A30" s="32"/>
      <c r="B30" s="32"/>
      <c r="C30" s="27"/>
      <c r="D30" s="31"/>
      <c r="E30" s="32"/>
      <c r="F30" s="32"/>
      <c r="G30" s="32"/>
    </row>
    <row r="31" customFormat="false" ht="15" hidden="false" customHeight="false" outlineLevel="0" collapsed="false">
      <c r="A31" s="32"/>
      <c r="B31" s="32"/>
      <c r="C31" s="27"/>
      <c r="D31" s="31"/>
      <c r="E31" s="32"/>
      <c r="F31" s="32"/>
      <c r="G31" s="32"/>
    </row>
    <row r="32" customFormat="false" ht="15" hidden="false" customHeight="false" outlineLevel="0" collapsed="false">
      <c r="A32" s="32"/>
      <c r="B32" s="32"/>
      <c r="C32" s="27"/>
      <c r="D32" s="31"/>
      <c r="E32" s="32"/>
      <c r="F32" s="32"/>
      <c r="G32" s="32"/>
    </row>
    <row r="33" customFormat="false" ht="15" hidden="false" customHeight="false" outlineLevel="0" collapsed="false">
      <c r="A33" s="32"/>
      <c r="B33" s="32"/>
      <c r="C33" s="27"/>
      <c r="D33" s="31"/>
      <c r="E33" s="32"/>
      <c r="F33" s="32"/>
      <c r="G33" s="32"/>
    </row>
    <row r="34" customFormat="false" ht="15" hidden="false" customHeight="false" outlineLevel="0" collapsed="false">
      <c r="A34" s="32"/>
      <c r="B34" s="32"/>
      <c r="C34" s="27"/>
      <c r="D34" s="31"/>
      <c r="E34" s="32"/>
      <c r="F34" s="32"/>
      <c r="G34" s="32"/>
    </row>
    <row r="35" customFormat="false" ht="15" hidden="false" customHeight="false" outlineLevel="0" collapsed="false">
      <c r="A35" s="32"/>
      <c r="B35" s="32"/>
      <c r="C35" s="27"/>
      <c r="D35" s="31"/>
      <c r="E35" s="32"/>
      <c r="F35" s="32"/>
      <c r="G35" s="32"/>
    </row>
    <row r="36" customFormat="false" ht="15" hidden="false" customHeight="false" outlineLevel="0" collapsed="false">
      <c r="A36" s="32"/>
      <c r="B36" s="32"/>
      <c r="C36" s="27"/>
      <c r="D36" s="31"/>
      <c r="E36" s="32"/>
      <c r="F36" s="32"/>
      <c r="G36" s="32"/>
    </row>
    <row r="37" customFormat="false" ht="15" hidden="false" customHeight="false" outlineLevel="0" collapsed="false">
      <c r="A37" s="32"/>
      <c r="B37" s="32"/>
      <c r="C37" s="27"/>
      <c r="D37" s="31"/>
      <c r="E37" s="32"/>
      <c r="F37" s="32"/>
      <c r="G37" s="32"/>
    </row>
    <row r="38" customFormat="false" ht="15" hidden="false" customHeight="false" outlineLevel="0" collapsed="false">
      <c r="A38" s="32"/>
      <c r="B38" s="32"/>
      <c r="C38" s="27"/>
      <c r="D38" s="31"/>
      <c r="E38" s="32"/>
      <c r="F38" s="32"/>
      <c r="G38" s="32"/>
    </row>
    <row r="39" customFormat="false" ht="15" hidden="false" customHeight="false" outlineLevel="0" collapsed="false">
      <c r="A39" s="32"/>
      <c r="B39" s="32"/>
      <c r="C39" s="27"/>
      <c r="D39" s="31"/>
      <c r="E39" s="32"/>
      <c r="F39" s="32"/>
      <c r="G39" s="32"/>
    </row>
    <row r="40" customFormat="false" ht="15" hidden="false" customHeight="false" outlineLevel="0" collapsed="false">
      <c r="A40" s="32"/>
      <c r="B40" s="32"/>
      <c r="C40" s="27"/>
      <c r="D40" s="31"/>
      <c r="E40" s="32"/>
      <c r="F40" s="32"/>
      <c r="G40" s="32"/>
    </row>
    <row r="41" customFormat="false" ht="15" hidden="false" customHeight="false" outlineLevel="0" collapsed="false">
      <c r="A41" s="32"/>
      <c r="B41" s="32"/>
      <c r="C41" s="27"/>
      <c r="D41" s="31"/>
      <c r="E41" s="32"/>
      <c r="F41" s="32"/>
      <c r="G41" s="32"/>
    </row>
    <row r="42" customFormat="false" ht="15" hidden="false" customHeight="false" outlineLevel="0" collapsed="false">
      <c r="A42" s="32"/>
      <c r="B42" s="32"/>
      <c r="C42" s="27"/>
      <c r="D42" s="31"/>
      <c r="E42" s="32"/>
      <c r="F42" s="32"/>
      <c r="G42" s="32"/>
    </row>
    <row r="43" customFormat="false" ht="15" hidden="false" customHeight="false" outlineLevel="0" collapsed="false">
      <c r="A43" s="32"/>
      <c r="B43" s="32"/>
      <c r="C43" s="27"/>
      <c r="D43" s="31"/>
      <c r="E43" s="32"/>
      <c r="F43" s="32"/>
      <c r="G43" s="32"/>
    </row>
    <row r="44" customFormat="false" ht="15" hidden="false" customHeight="false" outlineLevel="0" collapsed="false">
      <c r="A44" s="32"/>
      <c r="B44" s="32"/>
      <c r="C44" s="27"/>
      <c r="D44" s="31"/>
      <c r="E44" s="32"/>
      <c r="F44" s="32"/>
      <c r="G44" s="32"/>
    </row>
    <row r="45" customFormat="false" ht="15" hidden="false" customHeight="false" outlineLevel="0" collapsed="false">
      <c r="A45" s="32"/>
      <c r="B45" s="32"/>
      <c r="C45" s="27"/>
      <c r="D45" s="31"/>
      <c r="E45" s="32"/>
      <c r="F45" s="32"/>
      <c r="G45" s="32"/>
    </row>
    <row r="46" customFormat="false" ht="15" hidden="false" customHeight="false" outlineLevel="0" collapsed="false">
      <c r="A46" s="32"/>
      <c r="B46" s="32"/>
      <c r="C46" s="27"/>
      <c r="D46" s="31"/>
      <c r="E46" s="32"/>
      <c r="F46" s="32"/>
      <c r="G46" s="32"/>
    </row>
    <row r="47" customFormat="false" ht="15" hidden="false" customHeight="false" outlineLevel="0" collapsed="false">
      <c r="A47" s="32"/>
      <c r="B47" s="32"/>
      <c r="C47" s="27"/>
      <c r="D47" s="31"/>
      <c r="E47" s="32"/>
      <c r="F47" s="32"/>
      <c r="G47" s="32"/>
    </row>
    <row r="48" customFormat="false" ht="15" hidden="false" customHeight="false" outlineLevel="0" collapsed="false">
      <c r="A48" s="32"/>
      <c r="B48" s="32"/>
      <c r="C48" s="27"/>
      <c r="D48" s="31"/>
      <c r="E48" s="32"/>
      <c r="F48" s="32"/>
      <c r="G48" s="32"/>
    </row>
    <row r="49" customFormat="false" ht="15" hidden="false" customHeight="false" outlineLevel="0" collapsed="false">
      <c r="A49" s="32"/>
      <c r="B49" s="32"/>
      <c r="C49" s="27"/>
      <c r="D49" s="31"/>
      <c r="E49" s="32"/>
      <c r="F49" s="32"/>
      <c r="G49" s="32"/>
    </row>
    <row r="50" customFormat="false" ht="15" hidden="false" customHeight="false" outlineLevel="0" collapsed="false">
      <c r="A50" s="32"/>
      <c r="B50" s="32"/>
      <c r="C50" s="27"/>
      <c r="D50" s="31"/>
      <c r="E50" s="32"/>
      <c r="F50" s="32"/>
      <c r="G50" s="32"/>
    </row>
    <row r="51" customFormat="false" ht="15" hidden="false" customHeight="false" outlineLevel="0" collapsed="false">
      <c r="A51" s="32"/>
      <c r="B51" s="32"/>
      <c r="C51" s="27"/>
      <c r="D51" s="31"/>
      <c r="E51" s="32"/>
      <c r="F51" s="32"/>
      <c r="G51" s="32"/>
    </row>
    <row r="52" customFormat="false" ht="15" hidden="false" customHeight="false" outlineLevel="0" collapsed="false">
      <c r="A52" s="32"/>
      <c r="B52" s="32"/>
      <c r="C52" s="27"/>
      <c r="D52" s="31"/>
      <c r="E52" s="32"/>
      <c r="F52" s="32"/>
      <c r="G52" s="32"/>
    </row>
    <row r="53" customFormat="false" ht="15" hidden="false" customHeight="false" outlineLevel="0" collapsed="false">
      <c r="A53" s="32"/>
      <c r="B53" s="32"/>
      <c r="C53" s="27"/>
      <c r="D53" s="31"/>
      <c r="E53" s="32"/>
      <c r="F53" s="32"/>
      <c r="G53" s="32"/>
    </row>
    <row r="54" customFormat="false" ht="15" hidden="false" customHeight="false" outlineLevel="0" collapsed="false">
      <c r="A54" s="32"/>
      <c r="B54" s="32"/>
      <c r="C54" s="27"/>
      <c r="D54" s="31"/>
      <c r="E54" s="32"/>
      <c r="F54" s="32"/>
      <c r="G54" s="32"/>
    </row>
    <row r="55" customFormat="false" ht="15" hidden="false" customHeight="false" outlineLevel="0" collapsed="false">
      <c r="A55" s="32"/>
      <c r="B55" s="32"/>
      <c r="C55" s="27"/>
      <c r="D55" s="31"/>
      <c r="E55" s="32"/>
      <c r="F55" s="32"/>
      <c r="G55" s="32"/>
    </row>
    <row r="56" customFormat="false" ht="15" hidden="false" customHeight="false" outlineLevel="0" collapsed="false">
      <c r="A56" s="32"/>
      <c r="B56" s="32"/>
      <c r="C56" s="27"/>
      <c r="D56" s="31"/>
      <c r="E56" s="32"/>
      <c r="F56" s="32"/>
      <c r="G56" s="32"/>
    </row>
    <row r="57" customFormat="false" ht="15" hidden="false" customHeight="false" outlineLevel="0" collapsed="false">
      <c r="A57" s="32"/>
      <c r="B57" s="32"/>
      <c r="C57" s="27"/>
      <c r="D57" s="31"/>
      <c r="E57" s="32"/>
      <c r="F57" s="32"/>
      <c r="G57" s="32"/>
    </row>
    <row r="58" customFormat="false" ht="15" hidden="false" customHeight="false" outlineLevel="0" collapsed="false">
      <c r="A58" s="32"/>
      <c r="B58" s="32"/>
      <c r="C58" s="27"/>
      <c r="D58" s="31"/>
      <c r="E58" s="32"/>
      <c r="F58" s="32"/>
      <c r="G58" s="32"/>
    </row>
    <row r="59" customFormat="false" ht="15" hidden="false" customHeight="false" outlineLevel="0" collapsed="false">
      <c r="A59" s="32"/>
      <c r="B59" s="32"/>
      <c r="C59" s="27"/>
      <c r="D59" s="31"/>
      <c r="E59" s="32"/>
      <c r="F59" s="32"/>
      <c r="G59" s="32"/>
    </row>
    <row r="60" customFormat="false" ht="15" hidden="false" customHeight="false" outlineLevel="0" collapsed="false">
      <c r="A60" s="32"/>
      <c r="B60" s="32"/>
      <c r="C60" s="27"/>
      <c r="D60" s="31"/>
      <c r="E60" s="32"/>
      <c r="F60" s="32"/>
      <c r="G60" s="32"/>
    </row>
    <row r="61" customFormat="false" ht="15" hidden="false" customHeight="false" outlineLevel="0" collapsed="false">
      <c r="A61" s="32"/>
      <c r="B61" s="32"/>
      <c r="C61" s="27"/>
      <c r="D61" s="31"/>
      <c r="E61" s="32"/>
      <c r="F61" s="32"/>
      <c r="G61" s="32"/>
    </row>
    <row r="62" customFormat="false" ht="15" hidden="false" customHeight="false" outlineLevel="0" collapsed="false">
      <c r="A62" s="32"/>
      <c r="B62" s="32"/>
      <c r="C62" s="27"/>
      <c r="D62" s="31"/>
      <c r="E62" s="32"/>
      <c r="F62" s="32"/>
      <c r="G62" s="32"/>
    </row>
    <row r="63" customFormat="false" ht="15" hidden="false" customHeight="false" outlineLevel="0" collapsed="false">
      <c r="A63" s="32"/>
      <c r="B63" s="32"/>
      <c r="C63" s="27"/>
      <c r="D63" s="31"/>
      <c r="E63" s="32"/>
      <c r="F63" s="32"/>
      <c r="G63" s="32"/>
    </row>
    <row r="64" customFormat="false" ht="15" hidden="false" customHeight="false" outlineLevel="0" collapsed="false">
      <c r="A64" s="32"/>
      <c r="B64" s="32"/>
      <c r="C64" s="27"/>
      <c r="D64" s="31"/>
      <c r="E64" s="32"/>
      <c r="F64" s="32"/>
      <c r="G64" s="32"/>
    </row>
    <row r="65" customFormat="false" ht="15" hidden="false" customHeight="false" outlineLevel="0" collapsed="false">
      <c r="A65" s="32"/>
      <c r="B65" s="32"/>
      <c r="C65" s="27"/>
      <c r="D65" s="31"/>
      <c r="E65" s="32"/>
      <c r="F65" s="32"/>
      <c r="G65" s="32"/>
    </row>
    <row r="66" customFormat="false" ht="15" hidden="false" customHeight="false" outlineLevel="0" collapsed="false">
      <c r="A66" s="32"/>
      <c r="B66" s="32"/>
      <c r="C66" s="27"/>
      <c r="D66" s="31"/>
      <c r="E66" s="32"/>
      <c r="F66" s="32"/>
      <c r="G66" s="32"/>
    </row>
    <row r="67" customFormat="false" ht="15" hidden="false" customHeight="false" outlineLevel="0" collapsed="false">
      <c r="A67" s="32"/>
      <c r="B67" s="32"/>
      <c r="C67" s="27"/>
      <c r="D67" s="31"/>
      <c r="E67" s="32"/>
      <c r="F67" s="32"/>
      <c r="G67" s="32"/>
    </row>
    <row r="68" customFormat="false" ht="15" hidden="false" customHeight="false" outlineLevel="0" collapsed="false">
      <c r="A68" s="32"/>
      <c r="B68" s="32"/>
      <c r="C68" s="27"/>
      <c r="D68" s="31"/>
      <c r="E68" s="32"/>
      <c r="F68" s="32"/>
      <c r="G68" s="32"/>
    </row>
    <row r="69" customFormat="false" ht="15" hidden="false" customHeight="false" outlineLevel="0" collapsed="false">
      <c r="A69" s="32"/>
      <c r="B69" s="32"/>
      <c r="C69" s="27"/>
      <c r="D69" s="31"/>
      <c r="E69" s="32"/>
      <c r="F69" s="32"/>
      <c r="G69" s="32"/>
    </row>
    <row r="70" customFormat="false" ht="15" hidden="false" customHeight="false" outlineLevel="0" collapsed="false">
      <c r="A70" s="32"/>
      <c r="B70" s="32"/>
      <c r="C70" s="27"/>
      <c r="D70" s="31"/>
      <c r="E70" s="32"/>
      <c r="F70" s="32"/>
      <c r="G70" s="32"/>
    </row>
    <row r="71" customFormat="false" ht="15" hidden="false" customHeight="false" outlineLevel="0" collapsed="false">
      <c r="A71" s="32"/>
      <c r="B71" s="32"/>
      <c r="C71" s="27"/>
      <c r="D71" s="31"/>
      <c r="E71" s="32"/>
      <c r="F71" s="32"/>
      <c r="G71" s="32"/>
    </row>
    <row r="72" customFormat="false" ht="15" hidden="false" customHeight="false" outlineLevel="0" collapsed="false">
      <c r="A72" s="32"/>
      <c r="B72" s="32"/>
      <c r="C72" s="27"/>
      <c r="D72" s="31"/>
      <c r="E72" s="32"/>
      <c r="F72" s="32"/>
      <c r="G72" s="32"/>
    </row>
    <row r="73" customFormat="false" ht="15" hidden="false" customHeight="false" outlineLevel="0" collapsed="false">
      <c r="A73" s="32"/>
      <c r="B73" s="32"/>
      <c r="C73" s="27"/>
      <c r="D73" s="31"/>
      <c r="E73" s="32"/>
      <c r="F73" s="32"/>
      <c r="G73" s="32"/>
    </row>
    <row r="74" customFormat="false" ht="15" hidden="false" customHeight="false" outlineLevel="0" collapsed="false">
      <c r="A74" s="32"/>
      <c r="B74" s="32"/>
      <c r="C74" s="27"/>
      <c r="D74" s="31"/>
      <c r="E74" s="32"/>
      <c r="F74" s="32"/>
      <c r="G74" s="32"/>
    </row>
    <row r="75" customFormat="false" ht="15" hidden="false" customHeight="false" outlineLevel="0" collapsed="false">
      <c r="A75" s="32"/>
      <c r="B75" s="32"/>
      <c r="C75" s="27"/>
      <c r="D75" s="31"/>
      <c r="E75" s="32"/>
      <c r="F75" s="32"/>
      <c r="G75" s="32"/>
    </row>
    <row r="76" customFormat="false" ht="15" hidden="false" customHeight="false" outlineLevel="0" collapsed="false">
      <c r="A76" s="32"/>
      <c r="B76" s="32"/>
      <c r="C76" s="27"/>
      <c r="D76" s="31"/>
      <c r="E76" s="32"/>
      <c r="F76" s="32"/>
      <c r="G76" s="32"/>
    </row>
    <row r="77" customFormat="false" ht="15" hidden="false" customHeight="false" outlineLevel="0" collapsed="false">
      <c r="A77" s="32"/>
      <c r="B77" s="32"/>
      <c r="C77" s="27"/>
      <c r="D77" s="31"/>
      <c r="E77" s="32"/>
      <c r="F77" s="32"/>
      <c r="G77" s="32"/>
    </row>
    <row r="78" customFormat="false" ht="15" hidden="false" customHeight="false" outlineLevel="0" collapsed="false">
      <c r="A78" s="32"/>
      <c r="B78" s="32"/>
      <c r="C78" s="27"/>
      <c r="D78" s="31"/>
      <c r="E78" s="32"/>
      <c r="F78" s="32"/>
      <c r="G78" s="32"/>
    </row>
    <row r="79" customFormat="false" ht="15" hidden="false" customHeight="false" outlineLevel="0" collapsed="false">
      <c r="A79" s="32"/>
      <c r="B79" s="32"/>
      <c r="C79" s="27"/>
      <c r="D79" s="31"/>
      <c r="E79" s="32"/>
      <c r="F79" s="32"/>
      <c r="G79" s="32"/>
    </row>
    <row r="80" customFormat="false" ht="15" hidden="false" customHeight="false" outlineLevel="0" collapsed="false">
      <c r="A80" s="32"/>
      <c r="B80" s="32"/>
      <c r="C80" s="27"/>
      <c r="D80" s="31"/>
      <c r="E80" s="32"/>
      <c r="F80" s="32"/>
      <c r="G80" s="32"/>
    </row>
    <row r="81" customFormat="false" ht="15" hidden="false" customHeight="false" outlineLevel="0" collapsed="false">
      <c r="A81" s="32"/>
      <c r="B81" s="32"/>
      <c r="C81" s="27"/>
      <c r="D81" s="31"/>
      <c r="E81" s="32"/>
      <c r="F81" s="32"/>
      <c r="G81" s="32"/>
    </row>
    <row r="82" customFormat="false" ht="15" hidden="false" customHeight="false" outlineLevel="0" collapsed="false">
      <c r="A82" s="32"/>
      <c r="B82" s="32"/>
      <c r="C82" s="27"/>
      <c r="D82" s="31"/>
      <c r="E82" s="32"/>
      <c r="F82" s="32"/>
      <c r="G82" s="32"/>
    </row>
    <row r="83" customFormat="false" ht="15" hidden="false" customHeight="false" outlineLevel="0" collapsed="false">
      <c r="A83" s="32"/>
      <c r="B83" s="32"/>
      <c r="C83" s="27"/>
      <c r="D83" s="31"/>
      <c r="E83" s="32"/>
      <c r="F83" s="32"/>
      <c r="G83" s="32"/>
    </row>
    <row r="84" customFormat="false" ht="15" hidden="false" customHeight="false" outlineLevel="0" collapsed="false">
      <c r="A84" s="32"/>
      <c r="B84" s="32"/>
      <c r="C84" s="27"/>
      <c r="D84" s="31"/>
      <c r="E84" s="32"/>
      <c r="F84" s="32"/>
      <c r="G84" s="32"/>
    </row>
    <row r="85" customFormat="false" ht="15" hidden="false" customHeight="false" outlineLevel="0" collapsed="false">
      <c r="A85" s="32"/>
      <c r="B85" s="32"/>
      <c r="C85" s="27"/>
      <c r="D85" s="31"/>
      <c r="E85" s="32"/>
      <c r="F85" s="32"/>
      <c r="G85" s="32"/>
    </row>
    <row r="86" customFormat="false" ht="15" hidden="false" customHeight="false" outlineLevel="0" collapsed="false">
      <c r="A86" s="32"/>
      <c r="B86" s="32"/>
      <c r="C86" s="27"/>
      <c r="D86" s="31"/>
      <c r="E86" s="32"/>
      <c r="F86" s="32"/>
      <c r="G86" s="32"/>
    </row>
    <row r="87" customFormat="false" ht="15" hidden="false" customHeight="false" outlineLevel="0" collapsed="false">
      <c r="A87" s="32"/>
      <c r="B87" s="32"/>
      <c r="C87" s="27"/>
      <c r="D87" s="31"/>
      <c r="E87" s="32"/>
      <c r="F87" s="32"/>
      <c r="G87" s="32"/>
    </row>
    <row r="88" customFormat="false" ht="15" hidden="false" customHeight="false" outlineLevel="0" collapsed="false">
      <c r="A88" s="32"/>
      <c r="B88" s="32"/>
      <c r="C88" s="27"/>
      <c r="D88" s="31"/>
      <c r="E88" s="32"/>
      <c r="F88" s="32"/>
      <c r="G88" s="32"/>
    </row>
    <row r="89" customFormat="false" ht="15" hidden="false" customHeight="false" outlineLevel="0" collapsed="false">
      <c r="A89" s="32"/>
      <c r="B89" s="32"/>
      <c r="C89" s="27"/>
      <c r="D89" s="31"/>
      <c r="E89" s="32"/>
      <c r="F89" s="32"/>
      <c r="G89" s="32"/>
    </row>
    <row r="90" customFormat="false" ht="15" hidden="false" customHeight="false" outlineLevel="0" collapsed="false">
      <c r="A90" s="32"/>
      <c r="B90" s="32"/>
      <c r="C90" s="27"/>
      <c r="D90" s="31"/>
      <c r="E90" s="32"/>
      <c r="F90" s="32"/>
      <c r="G90" s="32"/>
    </row>
    <row r="91" customFormat="false" ht="15" hidden="false" customHeight="false" outlineLevel="0" collapsed="false">
      <c r="A91" s="32"/>
      <c r="B91" s="32"/>
      <c r="C91" s="27"/>
      <c r="D91" s="31"/>
      <c r="E91" s="32"/>
      <c r="F91" s="32"/>
      <c r="G91" s="32"/>
    </row>
    <row r="92" customFormat="false" ht="15" hidden="false" customHeight="false" outlineLevel="0" collapsed="false">
      <c r="A92" s="32"/>
      <c r="B92" s="32"/>
      <c r="C92" s="27"/>
      <c r="D92" s="31"/>
      <c r="E92" s="32"/>
      <c r="F92" s="32"/>
      <c r="G92" s="32"/>
    </row>
    <row r="93" customFormat="false" ht="15" hidden="false" customHeight="false" outlineLevel="0" collapsed="false">
      <c r="A93" s="32"/>
      <c r="B93" s="32"/>
      <c r="C93" s="27"/>
      <c r="D93" s="31"/>
      <c r="E93" s="32"/>
      <c r="F93" s="32"/>
      <c r="G93" s="32"/>
    </row>
    <row r="94" customFormat="false" ht="15" hidden="false" customHeight="false" outlineLevel="0" collapsed="false">
      <c r="A94" s="32"/>
      <c r="B94" s="32"/>
      <c r="C94" s="27"/>
      <c r="D94" s="31"/>
      <c r="E94" s="32"/>
      <c r="F94" s="32"/>
      <c r="G94" s="32"/>
    </row>
    <row r="95" customFormat="false" ht="15" hidden="false" customHeight="false" outlineLevel="0" collapsed="false">
      <c r="A95" s="32"/>
      <c r="B95" s="32"/>
      <c r="C95" s="27"/>
      <c r="D95" s="31"/>
      <c r="E95" s="32"/>
      <c r="F95" s="32"/>
      <c r="G95" s="32"/>
    </row>
    <row r="96" customFormat="false" ht="15" hidden="false" customHeight="false" outlineLevel="0" collapsed="false">
      <c r="A96" s="32"/>
      <c r="B96" s="32"/>
      <c r="C96" s="27"/>
      <c r="D96" s="31"/>
      <c r="E96" s="32"/>
      <c r="F96" s="32"/>
      <c r="G96" s="32"/>
    </row>
    <row r="97" customFormat="false" ht="15" hidden="false" customHeight="false" outlineLevel="0" collapsed="false">
      <c r="A97" s="32"/>
      <c r="B97" s="32"/>
      <c r="C97" s="27"/>
      <c r="D97" s="31"/>
      <c r="E97" s="32"/>
      <c r="F97" s="32"/>
      <c r="G97" s="32"/>
    </row>
    <row r="98" customFormat="false" ht="15" hidden="false" customHeight="false" outlineLevel="0" collapsed="false">
      <c r="A98" s="32"/>
      <c r="B98" s="32"/>
      <c r="C98" s="27"/>
      <c r="D98" s="31"/>
      <c r="E98" s="32"/>
      <c r="F98" s="32"/>
      <c r="G98" s="32"/>
    </row>
    <row r="99" customFormat="false" ht="15" hidden="false" customHeight="false" outlineLevel="0" collapsed="false">
      <c r="A99" s="32"/>
      <c r="B99" s="32"/>
      <c r="C99" s="27"/>
      <c r="D99" s="31"/>
      <c r="E99" s="32"/>
      <c r="F99" s="32"/>
      <c r="G99" s="32"/>
    </row>
    <row r="100" customFormat="false" ht="15" hidden="false" customHeight="false" outlineLevel="0" collapsed="false">
      <c r="A100" s="32"/>
      <c r="B100" s="32"/>
      <c r="C100" s="27"/>
      <c r="D100" s="31"/>
      <c r="E100" s="32"/>
      <c r="F100" s="32"/>
      <c r="G100" s="32"/>
    </row>
    <row r="101" customFormat="false" ht="15" hidden="false" customHeight="false" outlineLevel="0" collapsed="false">
      <c r="A101" s="32"/>
      <c r="B101" s="32"/>
      <c r="C101" s="27"/>
      <c r="D101" s="31"/>
      <c r="E101" s="32"/>
      <c r="F101" s="32"/>
      <c r="G101" s="32"/>
    </row>
    <row r="102" customFormat="false" ht="15" hidden="false" customHeight="false" outlineLevel="0" collapsed="false">
      <c r="A102" s="32"/>
      <c r="B102" s="32"/>
      <c r="C102" s="27"/>
      <c r="D102" s="31"/>
      <c r="E102" s="32"/>
      <c r="F102" s="32"/>
      <c r="G102" s="32"/>
    </row>
    <row r="103" customFormat="false" ht="15" hidden="false" customHeight="false" outlineLevel="0" collapsed="false">
      <c r="A103" s="32"/>
      <c r="B103" s="32"/>
      <c r="C103" s="27"/>
      <c r="D103" s="31"/>
      <c r="E103" s="32"/>
      <c r="F103" s="32"/>
      <c r="G103" s="32"/>
    </row>
    <row r="104" customFormat="false" ht="15" hidden="false" customHeight="false" outlineLevel="0" collapsed="false">
      <c r="A104" s="32"/>
      <c r="B104" s="32"/>
      <c r="C104" s="27"/>
      <c r="D104" s="31"/>
      <c r="E104" s="32"/>
      <c r="F104" s="32"/>
      <c r="G104" s="32"/>
    </row>
    <row r="105" customFormat="false" ht="15" hidden="false" customHeight="false" outlineLevel="0" collapsed="false">
      <c r="A105" s="32"/>
      <c r="B105" s="32"/>
      <c r="C105" s="27"/>
      <c r="D105" s="31"/>
      <c r="E105" s="32"/>
      <c r="F105" s="32"/>
      <c r="G105" s="32"/>
    </row>
    <row r="106" customFormat="false" ht="15" hidden="false" customHeight="false" outlineLevel="0" collapsed="false">
      <c r="A106" s="32"/>
      <c r="B106" s="32"/>
      <c r="C106" s="27"/>
      <c r="D106" s="31"/>
      <c r="E106" s="32"/>
      <c r="F106" s="32"/>
      <c r="G106" s="32"/>
    </row>
    <row r="107" customFormat="false" ht="15" hidden="false" customHeight="false" outlineLevel="0" collapsed="false">
      <c r="A107" s="32"/>
      <c r="B107" s="32"/>
      <c r="C107" s="27"/>
      <c r="D107" s="31"/>
      <c r="E107" s="32"/>
      <c r="F107" s="32"/>
      <c r="G107" s="32"/>
    </row>
    <row r="108" customFormat="false" ht="15" hidden="false" customHeight="false" outlineLevel="0" collapsed="false">
      <c r="A108" s="32"/>
      <c r="B108" s="32"/>
      <c r="C108" s="27"/>
      <c r="D108" s="31"/>
      <c r="E108" s="32"/>
      <c r="F108" s="32"/>
      <c r="G108" s="32"/>
    </row>
    <row r="109" customFormat="false" ht="15" hidden="false" customHeight="false" outlineLevel="0" collapsed="false">
      <c r="A109" s="32"/>
      <c r="B109" s="32"/>
      <c r="C109" s="27"/>
      <c r="D109" s="31"/>
      <c r="E109" s="32"/>
      <c r="F109" s="32"/>
      <c r="G109" s="32"/>
    </row>
    <row r="110" customFormat="false" ht="15" hidden="false" customHeight="false" outlineLevel="0" collapsed="false">
      <c r="A110" s="32"/>
      <c r="B110" s="32"/>
      <c r="C110" s="27"/>
      <c r="D110" s="31"/>
      <c r="E110" s="32"/>
      <c r="F110" s="32"/>
      <c r="G110" s="32"/>
    </row>
    <row r="111" customFormat="false" ht="15" hidden="false" customHeight="false" outlineLevel="0" collapsed="false">
      <c r="A111" s="32"/>
      <c r="B111" s="32"/>
      <c r="C111" s="27"/>
      <c r="D111" s="31"/>
      <c r="E111" s="32"/>
      <c r="F111" s="32"/>
      <c r="G111" s="32"/>
    </row>
    <row r="112" customFormat="false" ht="15" hidden="false" customHeight="false" outlineLevel="0" collapsed="false">
      <c r="A112" s="32"/>
      <c r="B112" s="32"/>
      <c r="C112" s="27"/>
      <c r="D112" s="31"/>
      <c r="E112" s="32"/>
      <c r="F112" s="32"/>
      <c r="G112" s="32"/>
    </row>
    <row r="113" customFormat="false" ht="15" hidden="false" customHeight="false" outlineLevel="0" collapsed="false">
      <c r="A113" s="32"/>
      <c r="B113" s="32"/>
      <c r="C113" s="27"/>
      <c r="D113" s="31"/>
      <c r="E113" s="32"/>
      <c r="F113" s="32"/>
      <c r="G113" s="32"/>
    </row>
    <row r="114" customFormat="false" ht="15" hidden="false" customHeight="false" outlineLevel="0" collapsed="false">
      <c r="A114" s="32"/>
      <c r="B114" s="32"/>
      <c r="C114" s="27"/>
      <c r="D114" s="31"/>
      <c r="E114" s="32"/>
      <c r="F114" s="32"/>
      <c r="G114" s="32"/>
    </row>
    <row r="115" customFormat="false" ht="15" hidden="false" customHeight="false" outlineLevel="0" collapsed="false">
      <c r="A115" s="32"/>
      <c r="B115" s="32"/>
      <c r="C115" s="27"/>
      <c r="D115" s="31"/>
      <c r="E115" s="32"/>
      <c r="F115" s="32"/>
      <c r="G115" s="32"/>
    </row>
    <row r="116" customFormat="false" ht="15" hidden="false" customHeight="false" outlineLevel="0" collapsed="false">
      <c r="A116" s="32"/>
      <c r="B116" s="32"/>
      <c r="C116" s="27"/>
      <c r="D116" s="31"/>
      <c r="E116" s="32"/>
      <c r="F116" s="32"/>
      <c r="G116" s="32"/>
    </row>
    <row r="117" customFormat="false" ht="15" hidden="false" customHeight="false" outlineLevel="0" collapsed="false">
      <c r="A117" s="32"/>
      <c r="B117" s="32"/>
      <c r="C117" s="27"/>
      <c r="D117" s="31"/>
      <c r="E117" s="32"/>
      <c r="F117" s="32"/>
      <c r="G117" s="32"/>
    </row>
    <row r="118" customFormat="false" ht="15" hidden="false" customHeight="false" outlineLevel="0" collapsed="false">
      <c r="A118" s="32"/>
      <c r="B118" s="32"/>
      <c r="C118" s="27"/>
      <c r="D118" s="31"/>
      <c r="E118" s="32"/>
      <c r="F118" s="32"/>
      <c r="G118" s="32"/>
    </row>
    <row r="119" customFormat="false" ht="15" hidden="false" customHeight="false" outlineLevel="0" collapsed="false">
      <c r="A119" s="32"/>
      <c r="B119" s="32"/>
      <c r="C119" s="27"/>
      <c r="D119" s="31"/>
      <c r="E119" s="32"/>
      <c r="F119" s="32"/>
      <c r="G119" s="32"/>
    </row>
    <row r="120" customFormat="false" ht="15" hidden="false" customHeight="false" outlineLevel="0" collapsed="false">
      <c r="A120" s="32"/>
      <c r="B120" s="32"/>
      <c r="C120" s="27"/>
      <c r="D120" s="31"/>
      <c r="E120" s="32"/>
      <c r="F120" s="32"/>
      <c r="G120" s="32"/>
    </row>
    <row r="121" customFormat="false" ht="15" hidden="false" customHeight="false" outlineLevel="0" collapsed="false">
      <c r="A121" s="32"/>
      <c r="B121" s="32"/>
      <c r="C121" s="27"/>
      <c r="D121" s="31"/>
      <c r="E121" s="32"/>
      <c r="F121" s="32"/>
      <c r="G121" s="32"/>
    </row>
    <row r="122" customFormat="false" ht="15" hidden="false" customHeight="false" outlineLevel="0" collapsed="false">
      <c r="A122" s="32"/>
      <c r="B122" s="32"/>
      <c r="C122" s="27"/>
      <c r="D122" s="31"/>
      <c r="E122" s="32"/>
      <c r="F122" s="32"/>
      <c r="G122" s="32"/>
    </row>
    <row r="123" customFormat="false" ht="15" hidden="false" customHeight="false" outlineLevel="0" collapsed="false">
      <c r="A123" s="32"/>
      <c r="B123" s="32"/>
      <c r="C123" s="27"/>
      <c r="D123" s="31"/>
      <c r="E123" s="32"/>
      <c r="F123" s="32"/>
      <c r="G123" s="32"/>
    </row>
    <row r="124" customFormat="false" ht="15" hidden="false" customHeight="false" outlineLevel="0" collapsed="false">
      <c r="A124" s="32"/>
      <c r="B124" s="32"/>
      <c r="C124" s="27"/>
      <c r="D124" s="31"/>
      <c r="E124" s="32"/>
      <c r="F124" s="32"/>
      <c r="G124" s="32"/>
    </row>
    <row r="125" customFormat="false" ht="15" hidden="false" customHeight="false" outlineLevel="0" collapsed="false">
      <c r="A125" s="32"/>
      <c r="B125" s="32"/>
      <c r="C125" s="27"/>
      <c r="D125" s="31"/>
      <c r="E125" s="32"/>
      <c r="F125" s="32"/>
      <c r="G125" s="32"/>
    </row>
    <row r="126" customFormat="false" ht="15" hidden="false" customHeight="false" outlineLevel="0" collapsed="false">
      <c r="A126" s="32"/>
      <c r="B126" s="32"/>
      <c r="C126" s="27"/>
      <c r="D126" s="31"/>
      <c r="E126" s="32"/>
      <c r="F126" s="32"/>
      <c r="G126" s="32"/>
    </row>
    <row r="127" customFormat="false" ht="15" hidden="false" customHeight="false" outlineLevel="0" collapsed="false">
      <c r="A127" s="32"/>
      <c r="B127" s="32"/>
      <c r="C127" s="27"/>
      <c r="D127" s="31"/>
      <c r="E127" s="32"/>
      <c r="F127" s="32"/>
      <c r="G127" s="32"/>
    </row>
    <row r="128" customFormat="false" ht="15" hidden="false" customHeight="false" outlineLevel="0" collapsed="false">
      <c r="A128" s="32"/>
      <c r="B128" s="32"/>
      <c r="C128" s="27"/>
      <c r="D128" s="31"/>
      <c r="E128" s="32"/>
      <c r="F128" s="32"/>
      <c r="G128" s="32"/>
    </row>
    <row r="129" customFormat="false" ht="15" hidden="false" customHeight="false" outlineLevel="0" collapsed="false">
      <c r="A129" s="32"/>
      <c r="B129" s="32"/>
      <c r="C129" s="27"/>
      <c r="D129" s="31"/>
      <c r="E129" s="32"/>
      <c r="F129" s="32"/>
      <c r="G129" s="32"/>
    </row>
    <row r="130" customFormat="false" ht="15" hidden="false" customHeight="false" outlineLevel="0" collapsed="false">
      <c r="A130" s="32"/>
      <c r="B130" s="32"/>
      <c r="C130" s="27"/>
      <c r="D130" s="31"/>
      <c r="E130" s="32"/>
      <c r="F130" s="32"/>
      <c r="G130" s="32"/>
    </row>
    <row r="131" customFormat="false" ht="15" hidden="false" customHeight="false" outlineLevel="0" collapsed="false">
      <c r="A131" s="32"/>
      <c r="B131" s="32"/>
      <c r="C131" s="27"/>
      <c r="D131" s="31"/>
      <c r="E131" s="32"/>
      <c r="F131" s="32"/>
      <c r="G131" s="32"/>
    </row>
    <row r="132" customFormat="false" ht="15" hidden="false" customHeight="false" outlineLevel="0" collapsed="false">
      <c r="A132" s="32"/>
      <c r="B132" s="32"/>
      <c r="C132" s="27"/>
      <c r="D132" s="31"/>
      <c r="E132" s="32"/>
      <c r="F132" s="32"/>
      <c r="G132" s="32"/>
    </row>
    <row r="133" customFormat="false" ht="15" hidden="false" customHeight="false" outlineLevel="0" collapsed="false">
      <c r="A133" s="32"/>
      <c r="B133" s="32"/>
      <c r="C133" s="27"/>
      <c r="D133" s="31"/>
      <c r="E133" s="32"/>
      <c r="F133" s="32"/>
      <c r="G133" s="32"/>
    </row>
    <row r="134" customFormat="false" ht="15" hidden="false" customHeight="false" outlineLevel="0" collapsed="false">
      <c r="A134" s="32"/>
      <c r="B134" s="32"/>
      <c r="C134" s="27"/>
      <c r="D134" s="31"/>
      <c r="E134" s="32"/>
      <c r="F134" s="32"/>
      <c r="G134" s="32"/>
    </row>
    <row r="135" customFormat="false" ht="15" hidden="false" customHeight="false" outlineLevel="0" collapsed="false">
      <c r="A135" s="32"/>
      <c r="B135" s="32"/>
      <c r="C135" s="27"/>
      <c r="D135" s="31"/>
      <c r="E135" s="32"/>
      <c r="F135" s="32"/>
      <c r="G135" s="32"/>
    </row>
    <row r="136" customFormat="false" ht="15" hidden="false" customHeight="false" outlineLevel="0" collapsed="false">
      <c r="A136" s="32"/>
      <c r="B136" s="32"/>
      <c r="C136" s="27"/>
      <c r="D136" s="31"/>
      <c r="E136" s="32"/>
      <c r="F136" s="32"/>
      <c r="G136" s="32"/>
    </row>
    <row r="137" customFormat="false" ht="15" hidden="false" customHeight="false" outlineLevel="0" collapsed="false">
      <c r="A137" s="32"/>
      <c r="B137" s="32"/>
      <c r="C137" s="27"/>
      <c r="D137" s="31"/>
      <c r="E137" s="32"/>
      <c r="F137" s="32"/>
      <c r="G137" s="32"/>
    </row>
    <row r="138" customFormat="false" ht="15" hidden="false" customHeight="false" outlineLevel="0" collapsed="false">
      <c r="A138" s="32"/>
      <c r="B138" s="32"/>
      <c r="C138" s="27"/>
      <c r="D138" s="31"/>
      <c r="E138" s="32"/>
      <c r="F138" s="32"/>
      <c r="G138" s="32"/>
    </row>
    <row r="139" customFormat="false" ht="15" hidden="false" customHeight="false" outlineLevel="0" collapsed="false">
      <c r="A139" s="32"/>
      <c r="B139" s="32"/>
      <c r="C139" s="27"/>
      <c r="D139" s="31"/>
      <c r="E139" s="32"/>
      <c r="F139" s="32"/>
      <c r="G139" s="32"/>
    </row>
    <row r="140" customFormat="false" ht="15" hidden="false" customHeight="false" outlineLevel="0" collapsed="false">
      <c r="A140" s="32"/>
      <c r="B140" s="32"/>
      <c r="C140" s="27"/>
      <c r="D140" s="31"/>
      <c r="E140" s="32"/>
      <c r="F140" s="32"/>
      <c r="G140" s="32"/>
    </row>
    <row r="141" customFormat="false" ht="15" hidden="false" customHeight="false" outlineLevel="0" collapsed="false">
      <c r="A141" s="32"/>
      <c r="B141" s="32"/>
      <c r="C141" s="27"/>
      <c r="D141" s="31"/>
      <c r="E141" s="32"/>
      <c r="F141" s="32"/>
      <c r="G141" s="32"/>
    </row>
    <row r="142" customFormat="false" ht="15" hidden="false" customHeight="false" outlineLevel="0" collapsed="false">
      <c r="A142" s="32"/>
      <c r="B142" s="32"/>
      <c r="C142" s="27"/>
      <c r="D142" s="31"/>
      <c r="E142" s="32"/>
      <c r="F142" s="32"/>
      <c r="G142" s="32"/>
    </row>
    <row r="143" customFormat="false" ht="15" hidden="false" customHeight="false" outlineLevel="0" collapsed="false">
      <c r="A143" s="32"/>
      <c r="B143" s="32"/>
      <c r="C143" s="27"/>
      <c r="D143" s="31"/>
      <c r="E143" s="32"/>
      <c r="F143" s="32"/>
      <c r="G143" s="32"/>
    </row>
    <row r="144" customFormat="false" ht="15" hidden="false" customHeight="false" outlineLevel="0" collapsed="false">
      <c r="A144" s="32"/>
      <c r="B144" s="32"/>
      <c r="C144" s="27"/>
      <c r="D144" s="31"/>
      <c r="E144" s="32"/>
      <c r="F144" s="32"/>
      <c r="G144" s="32"/>
    </row>
    <row r="145" customFormat="false" ht="15" hidden="false" customHeight="false" outlineLevel="0" collapsed="false">
      <c r="A145" s="32"/>
      <c r="B145" s="32"/>
      <c r="C145" s="27"/>
      <c r="D145" s="31"/>
      <c r="E145" s="32"/>
      <c r="F145" s="32"/>
      <c r="G145" s="32"/>
    </row>
    <row r="146" customFormat="false" ht="15" hidden="false" customHeight="false" outlineLevel="0" collapsed="false">
      <c r="A146" s="32"/>
      <c r="B146" s="32"/>
      <c r="C146" s="27"/>
      <c r="D146" s="31"/>
      <c r="E146" s="32"/>
      <c r="F146" s="32"/>
      <c r="G146" s="32"/>
    </row>
    <row r="147" customFormat="false" ht="15" hidden="false" customHeight="false" outlineLevel="0" collapsed="false">
      <c r="A147" s="32"/>
      <c r="B147" s="32"/>
      <c r="C147" s="27"/>
      <c r="D147" s="31"/>
      <c r="E147" s="32"/>
      <c r="F147" s="32"/>
      <c r="G147" s="32"/>
    </row>
    <row r="148" customFormat="false" ht="15" hidden="false" customHeight="false" outlineLevel="0" collapsed="false">
      <c r="A148" s="32"/>
      <c r="B148" s="32"/>
      <c r="C148" s="27"/>
      <c r="D148" s="31"/>
      <c r="E148" s="32"/>
      <c r="F148" s="32"/>
      <c r="G148" s="32"/>
    </row>
    <row r="149" customFormat="false" ht="15" hidden="false" customHeight="false" outlineLevel="0" collapsed="false">
      <c r="A149" s="32"/>
      <c r="B149" s="32"/>
      <c r="C149" s="27"/>
      <c r="D149" s="31"/>
      <c r="E149" s="32"/>
      <c r="F149" s="32"/>
      <c r="G149" s="32"/>
    </row>
    <row r="150" customFormat="false" ht="15" hidden="false" customHeight="false" outlineLevel="0" collapsed="false">
      <c r="A150" s="32"/>
      <c r="B150" s="32"/>
      <c r="C150" s="27"/>
      <c r="D150" s="31"/>
      <c r="E150" s="32"/>
      <c r="F150" s="32"/>
      <c r="G150" s="32"/>
    </row>
    <row r="151" customFormat="false" ht="15" hidden="false" customHeight="false" outlineLevel="0" collapsed="false">
      <c r="A151" s="32"/>
      <c r="B151" s="32"/>
      <c r="C151" s="27"/>
      <c r="D151" s="31"/>
      <c r="E151" s="32"/>
      <c r="F151" s="32"/>
      <c r="G151" s="32"/>
    </row>
    <row r="152" customFormat="false" ht="15" hidden="false" customHeight="false" outlineLevel="0" collapsed="false">
      <c r="A152" s="32"/>
      <c r="B152" s="32"/>
      <c r="C152" s="27"/>
      <c r="D152" s="31"/>
      <c r="E152" s="32"/>
      <c r="F152" s="32"/>
      <c r="G152" s="32"/>
    </row>
    <row r="153" customFormat="false" ht="15" hidden="false" customHeight="false" outlineLevel="0" collapsed="false">
      <c r="A153" s="32"/>
      <c r="B153" s="32"/>
      <c r="C153" s="27"/>
      <c r="D153" s="31"/>
      <c r="E153" s="32"/>
      <c r="F153" s="32"/>
      <c r="G153" s="32"/>
    </row>
    <row r="154" customFormat="false" ht="15" hidden="false" customHeight="false" outlineLevel="0" collapsed="false">
      <c r="A154" s="32"/>
      <c r="B154" s="32"/>
      <c r="C154" s="27"/>
      <c r="D154" s="31"/>
      <c r="E154" s="32"/>
      <c r="F154" s="32"/>
      <c r="G154" s="32"/>
    </row>
    <row r="155" customFormat="false" ht="15" hidden="false" customHeight="false" outlineLevel="0" collapsed="false">
      <c r="A155" s="32"/>
      <c r="B155" s="32"/>
      <c r="C155" s="27"/>
      <c r="D155" s="31"/>
      <c r="E155" s="32"/>
      <c r="F155" s="32"/>
      <c r="G155" s="32"/>
    </row>
    <row r="156" customFormat="false" ht="15" hidden="false" customHeight="false" outlineLevel="0" collapsed="false">
      <c r="A156" s="32"/>
      <c r="B156" s="32"/>
      <c r="C156" s="27"/>
      <c r="D156" s="31"/>
      <c r="E156" s="32"/>
      <c r="F156" s="32"/>
      <c r="G156" s="32"/>
    </row>
    <row r="157" customFormat="false" ht="15" hidden="false" customHeight="false" outlineLevel="0" collapsed="false">
      <c r="A157" s="32"/>
      <c r="B157" s="32"/>
      <c r="C157" s="27"/>
      <c r="D157" s="31"/>
      <c r="E157" s="32"/>
      <c r="F157" s="32"/>
      <c r="G157" s="32"/>
    </row>
    <row r="158" customFormat="false" ht="15" hidden="false" customHeight="false" outlineLevel="0" collapsed="false">
      <c r="A158" s="32"/>
      <c r="B158" s="32"/>
      <c r="C158" s="27"/>
      <c r="D158" s="31"/>
      <c r="E158" s="32"/>
      <c r="F158" s="32"/>
      <c r="G158" s="32"/>
    </row>
    <row r="159" customFormat="false" ht="15" hidden="false" customHeight="false" outlineLevel="0" collapsed="false">
      <c r="A159" s="32"/>
      <c r="B159" s="32"/>
      <c r="C159" s="27"/>
      <c r="D159" s="31"/>
      <c r="E159" s="32"/>
      <c r="F159" s="32"/>
      <c r="G159" s="32"/>
    </row>
    <row r="160" customFormat="false" ht="15" hidden="false" customHeight="false" outlineLevel="0" collapsed="false">
      <c r="A160" s="32"/>
      <c r="B160" s="32"/>
      <c r="C160" s="27"/>
      <c r="D160" s="31"/>
      <c r="E160" s="32"/>
      <c r="F160" s="32"/>
      <c r="G160" s="32"/>
    </row>
    <row r="161" customFormat="false" ht="15" hidden="false" customHeight="false" outlineLevel="0" collapsed="false">
      <c r="A161" s="32"/>
      <c r="B161" s="32"/>
      <c r="C161" s="27"/>
      <c r="D161" s="31"/>
      <c r="E161" s="32"/>
      <c r="F161" s="32"/>
      <c r="G161" s="32"/>
    </row>
    <row r="162" customFormat="false" ht="15" hidden="false" customHeight="false" outlineLevel="0" collapsed="false">
      <c r="A162" s="32"/>
      <c r="B162" s="32"/>
      <c r="C162" s="27"/>
      <c r="D162" s="31"/>
      <c r="E162" s="32"/>
      <c r="F162" s="32"/>
      <c r="G162" s="32"/>
    </row>
    <row r="163" customFormat="false" ht="15" hidden="false" customHeight="false" outlineLevel="0" collapsed="false">
      <c r="A163" s="32"/>
      <c r="B163" s="32"/>
      <c r="C163" s="27"/>
      <c r="D163" s="31"/>
      <c r="E163" s="32"/>
      <c r="F163" s="32"/>
      <c r="G163" s="32"/>
    </row>
    <row r="164" customFormat="false" ht="15" hidden="false" customHeight="false" outlineLevel="0" collapsed="false">
      <c r="A164" s="32"/>
      <c r="B164" s="32"/>
      <c r="C164" s="27"/>
      <c r="D164" s="31"/>
      <c r="E164" s="32"/>
      <c r="F164" s="32"/>
      <c r="G164" s="32"/>
    </row>
    <row r="165" customFormat="false" ht="15" hidden="false" customHeight="false" outlineLevel="0" collapsed="false">
      <c r="A165" s="32"/>
      <c r="B165" s="32"/>
      <c r="C165" s="27"/>
      <c r="D165" s="31"/>
      <c r="E165" s="32"/>
      <c r="F165" s="32"/>
      <c r="G165" s="32"/>
    </row>
    <row r="166" customFormat="false" ht="15" hidden="false" customHeight="false" outlineLevel="0" collapsed="false">
      <c r="A166" s="32"/>
      <c r="B166" s="32"/>
      <c r="C166" s="27"/>
      <c r="D166" s="31"/>
      <c r="E166" s="32"/>
      <c r="F166" s="32"/>
      <c r="G166" s="32"/>
    </row>
    <row r="167" customFormat="false" ht="15" hidden="false" customHeight="false" outlineLevel="0" collapsed="false">
      <c r="A167" s="32"/>
      <c r="B167" s="32"/>
      <c r="C167" s="27"/>
      <c r="D167" s="31"/>
      <c r="E167" s="32"/>
      <c r="F167" s="32"/>
      <c r="G167" s="32"/>
    </row>
    <row r="168" customFormat="false" ht="15" hidden="false" customHeight="false" outlineLevel="0" collapsed="false">
      <c r="A168" s="32"/>
      <c r="B168" s="32"/>
      <c r="C168" s="27"/>
      <c r="D168" s="31"/>
      <c r="E168" s="32"/>
      <c r="F168" s="32"/>
      <c r="G168" s="32"/>
    </row>
    <row r="169" customFormat="false" ht="15" hidden="false" customHeight="false" outlineLevel="0" collapsed="false">
      <c r="A169" s="32"/>
      <c r="B169" s="32"/>
      <c r="C169" s="27"/>
      <c r="D169" s="31"/>
      <c r="E169" s="32"/>
      <c r="F169" s="32"/>
      <c r="G169" s="32"/>
    </row>
    <row r="170" customFormat="false" ht="15" hidden="false" customHeight="false" outlineLevel="0" collapsed="false">
      <c r="A170" s="32"/>
      <c r="B170" s="32"/>
      <c r="C170" s="27"/>
      <c r="D170" s="31"/>
      <c r="E170" s="32"/>
      <c r="F170" s="32"/>
      <c r="G170" s="32"/>
    </row>
    <row r="171" customFormat="false" ht="15" hidden="false" customHeight="false" outlineLevel="0" collapsed="false">
      <c r="A171" s="32"/>
      <c r="B171" s="32"/>
      <c r="C171" s="27"/>
      <c r="D171" s="31"/>
      <c r="E171" s="32"/>
      <c r="F171" s="32"/>
      <c r="G171" s="32"/>
    </row>
    <row r="172" customFormat="false" ht="15" hidden="false" customHeight="false" outlineLevel="0" collapsed="false">
      <c r="A172" s="32"/>
      <c r="B172" s="32"/>
      <c r="C172" s="27"/>
      <c r="D172" s="31"/>
      <c r="E172" s="32"/>
      <c r="F172" s="32"/>
      <c r="G172" s="32"/>
    </row>
    <row r="173" customFormat="false" ht="15" hidden="false" customHeight="false" outlineLevel="0" collapsed="false">
      <c r="A173" s="32"/>
      <c r="B173" s="32"/>
      <c r="C173" s="27"/>
      <c r="D173" s="31"/>
      <c r="E173" s="32"/>
      <c r="F173" s="32"/>
      <c r="G173" s="32"/>
    </row>
    <row r="174" customFormat="false" ht="15" hidden="false" customHeight="false" outlineLevel="0" collapsed="false">
      <c r="A174" s="32"/>
      <c r="B174" s="32"/>
      <c r="C174" s="27"/>
      <c r="D174" s="31"/>
      <c r="E174" s="32"/>
      <c r="F174" s="32"/>
      <c r="G174" s="32"/>
    </row>
    <row r="175" customFormat="false" ht="15" hidden="false" customHeight="false" outlineLevel="0" collapsed="false">
      <c r="A175" s="32"/>
      <c r="B175" s="32"/>
      <c r="C175" s="27"/>
      <c r="D175" s="31"/>
      <c r="E175" s="32"/>
      <c r="F175" s="32"/>
      <c r="G175" s="32"/>
    </row>
    <row r="176" customFormat="false" ht="15" hidden="false" customHeight="false" outlineLevel="0" collapsed="false">
      <c r="A176" s="32"/>
      <c r="B176" s="32"/>
      <c r="C176" s="27"/>
      <c r="D176" s="31"/>
      <c r="E176" s="32"/>
      <c r="F176" s="32"/>
      <c r="G176" s="32"/>
    </row>
    <row r="177" customFormat="false" ht="15" hidden="false" customHeight="false" outlineLevel="0" collapsed="false">
      <c r="A177" s="32"/>
      <c r="B177" s="32"/>
      <c r="C177" s="27"/>
      <c r="D177" s="31"/>
      <c r="E177" s="32"/>
      <c r="F177" s="32"/>
      <c r="G177" s="32"/>
    </row>
    <row r="178" customFormat="false" ht="15" hidden="false" customHeight="false" outlineLevel="0" collapsed="false">
      <c r="A178" s="32"/>
      <c r="B178" s="32"/>
      <c r="C178" s="27"/>
      <c r="D178" s="31"/>
      <c r="E178" s="32"/>
      <c r="F178" s="32"/>
      <c r="G178" s="32"/>
    </row>
    <row r="179" customFormat="false" ht="15" hidden="false" customHeight="false" outlineLevel="0" collapsed="false">
      <c r="A179" s="32"/>
      <c r="B179" s="32"/>
      <c r="C179" s="27"/>
      <c r="D179" s="31"/>
      <c r="E179" s="32"/>
      <c r="F179" s="32"/>
      <c r="G179" s="32"/>
    </row>
    <row r="180" customFormat="false" ht="15" hidden="false" customHeight="false" outlineLevel="0" collapsed="false">
      <c r="A180" s="32"/>
      <c r="B180" s="32"/>
      <c r="C180" s="27"/>
      <c r="D180" s="31"/>
      <c r="E180" s="32"/>
      <c r="F180" s="32"/>
      <c r="G180" s="32"/>
    </row>
    <row r="181" customFormat="false" ht="15" hidden="false" customHeight="false" outlineLevel="0" collapsed="false">
      <c r="A181" s="32"/>
      <c r="B181" s="32"/>
      <c r="C181" s="27"/>
      <c r="D181" s="31"/>
      <c r="E181" s="32"/>
      <c r="F181" s="32"/>
      <c r="G181" s="32"/>
    </row>
    <row r="182" customFormat="false" ht="15" hidden="false" customHeight="false" outlineLevel="0" collapsed="false">
      <c r="A182" s="32"/>
      <c r="B182" s="32"/>
      <c r="C182" s="27"/>
      <c r="D182" s="31"/>
      <c r="E182" s="32"/>
      <c r="F182" s="32"/>
      <c r="G182" s="32"/>
    </row>
    <row r="183" customFormat="false" ht="15" hidden="false" customHeight="false" outlineLevel="0" collapsed="false">
      <c r="A183" s="32"/>
      <c r="B183" s="32"/>
      <c r="C183" s="27"/>
      <c r="D183" s="31"/>
      <c r="E183" s="32"/>
      <c r="F183" s="32"/>
      <c r="G183" s="32"/>
    </row>
    <row r="184" customFormat="false" ht="15" hidden="false" customHeight="false" outlineLevel="0" collapsed="false">
      <c r="A184" s="32"/>
      <c r="B184" s="32"/>
      <c r="C184" s="27"/>
      <c r="D184" s="31"/>
      <c r="E184" s="32"/>
      <c r="F184" s="32"/>
      <c r="G184" s="32"/>
    </row>
    <row r="185" customFormat="false" ht="15" hidden="false" customHeight="false" outlineLevel="0" collapsed="false">
      <c r="A185" s="32"/>
      <c r="B185" s="32"/>
      <c r="C185" s="27"/>
      <c r="D185" s="31"/>
      <c r="E185" s="32"/>
      <c r="F185" s="32"/>
      <c r="G185" s="32"/>
    </row>
    <row r="186" customFormat="false" ht="15" hidden="false" customHeight="false" outlineLevel="0" collapsed="false">
      <c r="A186" s="32"/>
      <c r="B186" s="32"/>
      <c r="C186" s="27"/>
      <c r="D186" s="31"/>
      <c r="E186" s="32"/>
      <c r="F186" s="32"/>
      <c r="G186" s="32"/>
    </row>
    <row r="187" customFormat="false" ht="15" hidden="false" customHeight="false" outlineLevel="0" collapsed="false">
      <c r="A187" s="32"/>
      <c r="B187" s="32"/>
      <c r="C187" s="27"/>
      <c r="D187" s="31"/>
      <c r="E187" s="32"/>
      <c r="F187" s="32"/>
      <c r="G187" s="32"/>
    </row>
    <row r="188" customFormat="false" ht="15" hidden="false" customHeight="false" outlineLevel="0" collapsed="false">
      <c r="A188" s="32"/>
      <c r="B188" s="32"/>
      <c r="C188" s="27"/>
      <c r="D188" s="31"/>
      <c r="E188" s="32"/>
      <c r="F188" s="32"/>
      <c r="G188" s="32"/>
    </row>
    <row r="189" customFormat="false" ht="15" hidden="false" customHeight="false" outlineLevel="0" collapsed="false">
      <c r="A189" s="32"/>
      <c r="B189" s="32"/>
      <c r="C189" s="27"/>
      <c r="D189" s="31"/>
      <c r="E189" s="32"/>
      <c r="F189" s="32"/>
      <c r="G189" s="32"/>
    </row>
    <row r="190" customFormat="false" ht="15" hidden="false" customHeight="false" outlineLevel="0" collapsed="false">
      <c r="A190" s="32"/>
      <c r="B190" s="32"/>
      <c r="C190" s="27"/>
      <c r="D190" s="31"/>
      <c r="E190" s="32"/>
      <c r="F190" s="32"/>
      <c r="G190" s="32"/>
    </row>
    <row r="191" customFormat="false" ht="15" hidden="false" customHeight="false" outlineLevel="0" collapsed="false">
      <c r="A191" s="32"/>
      <c r="B191" s="32"/>
      <c r="C191" s="27"/>
      <c r="D191" s="31"/>
      <c r="E191" s="32"/>
      <c r="F191" s="32"/>
      <c r="G191" s="32"/>
    </row>
    <row r="192" customFormat="false" ht="15" hidden="false" customHeight="false" outlineLevel="0" collapsed="false">
      <c r="A192" s="32"/>
      <c r="B192" s="32"/>
      <c r="C192" s="27"/>
      <c r="D192" s="31"/>
      <c r="E192" s="32"/>
      <c r="F192" s="32"/>
      <c r="G192" s="32"/>
    </row>
    <row r="193" customFormat="false" ht="15" hidden="false" customHeight="false" outlineLevel="0" collapsed="false">
      <c r="A193" s="32"/>
      <c r="B193" s="32"/>
      <c r="C193" s="27"/>
      <c r="D193" s="31"/>
      <c r="E193" s="32"/>
      <c r="F193" s="32"/>
      <c r="G193" s="32"/>
    </row>
    <row r="194" customFormat="false" ht="15" hidden="false" customHeight="false" outlineLevel="0" collapsed="false">
      <c r="A194" s="32"/>
      <c r="B194" s="32"/>
      <c r="C194" s="27"/>
      <c r="D194" s="31"/>
      <c r="E194" s="32"/>
      <c r="F194" s="32"/>
      <c r="G194" s="32"/>
    </row>
    <row r="195" customFormat="false" ht="15" hidden="false" customHeight="false" outlineLevel="0" collapsed="false">
      <c r="A195" s="32"/>
      <c r="B195" s="32"/>
      <c r="C195" s="27"/>
      <c r="D195" s="31"/>
      <c r="E195" s="32"/>
      <c r="F195" s="32"/>
      <c r="G195" s="32"/>
    </row>
    <row r="196" customFormat="false" ht="15" hidden="false" customHeight="false" outlineLevel="0" collapsed="false">
      <c r="A196" s="32"/>
      <c r="B196" s="32"/>
      <c r="C196" s="27"/>
      <c r="D196" s="31"/>
      <c r="E196" s="32"/>
      <c r="F196" s="32"/>
      <c r="G196" s="32"/>
    </row>
    <row r="197" customFormat="false" ht="15" hidden="false" customHeight="false" outlineLevel="0" collapsed="false">
      <c r="A197" s="32"/>
      <c r="B197" s="32"/>
      <c r="C197" s="27"/>
      <c r="D197" s="31"/>
      <c r="E197" s="32"/>
      <c r="F197" s="32"/>
      <c r="G197" s="32"/>
    </row>
    <row r="198" customFormat="false" ht="15" hidden="false" customHeight="false" outlineLevel="0" collapsed="false">
      <c r="A198" s="32"/>
      <c r="B198" s="32"/>
      <c r="C198" s="27"/>
      <c r="D198" s="31"/>
      <c r="E198" s="32"/>
      <c r="F198" s="32"/>
      <c r="G198" s="32"/>
    </row>
    <row r="199" customFormat="false" ht="15" hidden="false" customHeight="false" outlineLevel="0" collapsed="false">
      <c r="A199" s="32"/>
      <c r="B199" s="32"/>
      <c r="C199" s="27"/>
      <c r="D199" s="31"/>
      <c r="E199" s="32"/>
      <c r="F199" s="32"/>
      <c r="G199" s="32"/>
    </row>
    <row r="200" customFormat="false" ht="15" hidden="false" customHeight="false" outlineLevel="0" collapsed="false">
      <c r="A200" s="32"/>
      <c r="B200" s="32"/>
      <c r="C200" s="27"/>
      <c r="D200" s="31"/>
      <c r="E200" s="32"/>
      <c r="F200" s="32"/>
      <c r="G200" s="32"/>
    </row>
    <row r="201" customFormat="false" ht="15" hidden="false" customHeight="false" outlineLevel="0" collapsed="false">
      <c r="A201" s="32"/>
      <c r="B201" s="32"/>
      <c r="C201" s="27"/>
      <c r="D201" s="31"/>
      <c r="E201" s="32"/>
      <c r="F201" s="32"/>
      <c r="G201" s="32"/>
    </row>
    <row r="202" customFormat="false" ht="15" hidden="false" customHeight="false" outlineLevel="0" collapsed="false">
      <c r="A202" s="32"/>
      <c r="B202" s="32"/>
      <c r="C202" s="27"/>
      <c r="D202" s="31"/>
      <c r="E202" s="32"/>
      <c r="F202" s="32"/>
      <c r="G202" s="32"/>
    </row>
    <row r="203" customFormat="false" ht="15" hidden="false" customHeight="false" outlineLevel="0" collapsed="false">
      <c r="A203" s="32"/>
      <c r="B203" s="32"/>
      <c r="C203" s="27"/>
      <c r="D203" s="31"/>
      <c r="E203" s="32"/>
      <c r="F203" s="32"/>
      <c r="G203" s="32"/>
    </row>
    <row r="204" customFormat="false" ht="15" hidden="false" customHeight="false" outlineLevel="0" collapsed="false">
      <c r="A204" s="32"/>
      <c r="B204" s="32"/>
      <c r="C204" s="27"/>
      <c r="D204" s="31"/>
      <c r="E204" s="32"/>
      <c r="F204" s="32"/>
      <c r="G204" s="32"/>
    </row>
    <row r="205" customFormat="false" ht="15" hidden="false" customHeight="false" outlineLevel="0" collapsed="false">
      <c r="A205" s="32"/>
      <c r="B205" s="32"/>
      <c r="C205" s="27"/>
      <c r="D205" s="31"/>
      <c r="E205" s="32"/>
      <c r="F205" s="32"/>
      <c r="G205" s="32"/>
    </row>
    <row r="206" customFormat="false" ht="15" hidden="false" customHeight="false" outlineLevel="0" collapsed="false">
      <c r="A206" s="32"/>
      <c r="B206" s="32"/>
      <c r="C206" s="27"/>
      <c r="D206" s="31"/>
      <c r="E206" s="32"/>
      <c r="F206" s="32"/>
      <c r="G206" s="32"/>
    </row>
    <row r="207" customFormat="false" ht="15" hidden="false" customHeight="false" outlineLevel="0" collapsed="false">
      <c r="A207" s="32"/>
      <c r="B207" s="32"/>
      <c r="C207" s="27"/>
      <c r="D207" s="31"/>
      <c r="E207" s="32"/>
      <c r="F207" s="32"/>
      <c r="G207" s="32"/>
    </row>
    <row r="208" customFormat="false" ht="15" hidden="false" customHeight="false" outlineLevel="0" collapsed="false">
      <c r="A208" s="32"/>
      <c r="B208" s="32"/>
      <c r="C208" s="27"/>
      <c r="D208" s="31"/>
      <c r="E208" s="32"/>
      <c r="F208" s="32"/>
      <c r="G208" s="32"/>
    </row>
    <row r="209" customFormat="false" ht="15" hidden="false" customHeight="false" outlineLevel="0" collapsed="false">
      <c r="A209" s="32"/>
      <c r="B209" s="32"/>
      <c r="C209" s="27"/>
      <c r="D209" s="31"/>
      <c r="E209" s="32"/>
      <c r="F209" s="32"/>
      <c r="G209" s="32"/>
    </row>
    <row r="210" customFormat="false" ht="15" hidden="false" customHeight="false" outlineLevel="0" collapsed="false">
      <c r="A210" s="32"/>
      <c r="B210" s="32"/>
      <c r="C210" s="27"/>
      <c r="D210" s="31"/>
      <c r="E210" s="32"/>
      <c r="F210" s="32"/>
      <c r="G210" s="32"/>
    </row>
    <row r="211" customFormat="false" ht="15" hidden="false" customHeight="false" outlineLevel="0" collapsed="false">
      <c r="A211" s="32"/>
      <c r="B211" s="32"/>
      <c r="C211" s="27"/>
      <c r="D211" s="31"/>
      <c r="E211" s="32"/>
      <c r="F211" s="32"/>
      <c r="G211" s="32"/>
    </row>
    <row r="212" customFormat="false" ht="15" hidden="false" customHeight="false" outlineLevel="0" collapsed="false">
      <c r="A212" s="32"/>
      <c r="B212" s="32"/>
      <c r="C212" s="27"/>
      <c r="D212" s="31"/>
      <c r="E212" s="32"/>
      <c r="F212" s="32"/>
      <c r="G212" s="32"/>
    </row>
    <row r="213" customFormat="false" ht="15" hidden="false" customHeight="false" outlineLevel="0" collapsed="false">
      <c r="A213" s="32"/>
      <c r="B213" s="32"/>
      <c r="C213" s="27"/>
      <c r="D213" s="31"/>
      <c r="E213" s="32"/>
      <c r="F213" s="32"/>
      <c r="G213" s="32"/>
    </row>
    <row r="214" customFormat="false" ht="15" hidden="false" customHeight="false" outlineLevel="0" collapsed="false">
      <c r="A214" s="32"/>
      <c r="B214" s="32"/>
      <c r="C214" s="27"/>
      <c r="D214" s="31"/>
      <c r="E214" s="32"/>
      <c r="F214" s="32"/>
      <c r="G214" s="32"/>
    </row>
    <row r="215" customFormat="false" ht="15" hidden="false" customHeight="false" outlineLevel="0" collapsed="false">
      <c r="A215" s="32"/>
      <c r="B215" s="32"/>
      <c r="C215" s="27"/>
      <c r="D215" s="31"/>
      <c r="E215" s="32"/>
      <c r="F215" s="32"/>
      <c r="G215" s="32"/>
    </row>
    <row r="216" customFormat="false" ht="15" hidden="false" customHeight="false" outlineLevel="0" collapsed="false">
      <c r="A216" s="32"/>
      <c r="B216" s="32"/>
      <c r="C216" s="27"/>
      <c r="D216" s="31"/>
      <c r="E216" s="32"/>
      <c r="F216" s="32"/>
      <c r="G216" s="32"/>
    </row>
    <row r="217" customFormat="false" ht="15" hidden="false" customHeight="false" outlineLevel="0" collapsed="false">
      <c r="A217" s="32"/>
      <c r="B217" s="32"/>
      <c r="C217" s="27"/>
      <c r="D217" s="31"/>
      <c r="E217" s="32"/>
      <c r="F217" s="32"/>
      <c r="G217" s="32"/>
    </row>
    <row r="218" customFormat="false" ht="15" hidden="false" customHeight="false" outlineLevel="0" collapsed="false">
      <c r="A218" s="32"/>
      <c r="B218" s="32"/>
      <c r="C218" s="27"/>
      <c r="D218" s="31"/>
      <c r="E218" s="32"/>
      <c r="F218" s="32"/>
      <c r="G218" s="32"/>
    </row>
    <row r="219" customFormat="false" ht="15" hidden="false" customHeight="false" outlineLevel="0" collapsed="false">
      <c r="A219" s="32"/>
      <c r="B219" s="32"/>
      <c r="C219" s="27"/>
      <c r="D219" s="31"/>
      <c r="E219" s="32"/>
      <c r="F219" s="32"/>
      <c r="G219" s="32"/>
    </row>
    <row r="220" customFormat="false" ht="15" hidden="false" customHeight="false" outlineLevel="0" collapsed="false">
      <c r="A220" s="32"/>
      <c r="B220" s="32"/>
      <c r="C220" s="27"/>
      <c r="D220" s="31"/>
      <c r="E220" s="32"/>
      <c r="F220" s="32"/>
      <c r="G220" s="32"/>
    </row>
    <row r="221" customFormat="false" ht="15" hidden="false" customHeight="false" outlineLevel="0" collapsed="false">
      <c r="A221" s="32"/>
      <c r="B221" s="32"/>
      <c r="C221" s="27"/>
      <c r="D221" s="31"/>
      <c r="E221" s="32"/>
      <c r="F221" s="32"/>
      <c r="G221" s="32"/>
    </row>
    <row r="222" customFormat="false" ht="15" hidden="false" customHeight="false" outlineLevel="0" collapsed="false">
      <c r="A222" s="32"/>
      <c r="B222" s="32"/>
      <c r="C222" s="27"/>
      <c r="D222" s="31"/>
      <c r="E222" s="32"/>
      <c r="F222" s="32"/>
      <c r="G222" s="32"/>
    </row>
    <row r="223" customFormat="false" ht="15" hidden="false" customHeight="false" outlineLevel="0" collapsed="false">
      <c r="A223" s="32"/>
      <c r="B223" s="32"/>
      <c r="C223" s="27"/>
      <c r="D223" s="31"/>
      <c r="E223" s="32"/>
      <c r="F223" s="32"/>
      <c r="G223" s="32"/>
    </row>
    <row r="224" customFormat="false" ht="15" hidden="false" customHeight="false" outlineLevel="0" collapsed="false">
      <c r="A224" s="32"/>
      <c r="B224" s="32"/>
      <c r="C224" s="27"/>
      <c r="D224" s="31"/>
      <c r="E224" s="32"/>
      <c r="F224" s="32"/>
      <c r="G224" s="32"/>
    </row>
    <row r="225" customFormat="false" ht="15" hidden="false" customHeight="false" outlineLevel="0" collapsed="false">
      <c r="A225" s="32"/>
      <c r="B225" s="32"/>
      <c r="C225" s="27"/>
      <c r="D225" s="31"/>
      <c r="E225" s="32"/>
      <c r="F225" s="32"/>
      <c r="G225" s="32"/>
    </row>
    <row r="226" customFormat="false" ht="15" hidden="false" customHeight="false" outlineLevel="0" collapsed="false">
      <c r="A226" s="32"/>
      <c r="B226" s="32"/>
      <c r="C226" s="27"/>
      <c r="D226" s="31"/>
      <c r="E226" s="32"/>
      <c r="F226" s="32"/>
      <c r="G226" s="32"/>
    </row>
    <row r="227" customFormat="false" ht="15" hidden="false" customHeight="false" outlineLevel="0" collapsed="false">
      <c r="A227" s="32"/>
      <c r="B227" s="32"/>
      <c r="C227" s="27"/>
      <c r="D227" s="31"/>
      <c r="E227" s="32"/>
      <c r="F227" s="32"/>
      <c r="G227" s="32"/>
    </row>
    <row r="228" customFormat="false" ht="15" hidden="false" customHeight="false" outlineLevel="0" collapsed="false">
      <c r="A228" s="32"/>
      <c r="B228" s="32"/>
      <c r="C228" s="27"/>
      <c r="D228" s="31"/>
      <c r="E228" s="32"/>
      <c r="F228" s="32"/>
      <c r="G228" s="32"/>
    </row>
    <row r="229" customFormat="false" ht="15" hidden="false" customHeight="false" outlineLevel="0" collapsed="false">
      <c r="A229" s="32"/>
      <c r="B229" s="32"/>
      <c r="C229" s="27"/>
      <c r="D229" s="31"/>
      <c r="E229" s="32"/>
      <c r="F229" s="32"/>
      <c r="G229" s="32"/>
    </row>
    <row r="230" customFormat="false" ht="15" hidden="false" customHeight="false" outlineLevel="0" collapsed="false">
      <c r="A230" s="32"/>
      <c r="B230" s="32"/>
      <c r="C230" s="27"/>
      <c r="D230" s="31"/>
      <c r="E230" s="32"/>
      <c r="F230" s="32"/>
      <c r="G230" s="32"/>
    </row>
    <row r="231" customFormat="false" ht="15" hidden="false" customHeight="false" outlineLevel="0" collapsed="false">
      <c r="A231" s="32"/>
      <c r="B231" s="32"/>
      <c r="C231" s="27"/>
      <c r="D231" s="31"/>
      <c r="E231" s="32"/>
      <c r="F231" s="32"/>
      <c r="G231" s="32"/>
    </row>
    <row r="232" customFormat="false" ht="15" hidden="false" customHeight="false" outlineLevel="0" collapsed="false">
      <c r="A232" s="32"/>
      <c r="B232" s="32"/>
      <c r="C232" s="27"/>
      <c r="D232" s="31"/>
      <c r="E232" s="32"/>
      <c r="F232" s="32"/>
      <c r="G232" s="32"/>
    </row>
    <row r="233" customFormat="false" ht="15" hidden="false" customHeight="false" outlineLevel="0" collapsed="false">
      <c r="A233" s="32"/>
      <c r="B233" s="32"/>
      <c r="C233" s="27"/>
      <c r="D233" s="31"/>
      <c r="E233" s="32"/>
      <c r="F233" s="32"/>
      <c r="G233" s="32"/>
    </row>
    <row r="234" customFormat="false" ht="15" hidden="false" customHeight="false" outlineLevel="0" collapsed="false">
      <c r="A234" s="32"/>
      <c r="B234" s="32"/>
      <c r="C234" s="27"/>
      <c r="D234" s="31"/>
      <c r="E234" s="32"/>
      <c r="F234" s="32"/>
      <c r="G234" s="32"/>
    </row>
    <row r="235" customFormat="false" ht="15" hidden="false" customHeight="false" outlineLevel="0" collapsed="false">
      <c r="A235" s="32"/>
      <c r="B235" s="32"/>
      <c r="C235" s="27"/>
      <c r="D235" s="31"/>
      <c r="E235" s="32"/>
      <c r="F235" s="32"/>
      <c r="G235" s="32"/>
    </row>
    <row r="236" customFormat="false" ht="15" hidden="false" customHeight="false" outlineLevel="0" collapsed="false">
      <c r="A236" s="32"/>
      <c r="B236" s="32"/>
      <c r="C236" s="27"/>
      <c r="D236" s="31"/>
      <c r="E236" s="32"/>
      <c r="F236" s="32"/>
      <c r="G236" s="32"/>
    </row>
    <row r="237" customFormat="false" ht="15" hidden="false" customHeight="false" outlineLevel="0" collapsed="false">
      <c r="A237" s="32"/>
      <c r="B237" s="32"/>
      <c r="C237" s="27"/>
      <c r="D237" s="31"/>
      <c r="E237" s="32"/>
      <c r="F237" s="32"/>
      <c r="G237" s="32"/>
    </row>
    <row r="238" customFormat="false" ht="15" hidden="false" customHeight="false" outlineLevel="0" collapsed="false">
      <c r="A238" s="32"/>
      <c r="B238" s="32"/>
      <c r="C238" s="27"/>
      <c r="D238" s="31"/>
      <c r="E238" s="32"/>
      <c r="F238" s="32"/>
      <c r="G238" s="32"/>
    </row>
    <row r="239" customFormat="false" ht="15" hidden="false" customHeight="false" outlineLevel="0" collapsed="false">
      <c r="A239" s="32"/>
      <c r="B239" s="32"/>
      <c r="C239" s="27"/>
      <c r="D239" s="31"/>
      <c r="E239" s="32"/>
      <c r="F239" s="32"/>
      <c r="G239" s="32"/>
    </row>
    <row r="240" customFormat="false" ht="15" hidden="false" customHeight="false" outlineLevel="0" collapsed="false">
      <c r="A240" s="32"/>
      <c r="B240" s="32"/>
      <c r="C240" s="27"/>
      <c r="D240" s="31"/>
      <c r="E240" s="32"/>
      <c r="F240" s="32"/>
      <c r="G240" s="32"/>
    </row>
    <row r="241" customFormat="false" ht="15" hidden="false" customHeight="false" outlineLevel="0" collapsed="false">
      <c r="A241" s="32"/>
      <c r="B241" s="32"/>
      <c r="C241" s="27"/>
      <c r="D241" s="31"/>
      <c r="E241" s="32"/>
      <c r="F241" s="32"/>
      <c r="G241" s="32"/>
    </row>
    <row r="242" customFormat="false" ht="15" hidden="false" customHeight="false" outlineLevel="0" collapsed="false">
      <c r="A242" s="32"/>
      <c r="B242" s="32"/>
      <c r="C242" s="27"/>
      <c r="D242" s="31"/>
      <c r="E242" s="32"/>
      <c r="F242" s="32"/>
      <c r="G242" s="32"/>
    </row>
    <row r="243" customFormat="false" ht="15" hidden="false" customHeight="false" outlineLevel="0" collapsed="false">
      <c r="A243" s="32"/>
      <c r="B243" s="32"/>
      <c r="C243" s="27"/>
      <c r="D243" s="31"/>
      <c r="E243" s="32"/>
      <c r="F243" s="32"/>
      <c r="G243" s="32"/>
    </row>
    <row r="244" customFormat="false" ht="15" hidden="false" customHeight="false" outlineLevel="0" collapsed="false">
      <c r="A244" s="32"/>
      <c r="B244" s="32"/>
      <c r="C244" s="27"/>
      <c r="D244" s="31"/>
      <c r="E244" s="32"/>
      <c r="F244" s="32"/>
      <c r="G244" s="32"/>
    </row>
    <row r="245" customFormat="false" ht="15" hidden="false" customHeight="false" outlineLevel="0" collapsed="false">
      <c r="A245" s="32"/>
      <c r="B245" s="32"/>
      <c r="C245" s="27"/>
      <c r="D245" s="31"/>
      <c r="E245" s="32"/>
      <c r="F245" s="32"/>
      <c r="G245" s="32"/>
    </row>
    <row r="246" customFormat="false" ht="15" hidden="false" customHeight="false" outlineLevel="0" collapsed="false">
      <c r="A246" s="32"/>
      <c r="B246" s="32"/>
      <c r="C246" s="27"/>
      <c r="D246" s="31"/>
      <c r="E246" s="32"/>
      <c r="F246" s="32"/>
      <c r="G246" s="32"/>
    </row>
    <row r="247" customFormat="false" ht="15" hidden="false" customHeight="false" outlineLevel="0" collapsed="false">
      <c r="A247" s="32"/>
      <c r="B247" s="32"/>
      <c r="C247" s="27"/>
      <c r="D247" s="31"/>
      <c r="E247" s="32"/>
      <c r="F247" s="32"/>
      <c r="G247" s="32"/>
    </row>
    <row r="248" customFormat="false" ht="15" hidden="false" customHeight="false" outlineLevel="0" collapsed="false">
      <c r="A248" s="32"/>
      <c r="B248" s="32"/>
      <c r="C248" s="27"/>
      <c r="D248" s="31"/>
      <c r="E248" s="32"/>
      <c r="F248" s="32"/>
      <c r="G248" s="32"/>
    </row>
    <row r="249" customFormat="false" ht="15" hidden="false" customHeight="false" outlineLevel="0" collapsed="false">
      <c r="A249" s="32"/>
      <c r="B249" s="32"/>
      <c r="C249" s="27"/>
      <c r="D249" s="31"/>
      <c r="E249" s="32"/>
      <c r="F249" s="32"/>
      <c r="G249" s="32"/>
    </row>
    <row r="250" customFormat="false" ht="15" hidden="false" customHeight="false" outlineLevel="0" collapsed="false">
      <c r="A250" s="32"/>
      <c r="B250" s="32"/>
      <c r="C250" s="27"/>
      <c r="D250" s="31"/>
      <c r="E250" s="32"/>
      <c r="F250" s="32"/>
      <c r="G250" s="32"/>
    </row>
    <row r="251" customFormat="false" ht="15" hidden="false" customHeight="false" outlineLevel="0" collapsed="false">
      <c r="A251" s="32"/>
      <c r="B251" s="32"/>
      <c r="C251" s="27"/>
      <c r="D251" s="31"/>
      <c r="E251" s="32"/>
      <c r="F251" s="32"/>
      <c r="G251" s="32"/>
    </row>
    <row r="252" customFormat="false" ht="15" hidden="false" customHeight="false" outlineLevel="0" collapsed="false">
      <c r="A252" s="32"/>
      <c r="B252" s="32"/>
      <c r="C252" s="27"/>
      <c r="D252" s="31"/>
      <c r="E252" s="32"/>
      <c r="F252" s="32"/>
      <c r="G252" s="32"/>
    </row>
    <row r="253" customFormat="false" ht="15" hidden="false" customHeight="false" outlineLevel="0" collapsed="false">
      <c r="A253" s="32"/>
      <c r="B253" s="32"/>
      <c r="C253" s="27"/>
      <c r="D253" s="31"/>
      <c r="E253" s="32"/>
      <c r="F253" s="32"/>
      <c r="G253" s="32"/>
    </row>
    <row r="254" customFormat="false" ht="15" hidden="false" customHeight="false" outlineLevel="0" collapsed="false">
      <c r="A254" s="32"/>
      <c r="B254" s="32"/>
      <c r="C254" s="27"/>
      <c r="D254" s="31"/>
      <c r="E254" s="32"/>
      <c r="F254" s="32"/>
      <c r="G254" s="32"/>
    </row>
    <row r="255" customFormat="false" ht="15" hidden="false" customHeight="false" outlineLevel="0" collapsed="false">
      <c r="A255" s="32"/>
      <c r="B255" s="32"/>
      <c r="C255" s="27"/>
      <c r="D255" s="31"/>
      <c r="E255" s="32"/>
      <c r="F255" s="32"/>
      <c r="G255" s="32"/>
    </row>
    <row r="256" customFormat="false" ht="15" hidden="false" customHeight="false" outlineLevel="0" collapsed="false">
      <c r="A256" s="32"/>
      <c r="B256" s="32"/>
      <c r="C256" s="27"/>
      <c r="D256" s="31"/>
      <c r="E256" s="32"/>
      <c r="F256" s="32"/>
      <c r="G256" s="32"/>
    </row>
    <row r="257" customFormat="false" ht="15" hidden="false" customHeight="false" outlineLevel="0" collapsed="false">
      <c r="A257" s="32"/>
      <c r="B257" s="32"/>
      <c r="C257" s="27"/>
      <c r="D257" s="31"/>
      <c r="E257" s="32"/>
      <c r="F257" s="32"/>
      <c r="G257" s="32"/>
    </row>
    <row r="258" customFormat="false" ht="15" hidden="false" customHeight="false" outlineLevel="0" collapsed="false">
      <c r="A258" s="32"/>
      <c r="B258" s="32"/>
      <c r="C258" s="27"/>
      <c r="D258" s="31"/>
      <c r="E258" s="32"/>
      <c r="F258" s="32"/>
      <c r="G258" s="32"/>
    </row>
    <row r="259" customFormat="false" ht="15" hidden="false" customHeight="false" outlineLevel="0" collapsed="false">
      <c r="A259" s="32"/>
      <c r="B259" s="32"/>
      <c r="C259" s="27"/>
      <c r="D259" s="31"/>
      <c r="E259" s="32"/>
      <c r="F259" s="32"/>
      <c r="G259" s="32"/>
    </row>
    <row r="260" customFormat="false" ht="15" hidden="false" customHeight="false" outlineLevel="0" collapsed="false">
      <c r="A260" s="32"/>
      <c r="B260" s="32"/>
      <c r="C260" s="27"/>
      <c r="D260" s="31"/>
      <c r="E260" s="32"/>
      <c r="F260" s="32"/>
      <c r="G260" s="32"/>
    </row>
    <row r="261" customFormat="false" ht="15" hidden="false" customHeight="false" outlineLevel="0" collapsed="false">
      <c r="A261" s="32"/>
      <c r="B261" s="32"/>
      <c r="C261" s="27"/>
      <c r="D261" s="31"/>
      <c r="E261" s="32"/>
      <c r="F261" s="32"/>
      <c r="G261" s="32"/>
    </row>
    <row r="262" customFormat="false" ht="15" hidden="false" customHeight="false" outlineLevel="0" collapsed="false">
      <c r="A262" s="32"/>
      <c r="B262" s="32"/>
      <c r="C262" s="27"/>
      <c r="D262" s="31"/>
      <c r="E262" s="32"/>
      <c r="F262" s="32"/>
      <c r="G262" s="32"/>
    </row>
    <row r="263" customFormat="false" ht="15" hidden="false" customHeight="false" outlineLevel="0" collapsed="false">
      <c r="A263" s="32"/>
      <c r="B263" s="32"/>
      <c r="C263" s="27"/>
      <c r="D263" s="31"/>
      <c r="E263" s="32"/>
      <c r="F263" s="32"/>
      <c r="G263" s="32"/>
    </row>
    <row r="264" customFormat="false" ht="15" hidden="false" customHeight="false" outlineLevel="0" collapsed="false">
      <c r="A264" s="32"/>
      <c r="B264" s="32"/>
      <c r="C264" s="27"/>
      <c r="D264" s="31"/>
      <c r="E264" s="32"/>
      <c r="F264" s="32"/>
      <c r="G264" s="32"/>
    </row>
    <row r="265" customFormat="false" ht="15" hidden="false" customHeight="false" outlineLevel="0" collapsed="false">
      <c r="A265" s="32"/>
      <c r="B265" s="32"/>
      <c r="C265" s="27"/>
      <c r="D265" s="31"/>
      <c r="E265" s="32"/>
      <c r="F265" s="32"/>
      <c r="G265" s="32"/>
    </row>
    <row r="266" customFormat="false" ht="15" hidden="false" customHeight="false" outlineLevel="0" collapsed="false">
      <c r="A266" s="32"/>
      <c r="B266" s="32"/>
      <c r="C266" s="27"/>
      <c r="D266" s="31"/>
      <c r="E266" s="32"/>
      <c r="F266" s="32"/>
      <c r="G266" s="32"/>
    </row>
    <row r="267" customFormat="false" ht="15" hidden="false" customHeight="false" outlineLevel="0" collapsed="false">
      <c r="A267" s="32"/>
      <c r="B267" s="32"/>
      <c r="C267" s="27"/>
      <c r="D267" s="31"/>
      <c r="E267" s="32"/>
      <c r="F267" s="32"/>
      <c r="G267" s="32"/>
    </row>
    <row r="268" customFormat="false" ht="15" hidden="false" customHeight="false" outlineLevel="0" collapsed="false">
      <c r="A268" s="32"/>
      <c r="B268" s="32"/>
      <c r="C268" s="27"/>
      <c r="D268" s="31"/>
      <c r="E268" s="32"/>
      <c r="F268" s="32"/>
      <c r="G268" s="32"/>
    </row>
    <row r="269" customFormat="false" ht="15" hidden="false" customHeight="false" outlineLevel="0" collapsed="false">
      <c r="A269" s="32"/>
      <c r="B269" s="32"/>
      <c r="C269" s="27"/>
      <c r="D269" s="31"/>
      <c r="E269" s="32"/>
      <c r="F269" s="32"/>
      <c r="G269" s="32"/>
    </row>
    <row r="270" customFormat="false" ht="15" hidden="false" customHeight="false" outlineLevel="0" collapsed="false">
      <c r="A270" s="32"/>
      <c r="B270" s="32"/>
      <c r="C270" s="27"/>
      <c r="D270" s="31"/>
      <c r="E270" s="32"/>
      <c r="F270" s="32"/>
      <c r="G270" s="32"/>
    </row>
    <row r="271" customFormat="false" ht="15" hidden="false" customHeight="false" outlineLevel="0" collapsed="false">
      <c r="A271" s="32"/>
      <c r="B271" s="32"/>
      <c r="C271" s="27"/>
      <c r="D271" s="31"/>
      <c r="E271" s="32"/>
      <c r="F271" s="32"/>
      <c r="G271" s="32"/>
    </row>
    <row r="272" customFormat="false" ht="15" hidden="false" customHeight="false" outlineLevel="0" collapsed="false">
      <c r="A272" s="32"/>
      <c r="B272" s="32"/>
      <c r="C272" s="27"/>
      <c r="D272" s="31"/>
      <c r="E272" s="32"/>
      <c r="F272" s="32"/>
      <c r="G272" s="32"/>
    </row>
    <row r="273" customFormat="false" ht="15" hidden="false" customHeight="false" outlineLevel="0" collapsed="false">
      <c r="A273" s="32"/>
      <c r="B273" s="32"/>
      <c r="C273" s="27"/>
      <c r="D273" s="31"/>
      <c r="E273" s="32"/>
      <c r="F273" s="32"/>
      <c r="G273" s="32"/>
    </row>
    <row r="274" customFormat="false" ht="15" hidden="false" customHeight="false" outlineLevel="0" collapsed="false">
      <c r="A274" s="32"/>
      <c r="B274" s="32"/>
      <c r="C274" s="27"/>
      <c r="D274" s="31"/>
      <c r="E274" s="32"/>
      <c r="F274" s="32"/>
      <c r="G274" s="32"/>
    </row>
    <row r="275" customFormat="false" ht="15" hidden="false" customHeight="false" outlineLevel="0" collapsed="false">
      <c r="A275" s="32"/>
      <c r="B275" s="32"/>
      <c r="C275" s="27"/>
      <c r="D275" s="31"/>
      <c r="E275" s="32"/>
      <c r="F275" s="32"/>
      <c r="G275" s="32"/>
    </row>
    <row r="276" customFormat="false" ht="15" hidden="false" customHeight="false" outlineLevel="0" collapsed="false">
      <c r="A276" s="32"/>
      <c r="B276" s="32"/>
      <c r="C276" s="27"/>
      <c r="D276" s="31"/>
      <c r="E276" s="32"/>
      <c r="F276" s="32"/>
      <c r="G276" s="32"/>
    </row>
    <row r="277" customFormat="false" ht="15" hidden="false" customHeight="false" outlineLevel="0" collapsed="false">
      <c r="A277" s="32"/>
      <c r="B277" s="32"/>
      <c r="C277" s="27"/>
      <c r="D277" s="31"/>
      <c r="E277" s="32"/>
      <c r="F277" s="32"/>
      <c r="G277" s="32"/>
    </row>
    <row r="278" customFormat="false" ht="15" hidden="false" customHeight="false" outlineLevel="0" collapsed="false">
      <c r="A278" s="32"/>
      <c r="B278" s="32"/>
      <c r="C278" s="27"/>
      <c r="D278" s="31"/>
      <c r="E278" s="32"/>
      <c r="F278" s="32"/>
      <c r="G278" s="32"/>
    </row>
    <row r="279" customFormat="false" ht="15" hidden="false" customHeight="false" outlineLevel="0" collapsed="false">
      <c r="A279" s="32"/>
      <c r="B279" s="32"/>
      <c r="C279" s="27"/>
      <c r="D279" s="31"/>
      <c r="E279" s="32"/>
      <c r="F279" s="32"/>
      <c r="G279" s="32"/>
    </row>
    <row r="280" customFormat="false" ht="15" hidden="false" customHeight="false" outlineLevel="0" collapsed="false">
      <c r="A280" s="32"/>
      <c r="B280" s="32"/>
      <c r="C280" s="27"/>
      <c r="D280" s="31"/>
      <c r="E280" s="32"/>
      <c r="F280" s="32"/>
      <c r="G280" s="32"/>
    </row>
    <row r="281" customFormat="false" ht="15" hidden="false" customHeight="false" outlineLevel="0" collapsed="false">
      <c r="A281" s="32"/>
      <c r="B281" s="32"/>
      <c r="C281" s="27"/>
      <c r="D281" s="31"/>
      <c r="E281" s="32"/>
      <c r="F281" s="32"/>
      <c r="G281" s="32"/>
    </row>
    <row r="282" customFormat="false" ht="15" hidden="false" customHeight="false" outlineLevel="0" collapsed="false">
      <c r="A282" s="32"/>
      <c r="B282" s="32"/>
      <c r="C282" s="27"/>
      <c r="D282" s="31"/>
      <c r="E282" s="32"/>
      <c r="F282" s="32"/>
      <c r="G282" s="32"/>
    </row>
    <row r="283" customFormat="false" ht="15" hidden="false" customHeight="false" outlineLevel="0" collapsed="false">
      <c r="A283" s="32"/>
      <c r="B283" s="32"/>
      <c r="C283" s="27"/>
      <c r="D283" s="31"/>
      <c r="E283" s="32"/>
      <c r="F283" s="32"/>
      <c r="G283" s="32"/>
    </row>
    <row r="284" customFormat="false" ht="15" hidden="false" customHeight="false" outlineLevel="0" collapsed="false">
      <c r="A284" s="32"/>
      <c r="B284" s="32"/>
      <c r="C284" s="27"/>
      <c r="D284" s="31"/>
      <c r="E284" s="32"/>
      <c r="F284" s="32"/>
      <c r="G284" s="32"/>
    </row>
    <row r="285" customFormat="false" ht="15" hidden="false" customHeight="false" outlineLevel="0" collapsed="false">
      <c r="A285" s="32"/>
      <c r="B285" s="32"/>
      <c r="C285" s="27"/>
      <c r="D285" s="31"/>
      <c r="E285" s="32"/>
      <c r="F285" s="32"/>
      <c r="G285" s="32"/>
    </row>
    <row r="286" customFormat="false" ht="15" hidden="false" customHeight="false" outlineLevel="0" collapsed="false">
      <c r="A286" s="32"/>
      <c r="B286" s="32"/>
      <c r="C286" s="27"/>
      <c r="D286" s="31"/>
      <c r="E286" s="32"/>
      <c r="F286" s="32"/>
      <c r="G286" s="32"/>
    </row>
    <row r="287" customFormat="false" ht="15" hidden="false" customHeight="false" outlineLevel="0" collapsed="false">
      <c r="A287" s="32"/>
      <c r="B287" s="32"/>
      <c r="C287" s="27"/>
      <c r="D287" s="31"/>
      <c r="E287" s="32"/>
      <c r="F287" s="32"/>
      <c r="G287" s="32"/>
    </row>
    <row r="288" customFormat="false" ht="15" hidden="false" customHeight="false" outlineLevel="0" collapsed="false">
      <c r="A288" s="32"/>
      <c r="B288" s="32"/>
      <c r="C288" s="27"/>
      <c r="D288" s="31"/>
      <c r="E288" s="32"/>
      <c r="F288" s="32"/>
      <c r="G288" s="32"/>
    </row>
    <row r="289" customFormat="false" ht="15" hidden="false" customHeight="false" outlineLevel="0" collapsed="false">
      <c r="A289" s="32"/>
      <c r="B289" s="32"/>
      <c r="C289" s="27"/>
      <c r="D289" s="31"/>
      <c r="E289" s="32"/>
      <c r="F289" s="32"/>
      <c r="G289" s="32"/>
    </row>
    <row r="290" customFormat="false" ht="15" hidden="false" customHeight="false" outlineLevel="0" collapsed="false">
      <c r="A290" s="32"/>
      <c r="B290" s="32"/>
      <c r="C290" s="27"/>
      <c r="D290" s="31"/>
      <c r="E290" s="32"/>
      <c r="F290" s="32"/>
      <c r="G290" s="32"/>
    </row>
    <row r="291" customFormat="false" ht="15" hidden="false" customHeight="false" outlineLevel="0" collapsed="false">
      <c r="A291" s="32"/>
      <c r="B291" s="32"/>
      <c r="C291" s="27"/>
      <c r="D291" s="31"/>
      <c r="E291" s="32"/>
      <c r="F291" s="32"/>
      <c r="G291" s="32"/>
    </row>
    <row r="292" customFormat="false" ht="15" hidden="false" customHeight="false" outlineLevel="0" collapsed="false">
      <c r="A292" s="32"/>
      <c r="B292" s="32"/>
      <c r="C292" s="27"/>
      <c r="D292" s="31"/>
      <c r="E292" s="32"/>
      <c r="F292" s="32"/>
      <c r="G292" s="32"/>
    </row>
    <row r="293" customFormat="false" ht="15" hidden="false" customHeight="false" outlineLevel="0" collapsed="false">
      <c r="A293" s="32"/>
      <c r="B293" s="32"/>
      <c r="C293" s="27"/>
      <c r="D293" s="31"/>
      <c r="E293" s="32"/>
      <c r="F293" s="32"/>
      <c r="G293" s="32"/>
    </row>
    <row r="294" customFormat="false" ht="15" hidden="false" customHeight="false" outlineLevel="0" collapsed="false">
      <c r="A294" s="32"/>
      <c r="B294" s="32"/>
      <c r="C294" s="27"/>
      <c r="D294" s="31"/>
      <c r="E294" s="32"/>
      <c r="F294" s="32"/>
      <c r="G294" s="32"/>
    </row>
    <row r="295" customFormat="false" ht="15" hidden="false" customHeight="false" outlineLevel="0" collapsed="false">
      <c r="A295" s="32"/>
      <c r="B295" s="32"/>
      <c r="C295" s="27"/>
      <c r="D295" s="31"/>
      <c r="E295" s="32"/>
      <c r="F295" s="32"/>
      <c r="G295" s="32"/>
    </row>
    <row r="296" customFormat="false" ht="15" hidden="false" customHeight="false" outlineLevel="0" collapsed="false">
      <c r="A296" s="32"/>
      <c r="B296" s="32"/>
      <c r="C296" s="27"/>
      <c r="D296" s="31"/>
      <c r="E296" s="32"/>
      <c r="F296" s="32"/>
      <c r="G296" s="32"/>
    </row>
    <row r="297" customFormat="false" ht="15" hidden="false" customHeight="false" outlineLevel="0" collapsed="false">
      <c r="A297" s="32"/>
      <c r="B297" s="32"/>
      <c r="C297" s="27"/>
      <c r="D297" s="31"/>
      <c r="E297" s="32"/>
      <c r="F297" s="32"/>
      <c r="G297" s="32"/>
    </row>
    <row r="298" customFormat="false" ht="15" hidden="false" customHeight="false" outlineLevel="0" collapsed="false">
      <c r="A298" s="32"/>
      <c r="B298" s="32"/>
      <c r="C298" s="27"/>
      <c r="D298" s="31"/>
      <c r="E298" s="32"/>
      <c r="F298" s="32"/>
      <c r="G298" s="32"/>
    </row>
    <row r="299" customFormat="false" ht="15" hidden="false" customHeight="false" outlineLevel="0" collapsed="false">
      <c r="A299" s="32"/>
      <c r="B299" s="32"/>
      <c r="C299" s="27"/>
      <c r="D299" s="31"/>
      <c r="E299" s="32"/>
      <c r="F299" s="32"/>
      <c r="G299" s="32"/>
    </row>
    <row r="300" customFormat="false" ht="15" hidden="false" customHeight="false" outlineLevel="0" collapsed="false">
      <c r="A300" s="32"/>
      <c r="B300" s="32"/>
      <c r="C300" s="27"/>
      <c r="D300" s="31"/>
      <c r="E300" s="32"/>
      <c r="F300" s="32"/>
      <c r="G300" s="32"/>
    </row>
    <row r="301" customFormat="false" ht="15" hidden="false" customHeight="false" outlineLevel="0" collapsed="false">
      <c r="A301" s="32"/>
      <c r="B301" s="32"/>
      <c r="C301" s="27"/>
      <c r="D301" s="31"/>
      <c r="E301" s="32"/>
      <c r="F301" s="32"/>
      <c r="G301" s="32"/>
    </row>
    <row r="302" customFormat="false" ht="15" hidden="false" customHeight="false" outlineLevel="0" collapsed="false">
      <c r="A302" s="32"/>
      <c r="B302" s="32"/>
      <c r="C302" s="27"/>
      <c r="D302" s="31"/>
      <c r="E302" s="32"/>
      <c r="F302" s="32"/>
      <c r="G302" s="32"/>
    </row>
    <row r="303" customFormat="false" ht="15" hidden="false" customHeight="false" outlineLevel="0" collapsed="false">
      <c r="A303" s="32"/>
      <c r="B303" s="32"/>
      <c r="C303" s="27"/>
      <c r="D303" s="31"/>
      <c r="E303" s="32"/>
      <c r="F303" s="32"/>
      <c r="G303" s="32"/>
    </row>
    <row r="304" customFormat="false" ht="15" hidden="false" customHeight="false" outlineLevel="0" collapsed="false">
      <c r="A304" s="32"/>
      <c r="B304" s="32"/>
      <c r="C304" s="27"/>
      <c r="D304" s="31"/>
      <c r="E304" s="32"/>
      <c r="F304" s="32"/>
      <c r="G304" s="32"/>
    </row>
    <row r="305" customFormat="false" ht="15" hidden="false" customHeight="false" outlineLevel="0" collapsed="false">
      <c r="A305" s="32"/>
      <c r="B305" s="32"/>
      <c r="C305" s="27"/>
      <c r="D305" s="31"/>
      <c r="E305" s="32"/>
      <c r="F305" s="32"/>
      <c r="G305" s="32"/>
    </row>
    <row r="306" customFormat="false" ht="15" hidden="false" customHeight="false" outlineLevel="0" collapsed="false">
      <c r="A306" s="32"/>
      <c r="B306" s="32"/>
      <c r="C306" s="27"/>
      <c r="D306" s="31"/>
      <c r="E306" s="32"/>
      <c r="F306" s="32"/>
      <c r="G306" s="32"/>
    </row>
    <row r="307" customFormat="false" ht="15" hidden="false" customHeight="false" outlineLevel="0" collapsed="false">
      <c r="A307" s="32"/>
      <c r="B307" s="32"/>
      <c r="C307" s="27"/>
      <c r="D307" s="31"/>
      <c r="E307" s="32"/>
      <c r="F307" s="32"/>
      <c r="G307" s="32"/>
    </row>
    <row r="308" customFormat="false" ht="15" hidden="false" customHeight="false" outlineLevel="0" collapsed="false">
      <c r="A308" s="32"/>
      <c r="B308" s="32"/>
      <c r="C308" s="27"/>
      <c r="D308" s="31"/>
      <c r="E308" s="32"/>
      <c r="F308" s="32"/>
      <c r="G308" s="32"/>
    </row>
    <row r="309" customFormat="false" ht="15" hidden="false" customHeight="false" outlineLevel="0" collapsed="false">
      <c r="A309" s="32"/>
      <c r="B309" s="32"/>
      <c r="C309" s="27"/>
      <c r="D309" s="31"/>
      <c r="E309" s="32"/>
      <c r="F309" s="32"/>
      <c r="G309" s="32"/>
    </row>
    <row r="310" customFormat="false" ht="15" hidden="false" customHeight="false" outlineLevel="0" collapsed="false">
      <c r="A310" s="32"/>
      <c r="B310" s="32"/>
      <c r="C310" s="27"/>
      <c r="D310" s="31"/>
      <c r="E310" s="32"/>
      <c r="F310" s="32"/>
      <c r="G310" s="32"/>
    </row>
    <row r="311" customFormat="false" ht="15" hidden="false" customHeight="false" outlineLevel="0" collapsed="false">
      <c r="A311" s="32"/>
      <c r="B311" s="32"/>
      <c r="C311" s="27"/>
      <c r="D311" s="31"/>
      <c r="E311" s="32"/>
      <c r="F311" s="32"/>
      <c r="G311" s="32"/>
    </row>
    <row r="312" customFormat="false" ht="15" hidden="false" customHeight="false" outlineLevel="0" collapsed="false">
      <c r="A312" s="32"/>
      <c r="B312" s="32"/>
      <c r="C312" s="27"/>
      <c r="D312" s="31"/>
      <c r="E312" s="32"/>
      <c r="F312" s="32"/>
      <c r="G312" s="32"/>
    </row>
    <row r="313" customFormat="false" ht="15" hidden="false" customHeight="false" outlineLevel="0" collapsed="false">
      <c r="A313" s="32"/>
      <c r="B313" s="32"/>
      <c r="C313" s="27"/>
      <c r="D313" s="31"/>
      <c r="E313" s="32"/>
      <c r="F313" s="32"/>
      <c r="G313" s="32"/>
    </row>
    <row r="314" customFormat="false" ht="15" hidden="false" customHeight="false" outlineLevel="0" collapsed="false">
      <c r="A314" s="32"/>
      <c r="B314" s="32"/>
      <c r="C314" s="27"/>
      <c r="D314" s="31"/>
      <c r="E314" s="32"/>
      <c r="F314" s="32"/>
      <c r="G314" s="32"/>
    </row>
    <row r="315" customFormat="false" ht="15" hidden="false" customHeight="false" outlineLevel="0" collapsed="false">
      <c r="A315" s="32"/>
      <c r="B315" s="32"/>
      <c r="C315" s="27"/>
      <c r="D315" s="31"/>
      <c r="E315" s="32"/>
      <c r="F315" s="32"/>
      <c r="G315" s="32"/>
    </row>
    <row r="316" customFormat="false" ht="15" hidden="false" customHeight="false" outlineLevel="0" collapsed="false">
      <c r="A316" s="32"/>
      <c r="B316" s="32"/>
      <c r="C316" s="27"/>
      <c r="D316" s="31"/>
      <c r="E316" s="32"/>
      <c r="F316" s="32"/>
      <c r="G316" s="32"/>
    </row>
    <row r="317" customFormat="false" ht="15" hidden="false" customHeight="false" outlineLevel="0" collapsed="false">
      <c r="A317" s="32"/>
      <c r="B317" s="32"/>
      <c r="C317" s="27"/>
      <c r="D317" s="31"/>
      <c r="E317" s="32"/>
      <c r="F317" s="32"/>
      <c r="G317" s="32"/>
    </row>
    <row r="318" customFormat="false" ht="15" hidden="false" customHeight="false" outlineLevel="0" collapsed="false">
      <c r="A318" s="32"/>
      <c r="B318" s="32"/>
      <c r="C318" s="27"/>
      <c r="D318" s="31"/>
      <c r="E318" s="32"/>
      <c r="F318" s="32"/>
      <c r="G318" s="32"/>
    </row>
    <row r="319" customFormat="false" ht="15" hidden="false" customHeight="false" outlineLevel="0" collapsed="false">
      <c r="A319" s="32"/>
      <c r="B319" s="32"/>
      <c r="C319" s="27"/>
      <c r="D319" s="31"/>
      <c r="E319" s="32"/>
      <c r="F319" s="32"/>
      <c r="G319" s="32"/>
    </row>
    <row r="320" customFormat="false" ht="15" hidden="false" customHeight="false" outlineLevel="0" collapsed="false">
      <c r="A320" s="32"/>
      <c r="B320" s="32"/>
      <c r="C320" s="27"/>
      <c r="D320" s="31"/>
      <c r="E320" s="32"/>
      <c r="F320" s="32"/>
      <c r="G320" s="32"/>
    </row>
    <row r="321" customFormat="false" ht="15" hidden="false" customHeight="false" outlineLevel="0" collapsed="false">
      <c r="A321" s="32"/>
      <c r="B321" s="32"/>
      <c r="C321" s="27"/>
      <c r="D321" s="31"/>
      <c r="E321" s="32"/>
      <c r="F321" s="32"/>
      <c r="G321" s="32"/>
    </row>
    <row r="322" customFormat="false" ht="15" hidden="false" customHeight="false" outlineLevel="0" collapsed="false">
      <c r="A322" s="32"/>
      <c r="B322" s="32"/>
      <c r="C322" s="27"/>
      <c r="D322" s="31"/>
      <c r="E322" s="32"/>
      <c r="F322" s="32"/>
      <c r="G322" s="32"/>
    </row>
    <row r="323" customFormat="false" ht="15" hidden="false" customHeight="false" outlineLevel="0" collapsed="false">
      <c r="A323" s="32"/>
      <c r="B323" s="32"/>
      <c r="C323" s="27"/>
      <c r="D323" s="31"/>
      <c r="E323" s="32"/>
      <c r="F323" s="32"/>
      <c r="G323" s="32"/>
    </row>
    <row r="324" customFormat="false" ht="15" hidden="false" customHeight="false" outlineLevel="0" collapsed="false">
      <c r="A324" s="32"/>
      <c r="B324" s="32"/>
      <c r="C324" s="27"/>
      <c r="D324" s="31"/>
      <c r="E324" s="32"/>
      <c r="F324" s="32"/>
      <c r="G324" s="32"/>
    </row>
    <row r="325" customFormat="false" ht="15" hidden="false" customHeight="false" outlineLevel="0" collapsed="false">
      <c r="A325" s="32"/>
      <c r="B325" s="32"/>
      <c r="C325" s="27"/>
      <c r="D325" s="31"/>
      <c r="E325" s="32"/>
      <c r="F325" s="32"/>
      <c r="G325" s="32"/>
    </row>
    <row r="326" customFormat="false" ht="15" hidden="false" customHeight="false" outlineLevel="0" collapsed="false">
      <c r="A326" s="32"/>
      <c r="B326" s="32"/>
      <c r="C326" s="27"/>
      <c r="D326" s="31"/>
      <c r="E326" s="32"/>
      <c r="F326" s="32"/>
      <c r="G326" s="32"/>
    </row>
    <row r="327" customFormat="false" ht="15" hidden="false" customHeight="false" outlineLevel="0" collapsed="false">
      <c r="A327" s="32"/>
      <c r="B327" s="32"/>
      <c r="C327" s="27"/>
      <c r="D327" s="31"/>
      <c r="E327" s="32"/>
      <c r="F327" s="32"/>
      <c r="G327" s="32"/>
    </row>
    <row r="328" customFormat="false" ht="15" hidden="false" customHeight="false" outlineLevel="0" collapsed="false">
      <c r="A328" s="32"/>
      <c r="B328" s="32"/>
      <c r="C328" s="27"/>
      <c r="D328" s="31"/>
      <c r="E328" s="32"/>
      <c r="F328" s="32"/>
      <c r="G328" s="32"/>
    </row>
    <row r="329" customFormat="false" ht="15" hidden="false" customHeight="false" outlineLevel="0" collapsed="false">
      <c r="A329" s="32"/>
      <c r="B329" s="32"/>
      <c r="C329" s="27"/>
      <c r="D329" s="31"/>
      <c r="E329" s="32"/>
      <c r="F329" s="32"/>
      <c r="G329" s="32"/>
    </row>
    <row r="330" customFormat="false" ht="15" hidden="false" customHeight="false" outlineLevel="0" collapsed="false">
      <c r="A330" s="32"/>
      <c r="B330" s="32"/>
      <c r="C330" s="27"/>
      <c r="D330" s="31"/>
      <c r="E330" s="32"/>
      <c r="F330" s="32"/>
      <c r="G330" s="32"/>
    </row>
    <row r="331" customFormat="false" ht="15" hidden="false" customHeight="false" outlineLevel="0" collapsed="false">
      <c r="A331" s="32"/>
      <c r="B331" s="32"/>
      <c r="C331" s="27"/>
      <c r="D331" s="31"/>
      <c r="E331" s="32"/>
      <c r="F331" s="32"/>
      <c r="G331" s="32"/>
    </row>
    <row r="332" customFormat="false" ht="15" hidden="false" customHeight="false" outlineLevel="0" collapsed="false">
      <c r="A332" s="32"/>
      <c r="B332" s="32"/>
      <c r="C332" s="27"/>
      <c r="D332" s="31"/>
      <c r="E332" s="32"/>
      <c r="F332" s="32"/>
      <c r="G332" s="32"/>
    </row>
    <row r="333" customFormat="false" ht="15" hidden="false" customHeight="false" outlineLevel="0" collapsed="false">
      <c r="A333" s="32"/>
      <c r="B333" s="32"/>
      <c r="C333" s="27"/>
      <c r="D333" s="31"/>
      <c r="E333" s="32"/>
      <c r="F333" s="32"/>
      <c r="G333" s="32"/>
    </row>
    <row r="334" customFormat="false" ht="15" hidden="false" customHeight="false" outlineLevel="0" collapsed="false">
      <c r="A334" s="32"/>
      <c r="B334" s="32"/>
      <c r="C334" s="27"/>
      <c r="D334" s="31"/>
      <c r="E334" s="32"/>
      <c r="F334" s="32"/>
      <c r="G334" s="32"/>
    </row>
    <row r="335" customFormat="false" ht="15" hidden="false" customHeight="false" outlineLevel="0" collapsed="false">
      <c r="A335" s="32"/>
      <c r="B335" s="32"/>
      <c r="C335" s="27"/>
      <c r="D335" s="31"/>
      <c r="E335" s="32"/>
      <c r="F335" s="32"/>
      <c r="G335" s="32"/>
    </row>
    <row r="336" customFormat="false" ht="15" hidden="false" customHeight="false" outlineLevel="0" collapsed="false">
      <c r="A336" s="32"/>
      <c r="B336" s="32"/>
      <c r="C336" s="27"/>
      <c r="D336" s="31"/>
      <c r="E336" s="32"/>
      <c r="F336" s="32"/>
      <c r="G336" s="32"/>
    </row>
    <row r="337" customFormat="false" ht="15" hidden="false" customHeight="false" outlineLevel="0" collapsed="false">
      <c r="A337" s="32"/>
      <c r="B337" s="32"/>
      <c r="C337" s="27"/>
      <c r="D337" s="31"/>
      <c r="E337" s="32"/>
      <c r="F337" s="32"/>
      <c r="G337" s="32"/>
    </row>
    <row r="338" customFormat="false" ht="15" hidden="false" customHeight="false" outlineLevel="0" collapsed="false">
      <c r="A338" s="32"/>
      <c r="B338" s="32"/>
      <c r="C338" s="27"/>
      <c r="D338" s="31"/>
      <c r="E338" s="32"/>
      <c r="F338" s="32"/>
      <c r="G338" s="32"/>
    </row>
    <row r="339" customFormat="false" ht="15" hidden="false" customHeight="false" outlineLevel="0" collapsed="false">
      <c r="A339" s="32"/>
      <c r="B339" s="32"/>
      <c r="C339" s="27"/>
      <c r="D339" s="31"/>
      <c r="E339" s="32"/>
      <c r="F339" s="32"/>
      <c r="G339" s="32"/>
    </row>
    <row r="340" customFormat="false" ht="15" hidden="false" customHeight="false" outlineLevel="0" collapsed="false">
      <c r="A340" s="32"/>
      <c r="B340" s="32"/>
      <c r="C340" s="27"/>
      <c r="D340" s="31"/>
      <c r="E340" s="32"/>
      <c r="F340" s="32"/>
      <c r="G340" s="32"/>
    </row>
    <row r="341" customFormat="false" ht="15" hidden="false" customHeight="false" outlineLevel="0" collapsed="false">
      <c r="A341" s="32"/>
      <c r="B341" s="32"/>
      <c r="C341" s="27"/>
      <c r="D341" s="31"/>
      <c r="E341" s="32"/>
      <c r="F341" s="32"/>
      <c r="G341" s="32"/>
    </row>
    <row r="342" customFormat="false" ht="15" hidden="false" customHeight="false" outlineLevel="0" collapsed="false">
      <c r="A342" s="32"/>
      <c r="B342" s="32"/>
      <c r="C342" s="27"/>
      <c r="D342" s="31"/>
      <c r="E342" s="32"/>
      <c r="F342" s="32"/>
      <c r="G342" s="32"/>
    </row>
    <row r="343" customFormat="false" ht="15" hidden="false" customHeight="false" outlineLevel="0" collapsed="false">
      <c r="A343" s="32"/>
      <c r="B343" s="32"/>
      <c r="C343" s="27"/>
      <c r="D343" s="31"/>
      <c r="E343" s="32"/>
      <c r="F343" s="32"/>
      <c r="G343" s="32"/>
    </row>
    <row r="344" customFormat="false" ht="15" hidden="false" customHeight="false" outlineLevel="0" collapsed="false">
      <c r="A344" s="32"/>
      <c r="B344" s="32"/>
      <c r="C344" s="27"/>
      <c r="D344" s="31"/>
      <c r="E344" s="32"/>
      <c r="F344" s="32"/>
      <c r="G344" s="32"/>
    </row>
    <row r="345" customFormat="false" ht="15" hidden="false" customHeight="false" outlineLevel="0" collapsed="false">
      <c r="A345" s="32"/>
      <c r="B345" s="32"/>
      <c r="C345" s="27"/>
      <c r="D345" s="31"/>
      <c r="E345" s="32"/>
      <c r="F345" s="32"/>
      <c r="G345" s="32"/>
    </row>
    <row r="346" customFormat="false" ht="15" hidden="false" customHeight="false" outlineLevel="0" collapsed="false">
      <c r="A346" s="32"/>
      <c r="B346" s="32"/>
      <c r="C346" s="27"/>
      <c r="D346" s="31"/>
      <c r="E346" s="32"/>
      <c r="F346" s="32"/>
      <c r="G346" s="32"/>
    </row>
    <row r="347" customFormat="false" ht="15" hidden="false" customHeight="false" outlineLevel="0" collapsed="false">
      <c r="A347" s="32"/>
      <c r="B347" s="32"/>
      <c r="C347" s="27"/>
      <c r="D347" s="31"/>
      <c r="E347" s="32"/>
      <c r="F347" s="32"/>
      <c r="G347" s="32"/>
    </row>
    <row r="348" customFormat="false" ht="15" hidden="false" customHeight="false" outlineLevel="0" collapsed="false">
      <c r="A348" s="32"/>
      <c r="B348" s="32"/>
      <c r="C348" s="27"/>
      <c r="D348" s="31"/>
      <c r="E348" s="32"/>
      <c r="F348" s="32"/>
      <c r="G348" s="32"/>
    </row>
    <row r="349" customFormat="false" ht="15" hidden="false" customHeight="false" outlineLevel="0" collapsed="false">
      <c r="A349" s="32"/>
      <c r="B349" s="32"/>
      <c r="C349" s="27"/>
      <c r="D349" s="31"/>
      <c r="E349" s="32"/>
      <c r="F349" s="32"/>
      <c r="G349" s="32"/>
    </row>
    <row r="350" customFormat="false" ht="15" hidden="false" customHeight="false" outlineLevel="0" collapsed="false">
      <c r="A350" s="32"/>
      <c r="B350" s="32"/>
      <c r="C350" s="27"/>
      <c r="D350" s="31"/>
      <c r="E350" s="32"/>
      <c r="F350" s="32"/>
      <c r="G350" s="32"/>
    </row>
    <row r="351" customFormat="false" ht="15" hidden="false" customHeight="false" outlineLevel="0" collapsed="false">
      <c r="A351" s="32"/>
      <c r="B351" s="32"/>
      <c r="C351" s="27"/>
      <c r="D351" s="31"/>
      <c r="E351" s="32"/>
      <c r="F351" s="32"/>
      <c r="G351" s="32"/>
    </row>
    <row r="352" customFormat="false" ht="15" hidden="false" customHeight="false" outlineLevel="0" collapsed="false">
      <c r="A352" s="32"/>
      <c r="B352" s="32"/>
      <c r="C352" s="27"/>
      <c r="D352" s="31"/>
      <c r="E352" s="32"/>
      <c r="F352" s="32"/>
      <c r="G352" s="32"/>
    </row>
    <row r="353" customFormat="false" ht="15" hidden="false" customHeight="false" outlineLevel="0" collapsed="false">
      <c r="A353" s="32"/>
      <c r="B353" s="32"/>
      <c r="C353" s="27"/>
      <c r="D353" s="31"/>
      <c r="E353" s="32"/>
      <c r="F353" s="32"/>
      <c r="G353" s="32"/>
    </row>
    <row r="354" customFormat="false" ht="15" hidden="false" customHeight="false" outlineLevel="0" collapsed="false">
      <c r="A354" s="32"/>
      <c r="B354" s="32"/>
      <c r="C354" s="27"/>
      <c r="D354" s="31"/>
      <c r="E354" s="32"/>
      <c r="F354" s="32"/>
      <c r="G354" s="32"/>
    </row>
    <row r="355" customFormat="false" ht="15" hidden="false" customHeight="false" outlineLevel="0" collapsed="false">
      <c r="A355" s="32"/>
      <c r="B355" s="32"/>
      <c r="C355" s="27"/>
      <c r="D355" s="31"/>
      <c r="E355" s="32"/>
      <c r="F355" s="32"/>
      <c r="G355" s="32"/>
    </row>
    <row r="356" customFormat="false" ht="15" hidden="false" customHeight="false" outlineLevel="0" collapsed="false">
      <c r="A356" s="32"/>
      <c r="B356" s="32"/>
      <c r="C356" s="27"/>
      <c r="D356" s="31"/>
      <c r="E356" s="32"/>
      <c r="F356" s="32"/>
      <c r="G356" s="32"/>
    </row>
    <row r="357" customFormat="false" ht="15" hidden="false" customHeight="false" outlineLevel="0" collapsed="false">
      <c r="A357" s="32"/>
      <c r="B357" s="32"/>
      <c r="C357" s="27"/>
      <c r="D357" s="31"/>
      <c r="E357" s="32"/>
      <c r="F357" s="32"/>
      <c r="G357" s="32"/>
    </row>
    <row r="358" customFormat="false" ht="15" hidden="false" customHeight="false" outlineLevel="0" collapsed="false">
      <c r="A358" s="32"/>
      <c r="B358" s="32"/>
      <c r="C358" s="27"/>
      <c r="D358" s="31"/>
      <c r="E358" s="32"/>
      <c r="F358" s="32"/>
      <c r="G358" s="32"/>
    </row>
    <row r="359" customFormat="false" ht="15" hidden="false" customHeight="false" outlineLevel="0" collapsed="false">
      <c r="A359" s="32"/>
      <c r="B359" s="32"/>
      <c r="C359" s="27"/>
      <c r="D359" s="31"/>
      <c r="E359" s="32"/>
      <c r="F359" s="32"/>
      <c r="G359" s="32"/>
    </row>
    <row r="360" customFormat="false" ht="15" hidden="false" customHeight="false" outlineLevel="0" collapsed="false">
      <c r="A360" s="32"/>
      <c r="B360" s="32"/>
      <c r="C360" s="27"/>
      <c r="D360" s="31"/>
      <c r="E360" s="32"/>
      <c r="F360" s="32"/>
      <c r="G360" s="32"/>
    </row>
    <row r="361" customFormat="false" ht="15" hidden="false" customHeight="false" outlineLevel="0" collapsed="false">
      <c r="A361" s="32"/>
      <c r="B361" s="32"/>
      <c r="C361" s="27"/>
      <c r="D361" s="31"/>
      <c r="E361" s="32"/>
      <c r="F361" s="32"/>
      <c r="G361" s="32"/>
    </row>
    <row r="362" customFormat="false" ht="15" hidden="false" customHeight="false" outlineLevel="0" collapsed="false">
      <c r="A362" s="32"/>
      <c r="B362" s="32"/>
      <c r="C362" s="27"/>
      <c r="D362" s="31"/>
      <c r="E362" s="32"/>
      <c r="F362" s="32"/>
      <c r="G362" s="32"/>
    </row>
    <row r="363" customFormat="false" ht="15" hidden="false" customHeight="false" outlineLevel="0" collapsed="false">
      <c r="A363" s="32"/>
      <c r="B363" s="32"/>
      <c r="C363" s="27"/>
      <c r="D363" s="31"/>
      <c r="E363" s="32"/>
      <c r="F363" s="32"/>
      <c r="G363" s="32"/>
    </row>
    <row r="364" customFormat="false" ht="15" hidden="false" customHeight="false" outlineLevel="0" collapsed="false">
      <c r="A364" s="32"/>
      <c r="B364" s="32"/>
      <c r="C364" s="27"/>
      <c r="D364" s="31"/>
      <c r="E364" s="32"/>
      <c r="F364" s="32"/>
      <c r="G364" s="32"/>
    </row>
    <row r="365" customFormat="false" ht="15" hidden="false" customHeight="false" outlineLevel="0" collapsed="false">
      <c r="A365" s="32"/>
      <c r="B365" s="32"/>
      <c r="C365" s="27"/>
      <c r="D365" s="31"/>
      <c r="E365" s="32"/>
      <c r="F365" s="32"/>
      <c r="G365" s="32"/>
    </row>
    <row r="366" customFormat="false" ht="15" hidden="false" customHeight="false" outlineLevel="0" collapsed="false">
      <c r="A366" s="32"/>
      <c r="B366" s="32"/>
      <c r="C366" s="27"/>
      <c r="D366" s="31"/>
      <c r="E366" s="32"/>
      <c r="F366" s="32"/>
      <c r="G366" s="32"/>
    </row>
    <row r="367" customFormat="false" ht="15" hidden="false" customHeight="false" outlineLevel="0" collapsed="false">
      <c r="A367" s="32"/>
      <c r="B367" s="32"/>
      <c r="C367" s="27"/>
      <c r="D367" s="31"/>
      <c r="E367" s="32"/>
      <c r="F367" s="32"/>
      <c r="G367" s="32"/>
    </row>
    <row r="368" customFormat="false" ht="15" hidden="false" customHeight="false" outlineLevel="0" collapsed="false">
      <c r="A368" s="32"/>
      <c r="B368" s="32"/>
      <c r="C368" s="27"/>
      <c r="D368" s="31"/>
      <c r="E368" s="32"/>
      <c r="F368" s="32"/>
      <c r="G368" s="32"/>
    </row>
    <row r="369" customFormat="false" ht="15" hidden="false" customHeight="false" outlineLevel="0" collapsed="false">
      <c r="A369" s="32"/>
      <c r="B369" s="32"/>
      <c r="C369" s="27"/>
      <c r="D369" s="31"/>
      <c r="E369" s="32"/>
      <c r="F369" s="32"/>
      <c r="G369" s="32"/>
    </row>
    <row r="370" customFormat="false" ht="15" hidden="false" customHeight="false" outlineLevel="0" collapsed="false">
      <c r="A370" s="32"/>
      <c r="B370" s="32"/>
      <c r="C370" s="27"/>
      <c r="D370" s="31"/>
      <c r="E370" s="32"/>
      <c r="F370" s="32"/>
      <c r="G370" s="32"/>
    </row>
    <row r="371" customFormat="false" ht="15" hidden="false" customHeight="false" outlineLevel="0" collapsed="false">
      <c r="A371" s="32"/>
      <c r="B371" s="32"/>
      <c r="C371" s="27"/>
      <c r="D371" s="31"/>
      <c r="E371" s="32"/>
      <c r="F371" s="32"/>
      <c r="G371" s="32"/>
    </row>
    <row r="372" customFormat="false" ht="15" hidden="false" customHeight="false" outlineLevel="0" collapsed="false">
      <c r="A372" s="32"/>
      <c r="B372" s="32"/>
      <c r="C372" s="27"/>
      <c r="D372" s="31"/>
      <c r="E372" s="32"/>
      <c r="F372" s="32"/>
      <c r="G372" s="32"/>
    </row>
    <row r="373" customFormat="false" ht="15" hidden="false" customHeight="false" outlineLevel="0" collapsed="false">
      <c r="A373" s="32"/>
      <c r="B373" s="32"/>
      <c r="C373" s="27"/>
      <c r="D373" s="31"/>
      <c r="E373" s="32"/>
      <c r="F373" s="32"/>
      <c r="G373" s="32"/>
    </row>
    <row r="374" customFormat="false" ht="15" hidden="false" customHeight="false" outlineLevel="0" collapsed="false">
      <c r="A374" s="32"/>
      <c r="B374" s="32"/>
      <c r="C374" s="27"/>
      <c r="D374" s="31"/>
      <c r="E374" s="32"/>
      <c r="F374" s="32"/>
      <c r="G374" s="32"/>
    </row>
    <row r="375" customFormat="false" ht="15" hidden="false" customHeight="false" outlineLevel="0" collapsed="false">
      <c r="A375" s="32"/>
      <c r="B375" s="32"/>
      <c r="C375" s="27"/>
      <c r="D375" s="31"/>
      <c r="E375" s="32"/>
      <c r="F375" s="32"/>
      <c r="G375" s="32"/>
    </row>
    <row r="376" customFormat="false" ht="15" hidden="false" customHeight="false" outlineLevel="0" collapsed="false">
      <c r="A376" s="32"/>
      <c r="B376" s="32"/>
      <c r="C376" s="27"/>
      <c r="D376" s="31"/>
      <c r="E376" s="32"/>
      <c r="F376" s="32"/>
      <c r="G376" s="32"/>
    </row>
    <row r="377" customFormat="false" ht="15" hidden="false" customHeight="false" outlineLevel="0" collapsed="false">
      <c r="A377" s="32"/>
      <c r="B377" s="32"/>
      <c r="C377" s="27"/>
      <c r="D377" s="31"/>
      <c r="E377" s="32"/>
      <c r="F377" s="32"/>
      <c r="G377" s="32"/>
    </row>
    <row r="378" customFormat="false" ht="15" hidden="false" customHeight="false" outlineLevel="0" collapsed="false">
      <c r="A378" s="32"/>
      <c r="B378" s="32"/>
      <c r="C378" s="27"/>
      <c r="D378" s="31"/>
      <c r="E378" s="32"/>
      <c r="F378" s="32"/>
      <c r="G378" s="32"/>
    </row>
    <row r="379" customFormat="false" ht="15" hidden="false" customHeight="false" outlineLevel="0" collapsed="false">
      <c r="A379" s="32"/>
      <c r="B379" s="32"/>
      <c r="C379" s="27"/>
      <c r="D379" s="31"/>
      <c r="E379" s="32"/>
      <c r="F379" s="32"/>
      <c r="G379" s="32"/>
    </row>
    <row r="380" customFormat="false" ht="15" hidden="false" customHeight="false" outlineLevel="0" collapsed="false">
      <c r="A380" s="32"/>
      <c r="B380" s="32"/>
      <c r="C380" s="27"/>
      <c r="D380" s="31"/>
      <c r="E380" s="32"/>
      <c r="F380" s="32"/>
      <c r="G380" s="32"/>
    </row>
    <row r="381" customFormat="false" ht="15" hidden="false" customHeight="false" outlineLevel="0" collapsed="false">
      <c r="A381" s="32"/>
      <c r="B381" s="32"/>
      <c r="C381" s="27"/>
      <c r="D381" s="31"/>
      <c r="E381" s="32"/>
      <c r="F381" s="32"/>
      <c r="G381" s="32"/>
    </row>
    <row r="382" customFormat="false" ht="15" hidden="false" customHeight="false" outlineLevel="0" collapsed="false">
      <c r="A382" s="32"/>
      <c r="B382" s="32"/>
      <c r="C382" s="27"/>
      <c r="D382" s="31"/>
      <c r="E382" s="32"/>
      <c r="F382" s="32"/>
      <c r="G382" s="32"/>
    </row>
    <row r="383" customFormat="false" ht="15" hidden="false" customHeight="false" outlineLevel="0" collapsed="false">
      <c r="A383" s="32"/>
      <c r="B383" s="32"/>
      <c r="C383" s="27"/>
      <c r="D383" s="31"/>
      <c r="E383" s="32"/>
      <c r="F383" s="32"/>
      <c r="G383" s="32"/>
    </row>
    <row r="384" customFormat="false" ht="15" hidden="false" customHeight="false" outlineLevel="0" collapsed="false">
      <c r="A384" s="32"/>
      <c r="B384" s="32"/>
      <c r="C384" s="27"/>
      <c r="D384" s="31"/>
      <c r="E384" s="32"/>
      <c r="F384" s="32"/>
      <c r="G384" s="32"/>
    </row>
    <row r="385" customFormat="false" ht="15" hidden="false" customHeight="false" outlineLevel="0" collapsed="false">
      <c r="A385" s="32"/>
      <c r="B385" s="32"/>
      <c r="C385" s="27"/>
      <c r="D385" s="31"/>
      <c r="E385" s="32"/>
      <c r="F385" s="32"/>
      <c r="G385" s="32"/>
    </row>
    <row r="386" customFormat="false" ht="15" hidden="false" customHeight="false" outlineLevel="0" collapsed="false">
      <c r="A386" s="32"/>
      <c r="B386" s="32"/>
      <c r="C386" s="27"/>
      <c r="D386" s="31"/>
      <c r="E386" s="32"/>
      <c r="F386" s="32"/>
      <c r="G386" s="32"/>
    </row>
    <row r="387" customFormat="false" ht="15" hidden="false" customHeight="false" outlineLevel="0" collapsed="false">
      <c r="A387" s="32"/>
      <c r="B387" s="32"/>
      <c r="C387" s="27"/>
      <c r="D387" s="31"/>
      <c r="E387" s="32"/>
      <c r="F387" s="32"/>
      <c r="G387" s="32"/>
    </row>
    <row r="388" customFormat="false" ht="15" hidden="false" customHeight="false" outlineLevel="0" collapsed="false">
      <c r="A388" s="32"/>
      <c r="B388" s="32"/>
      <c r="C388" s="27"/>
      <c r="D388" s="31"/>
      <c r="E388" s="32"/>
      <c r="F388" s="32"/>
      <c r="G388" s="32"/>
    </row>
    <row r="389" customFormat="false" ht="15" hidden="false" customHeight="false" outlineLevel="0" collapsed="false">
      <c r="A389" s="32"/>
      <c r="B389" s="32"/>
      <c r="C389" s="27"/>
      <c r="D389" s="31"/>
      <c r="E389" s="32"/>
      <c r="F389" s="32"/>
      <c r="G389" s="32"/>
    </row>
    <row r="390" customFormat="false" ht="15" hidden="false" customHeight="false" outlineLevel="0" collapsed="false">
      <c r="A390" s="32"/>
      <c r="B390" s="32"/>
      <c r="C390" s="27"/>
      <c r="D390" s="31"/>
      <c r="E390" s="32"/>
      <c r="F390" s="32"/>
      <c r="G390" s="32"/>
    </row>
    <row r="391" customFormat="false" ht="15" hidden="false" customHeight="false" outlineLevel="0" collapsed="false">
      <c r="A391" s="32"/>
      <c r="B391" s="32"/>
      <c r="C391" s="27"/>
      <c r="D391" s="31"/>
      <c r="E391" s="32"/>
      <c r="F391" s="32"/>
      <c r="G391" s="32"/>
    </row>
    <row r="392" customFormat="false" ht="15" hidden="false" customHeight="false" outlineLevel="0" collapsed="false">
      <c r="A392" s="32"/>
      <c r="B392" s="32"/>
      <c r="C392" s="27"/>
      <c r="D392" s="31"/>
      <c r="E392" s="32"/>
      <c r="F392" s="32"/>
      <c r="G392" s="32"/>
    </row>
    <row r="393" customFormat="false" ht="15" hidden="false" customHeight="false" outlineLevel="0" collapsed="false">
      <c r="A393" s="32"/>
      <c r="B393" s="32"/>
      <c r="C393" s="27"/>
      <c r="D393" s="31"/>
      <c r="E393" s="32"/>
      <c r="F393" s="32"/>
      <c r="G393" s="32"/>
    </row>
    <row r="394" customFormat="false" ht="15" hidden="false" customHeight="false" outlineLevel="0" collapsed="false">
      <c r="A394" s="32"/>
      <c r="B394" s="32"/>
      <c r="C394" s="27"/>
      <c r="D394" s="31"/>
      <c r="E394" s="32"/>
      <c r="F394" s="32"/>
      <c r="G394" s="32"/>
    </row>
    <row r="395" customFormat="false" ht="15" hidden="false" customHeight="false" outlineLevel="0" collapsed="false">
      <c r="A395" s="32"/>
      <c r="B395" s="32"/>
      <c r="C395" s="27"/>
      <c r="D395" s="31"/>
      <c r="E395" s="32"/>
      <c r="F395" s="32"/>
      <c r="G395" s="32"/>
    </row>
    <row r="396" customFormat="false" ht="15" hidden="false" customHeight="false" outlineLevel="0" collapsed="false">
      <c r="A396" s="32"/>
      <c r="B396" s="32"/>
      <c r="C396" s="27"/>
      <c r="D396" s="31"/>
      <c r="E396" s="32"/>
      <c r="F396" s="32"/>
      <c r="G396" s="32"/>
    </row>
    <row r="397" customFormat="false" ht="15" hidden="false" customHeight="false" outlineLevel="0" collapsed="false">
      <c r="A397" s="32"/>
      <c r="B397" s="32"/>
      <c r="C397" s="27"/>
      <c r="D397" s="31"/>
      <c r="E397" s="32"/>
      <c r="F397" s="32"/>
      <c r="G397" s="32"/>
    </row>
    <row r="398" customFormat="false" ht="15" hidden="false" customHeight="false" outlineLevel="0" collapsed="false">
      <c r="A398" s="32"/>
      <c r="B398" s="32"/>
      <c r="C398" s="27"/>
      <c r="D398" s="31"/>
      <c r="E398" s="32"/>
      <c r="F398" s="32"/>
      <c r="G398" s="32"/>
    </row>
    <row r="399" customFormat="false" ht="15" hidden="false" customHeight="false" outlineLevel="0" collapsed="false">
      <c r="A399" s="32"/>
      <c r="B399" s="32"/>
      <c r="C399" s="27"/>
      <c r="D399" s="31"/>
      <c r="E399" s="32"/>
      <c r="F399" s="32"/>
      <c r="G399" s="32"/>
    </row>
    <row r="400" customFormat="false" ht="15" hidden="false" customHeight="false" outlineLevel="0" collapsed="false">
      <c r="A400" s="32"/>
      <c r="B400" s="32"/>
      <c r="C400" s="27"/>
      <c r="D400" s="31"/>
      <c r="E400" s="32"/>
      <c r="F400" s="32"/>
      <c r="G400" s="32"/>
    </row>
    <row r="401" customFormat="false" ht="15" hidden="false" customHeight="false" outlineLevel="0" collapsed="false">
      <c r="A401" s="32"/>
      <c r="B401" s="32"/>
      <c r="C401" s="27"/>
      <c r="D401" s="31"/>
      <c r="E401" s="32"/>
      <c r="F401" s="32"/>
      <c r="G401" s="32"/>
    </row>
    <row r="402" customFormat="false" ht="15" hidden="false" customHeight="false" outlineLevel="0" collapsed="false">
      <c r="A402" s="32"/>
      <c r="B402" s="32"/>
      <c r="C402" s="27"/>
      <c r="D402" s="31"/>
      <c r="E402" s="32"/>
      <c r="F402" s="32"/>
      <c r="G402" s="32"/>
    </row>
    <row r="403" customFormat="false" ht="15" hidden="false" customHeight="false" outlineLevel="0" collapsed="false">
      <c r="A403" s="32"/>
      <c r="B403" s="32"/>
      <c r="C403" s="27"/>
      <c r="D403" s="31"/>
      <c r="E403" s="32"/>
      <c r="F403" s="32"/>
      <c r="G403" s="32"/>
    </row>
    <row r="404" customFormat="false" ht="15" hidden="false" customHeight="false" outlineLevel="0" collapsed="false">
      <c r="A404" s="32"/>
      <c r="B404" s="32"/>
      <c r="C404" s="27"/>
      <c r="D404" s="31"/>
      <c r="E404" s="32"/>
      <c r="F404" s="32"/>
      <c r="G404" s="32"/>
    </row>
    <row r="405" customFormat="false" ht="15" hidden="false" customHeight="false" outlineLevel="0" collapsed="false">
      <c r="A405" s="32"/>
      <c r="B405" s="32"/>
      <c r="C405" s="27"/>
      <c r="D405" s="31"/>
      <c r="E405" s="32"/>
      <c r="F405" s="32"/>
      <c r="G405" s="32"/>
    </row>
    <row r="406" customFormat="false" ht="15" hidden="false" customHeight="false" outlineLevel="0" collapsed="false">
      <c r="A406" s="32"/>
      <c r="B406" s="32"/>
      <c r="C406" s="27"/>
      <c r="D406" s="31"/>
      <c r="E406" s="32"/>
      <c r="F406" s="32"/>
      <c r="G406" s="32"/>
    </row>
    <row r="407" customFormat="false" ht="15" hidden="false" customHeight="false" outlineLevel="0" collapsed="false">
      <c r="A407" s="32"/>
      <c r="B407" s="32"/>
      <c r="C407" s="27"/>
      <c r="D407" s="31"/>
      <c r="E407" s="32"/>
      <c r="F407" s="32"/>
      <c r="G407" s="32"/>
    </row>
    <row r="408" customFormat="false" ht="15" hidden="false" customHeight="false" outlineLevel="0" collapsed="false">
      <c r="A408" s="32"/>
      <c r="B408" s="32"/>
      <c r="C408" s="27"/>
      <c r="D408" s="31"/>
      <c r="E408" s="32"/>
      <c r="F408" s="32"/>
      <c r="G408" s="32"/>
    </row>
    <row r="409" customFormat="false" ht="15" hidden="false" customHeight="false" outlineLevel="0" collapsed="false">
      <c r="A409" s="32"/>
      <c r="B409" s="32"/>
      <c r="C409" s="27"/>
      <c r="D409" s="31"/>
      <c r="E409" s="32"/>
      <c r="F409" s="32"/>
      <c r="G409" s="32"/>
    </row>
    <row r="410" customFormat="false" ht="15" hidden="false" customHeight="false" outlineLevel="0" collapsed="false">
      <c r="A410" s="32"/>
      <c r="B410" s="32"/>
      <c r="C410" s="27"/>
      <c r="D410" s="31"/>
      <c r="E410" s="32"/>
      <c r="F410" s="32"/>
      <c r="G410" s="32"/>
    </row>
    <row r="411" customFormat="false" ht="15" hidden="false" customHeight="false" outlineLevel="0" collapsed="false">
      <c r="A411" s="32"/>
      <c r="B411" s="32"/>
      <c r="C411" s="27"/>
      <c r="D411" s="31"/>
      <c r="E411" s="32"/>
      <c r="F411" s="32"/>
      <c r="G411" s="32"/>
    </row>
    <row r="412" customFormat="false" ht="15" hidden="false" customHeight="false" outlineLevel="0" collapsed="false">
      <c r="A412" s="32"/>
      <c r="B412" s="32"/>
      <c r="C412" s="27"/>
      <c r="D412" s="31"/>
      <c r="E412" s="32"/>
      <c r="F412" s="32"/>
      <c r="G412" s="32"/>
    </row>
    <row r="413" customFormat="false" ht="15" hidden="false" customHeight="false" outlineLevel="0" collapsed="false">
      <c r="A413" s="32"/>
      <c r="B413" s="32"/>
      <c r="C413" s="27"/>
      <c r="D413" s="31"/>
      <c r="E413" s="32"/>
      <c r="F413" s="32"/>
      <c r="G413" s="32"/>
    </row>
    <row r="414" customFormat="false" ht="15" hidden="false" customHeight="false" outlineLevel="0" collapsed="false">
      <c r="A414" s="32"/>
      <c r="B414" s="32"/>
      <c r="C414" s="27"/>
      <c r="D414" s="31"/>
      <c r="E414" s="32"/>
      <c r="F414" s="32"/>
      <c r="G414" s="32"/>
    </row>
    <row r="415" customFormat="false" ht="15" hidden="false" customHeight="false" outlineLevel="0" collapsed="false">
      <c r="A415" s="32"/>
      <c r="B415" s="32"/>
      <c r="C415" s="27"/>
      <c r="D415" s="31"/>
      <c r="E415" s="32"/>
      <c r="F415" s="32"/>
      <c r="G415" s="32"/>
    </row>
    <row r="416" customFormat="false" ht="15" hidden="false" customHeight="false" outlineLevel="0" collapsed="false">
      <c r="A416" s="32"/>
      <c r="B416" s="32"/>
      <c r="C416" s="27"/>
      <c r="D416" s="31"/>
      <c r="E416" s="32"/>
      <c r="F416" s="32"/>
      <c r="G416" s="32"/>
    </row>
    <row r="417" customFormat="false" ht="15" hidden="false" customHeight="false" outlineLevel="0" collapsed="false">
      <c r="A417" s="32"/>
      <c r="B417" s="32"/>
      <c r="C417" s="27"/>
      <c r="D417" s="31"/>
      <c r="E417" s="32"/>
      <c r="F417" s="32"/>
      <c r="G417" s="32"/>
    </row>
    <row r="418" customFormat="false" ht="15" hidden="false" customHeight="false" outlineLevel="0" collapsed="false">
      <c r="A418" s="32"/>
      <c r="B418" s="32"/>
      <c r="C418" s="27"/>
      <c r="D418" s="31"/>
      <c r="E418" s="32"/>
      <c r="F418" s="32"/>
      <c r="G418" s="32"/>
    </row>
    <row r="419" customFormat="false" ht="15" hidden="false" customHeight="false" outlineLevel="0" collapsed="false">
      <c r="A419" s="32"/>
      <c r="B419" s="32"/>
      <c r="C419" s="27"/>
      <c r="D419" s="31"/>
      <c r="E419" s="32"/>
      <c r="F419" s="32"/>
      <c r="G419" s="32"/>
    </row>
    <row r="420" customFormat="false" ht="15" hidden="false" customHeight="false" outlineLevel="0" collapsed="false">
      <c r="A420" s="32"/>
      <c r="B420" s="32"/>
      <c r="C420" s="27"/>
      <c r="D420" s="31"/>
      <c r="E420" s="32"/>
      <c r="F420" s="32"/>
      <c r="G420" s="32"/>
    </row>
    <row r="421" customFormat="false" ht="15" hidden="false" customHeight="false" outlineLevel="0" collapsed="false">
      <c r="A421" s="32"/>
      <c r="B421" s="32"/>
      <c r="C421" s="27"/>
      <c r="D421" s="31"/>
      <c r="E421" s="32"/>
      <c r="F421" s="32"/>
      <c r="G421" s="32"/>
    </row>
    <row r="422" customFormat="false" ht="15" hidden="false" customHeight="false" outlineLevel="0" collapsed="false">
      <c r="A422" s="32"/>
      <c r="B422" s="32"/>
      <c r="C422" s="27"/>
      <c r="D422" s="31"/>
      <c r="E422" s="32"/>
      <c r="F422" s="32"/>
      <c r="G422" s="32"/>
    </row>
    <row r="423" customFormat="false" ht="15" hidden="false" customHeight="false" outlineLevel="0" collapsed="false">
      <c r="A423" s="32"/>
      <c r="B423" s="32"/>
      <c r="C423" s="27"/>
      <c r="D423" s="31"/>
      <c r="E423" s="32"/>
      <c r="F423" s="32"/>
      <c r="G423" s="32"/>
    </row>
    <row r="424" customFormat="false" ht="15" hidden="false" customHeight="false" outlineLevel="0" collapsed="false">
      <c r="A424" s="32"/>
      <c r="B424" s="32"/>
      <c r="C424" s="27"/>
      <c r="D424" s="31"/>
      <c r="E424" s="32"/>
      <c r="F424" s="32"/>
      <c r="G424" s="32"/>
    </row>
    <row r="425" customFormat="false" ht="15" hidden="false" customHeight="false" outlineLevel="0" collapsed="false">
      <c r="A425" s="32"/>
      <c r="B425" s="32"/>
      <c r="C425" s="27"/>
      <c r="D425" s="31"/>
      <c r="E425" s="32"/>
      <c r="F425" s="32"/>
      <c r="G425" s="32"/>
    </row>
    <row r="426" customFormat="false" ht="15" hidden="false" customHeight="false" outlineLevel="0" collapsed="false">
      <c r="A426" s="32"/>
      <c r="B426" s="32"/>
      <c r="C426" s="27"/>
      <c r="D426" s="31"/>
      <c r="E426" s="32"/>
      <c r="F426" s="32"/>
      <c r="G426" s="32"/>
    </row>
    <row r="427" customFormat="false" ht="15" hidden="false" customHeight="false" outlineLevel="0" collapsed="false">
      <c r="A427" s="32"/>
      <c r="B427" s="32"/>
      <c r="C427" s="27"/>
      <c r="D427" s="31"/>
      <c r="E427" s="32"/>
      <c r="F427" s="32"/>
      <c r="G427" s="32"/>
    </row>
    <row r="428" customFormat="false" ht="15" hidden="false" customHeight="false" outlineLevel="0" collapsed="false">
      <c r="A428" s="32"/>
      <c r="B428" s="32"/>
      <c r="C428" s="27"/>
      <c r="D428" s="31"/>
      <c r="E428" s="32"/>
      <c r="F428" s="32"/>
      <c r="G428" s="32"/>
    </row>
    <row r="429" customFormat="false" ht="15" hidden="false" customHeight="false" outlineLevel="0" collapsed="false">
      <c r="A429" s="32"/>
      <c r="B429" s="32"/>
      <c r="C429" s="27"/>
      <c r="D429" s="31"/>
      <c r="E429" s="32"/>
      <c r="F429" s="32"/>
      <c r="G429" s="32"/>
    </row>
    <row r="430" customFormat="false" ht="15" hidden="false" customHeight="false" outlineLevel="0" collapsed="false">
      <c r="A430" s="32"/>
      <c r="B430" s="32"/>
      <c r="C430" s="27"/>
      <c r="D430" s="31"/>
      <c r="E430" s="32"/>
      <c r="F430" s="32"/>
      <c r="G430" s="32"/>
    </row>
    <row r="431" customFormat="false" ht="15" hidden="false" customHeight="false" outlineLevel="0" collapsed="false">
      <c r="A431" s="32"/>
      <c r="B431" s="32"/>
      <c r="C431" s="27"/>
      <c r="D431" s="31"/>
      <c r="E431" s="32"/>
      <c r="F431" s="32"/>
      <c r="G431" s="32"/>
    </row>
    <row r="432" customFormat="false" ht="15" hidden="false" customHeight="false" outlineLevel="0" collapsed="false">
      <c r="A432" s="32"/>
      <c r="B432" s="32"/>
      <c r="C432" s="27"/>
      <c r="D432" s="31"/>
      <c r="E432" s="32"/>
      <c r="F432" s="32"/>
      <c r="G432" s="32"/>
    </row>
    <row r="433" customFormat="false" ht="15" hidden="false" customHeight="false" outlineLevel="0" collapsed="false">
      <c r="A433" s="32"/>
      <c r="B433" s="32"/>
      <c r="C433" s="27"/>
      <c r="D433" s="31"/>
      <c r="E433" s="32"/>
      <c r="F433" s="32"/>
      <c r="G433" s="32"/>
    </row>
    <row r="434" customFormat="false" ht="15" hidden="false" customHeight="false" outlineLevel="0" collapsed="false">
      <c r="A434" s="32"/>
      <c r="B434" s="32"/>
      <c r="C434" s="27"/>
      <c r="D434" s="31"/>
      <c r="E434" s="32"/>
      <c r="F434" s="32"/>
      <c r="G434" s="32"/>
    </row>
    <row r="435" customFormat="false" ht="15" hidden="false" customHeight="false" outlineLevel="0" collapsed="false">
      <c r="A435" s="32"/>
      <c r="B435" s="32"/>
      <c r="C435" s="27"/>
      <c r="D435" s="31"/>
      <c r="E435" s="32"/>
      <c r="F435" s="32"/>
      <c r="G435" s="32"/>
    </row>
    <row r="436" customFormat="false" ht="15" hidden="false" customHeight="false" outlineLevel="0" collapsed="false">
      <c r="A436" s="32"/>
      <c r="B436" s="32"/>
      <c r="C436" s="27"/>
      <c r="D436" s="31"/>
      <c r="E436" s="32"/>
      <c r="F436" s="32"/>
      <c r="G436" s="32"/>
    </row>
    <row r="437" customFormat="false" ht="15" hidden="false" customHeight="false" outlineLevel="0" collapsed="false">
      <c r="A437" s="32"/>
      <c r="B437" s="32"/>
      <c r="C437" s="27"/>
      <c r="D437" s="31"/>
      <c r="E437" s="32"/>
      <c r="F437" s="32"/>
      <c r="G437" s="32"/>
    </row>
    <row r="438" customFormat="false" ht="15" hidden="false" customHeight="false" outlineLevel="0" collapsed="false">
      <c r="A438" s="32"/>
      <c r="B438" s="32"/>
      <c r="C438" s="27"/>
      <c r="D438" s="31"/>
      <c r="E438" s="32"/>
      <c r="F438" s="32"/>
      <c r="G438" s="32"/>
    </row>
    <row r="439" customFormat="false" ht="15" hidden="false" customHeight="false" outlineLevel="0" collapsed="false">
      <c r="A439" s="32"/>
      <c r="B439" s="32"/>
      <c r="C439" s="27"/>
      <c r="D439" s="31"/>
      <c r="E439" s="32"/>
      <c r="F439" s="32"/>
      <c r="G439" s="32"/>
    </row>
    <row r="440" customFormat="false" ht="15" hidden="false" customHeight="false" outlineLevel="0" collapsed="false">
      <c r="A440" s="32"/>
      <c r="B440" s="32"/>
      <c r="C440" s="27"/>
      <c r="D440" s="31"/>
      <c r="E440" s="32"/>
      <c r="F440" s="32"/>
      <c r="G440" s="32"/>
    </row>
    <row r="441" customFormat="false" ht="15" hidden="false" customHeight="false" outlineLevel="0" collapsed="false">
      <c r="A441" s="32"/>
      <c r="B441" s="32"/>
      <c r="C441" s="27"/>
      <c r="D441" s="31"/>
      <c r="E441" s="32"/>
      <c r="F441" s="32"/>
      <c r="G441" s="32"/>
    </row>
    <row r="442" customFormat="false" ht="15" hidden="false" customHeight="false" outlineLevel="0" collapsed="false">
      <c r="A442" s="32"/>
      <c r="B442" s="32"/>
      <c r="C442" s="27"/>
      <c r="D442" s="31"/>
      <c r="E442" s="32"/>
      <c r="F442" s="32"/>
      <c r="G442" s="32"/>
    </row>
    <row r="443" customFormat="false" ht="15" hidden="false" customHeight="false" outlineLevel="0" collapsed="false">
      <c r="A443" s="32"/>
      <c r="B443" s="32"/>
      <c r="C443" s="27"/>
      <c r="D443" s="31"/>
      <c r="E443" s="32"/>
      <c r="F443" s="32"/>
      <c r="G443" s="32"/>
    </row>
    <row r="444" customFormat="false" ht="15" hidden="false" customHeight="false" outlineLevel="0" collapsed="false">
      <c r="A444" s="32"/>
      <c r="B444" s="32"/>
      <c r="C444" s="27"/>
      <c r="D444" s="31"/>
      <c r="E444" s="32"/>
      <c r="F444" s="32"/>
      <c r="G444" s="32"/>
    </row>
    <row r="445" customFormat="false" ht="15" hidden="false" customHeight="false" outlineLevel="0" collapsed="false">
      <c r="A445" s="32"/>
      <c r="B445" s="32"/>
      <c r="C445" s="27"/>
      <c r="D445" s="31"/>
      <c r="E445" s="32"/>
      <c r="F445" s="32"/>
      <c r="G445" s="32"/>
    </row>
    <row r="446" customFormat="false" ht="15" hidden="false" customHeight="false" outlineLevel="0" collapsed="false">
      <c r="A446" s="32"/>
      <c r="B446" s="32"/>
      <c r="C446" s="27"/>
      <c r="D446" s="31"/>
      <c r="E446" s="32"/>
      <c r="F446" s="32"/>
      <c r="G446" s="32"/>
    </row>
    <row r="447" customFormat="false" ht="15" hidden="false" customHeight="false" outlineLevel="0" collapsed="false">
      <c r="A447" s="32"/>
      <c r="B447" s="32"/>
      <c r="C447" s="27"/>
      <c r="D447" s="31"/>
      <c r="E447" s="32"/>
      <c r="F447" s="32"/>
      <c r="G447" s="32"/>
    </row>
    <row r="448" customFormat="false" ht="15" hidden="false" customHeight="false" outlineLevel="0" collapsed="false">
      <c r="A448" s="32"/>
      <c r="B448" s="32"/>
      <c r="C448" s="27"/>
      <c r="D448" s="31"/>
      <c r="E448" s="32"/>
      <c r="F448" s="32"/>
      <c r="G448" s="32"/>
    </row>
    <row r="449" customFormat="false" ht="15" hidden="false" customHeight="false" outlineLevel="0" collapsed="false">
      <c r="A449" s="32"/>
      <c r="B449" s="32"/>
      <c r="C449" s="27"/>
      <c r="D449" s="31"/>
      <c r="E449" s="32"/>
      <c r="F449" s="32"/>
      <c r="G449" s="32"/>
    </row>
    <row r="450" customFormat="false" ht="15" hidden="false" customHeight="false" outlineLevel="0" collapsed="false">
      <c r="A450" s="32"/>
      <c r="B450" s="32"/>
      <c r="C450" s="27"/>
      <c r="D450" s="31"/>
      <c r="E450" s="32"/>
      <c r="F450" s="32"/>
      <c r="G450" s="32"/>
    </row>
    <row r="451" customFormat="false" ht="15" hidden="false" customHeight="false" outlineLevel="0" collapsed="false">
      <c r="A451" s="32"/>
      <c r="B451" s="32"/>
      <c r="C451" s="27"/>
      <c r="D451" s="31"/>
      <c r="E451" s="32"/>
      <c r="F451" s="32"/>
      <c r="G451" s="32"/>
    </row>
    <row r="452" customFormat="false" ht="15" hidden="false" customHeight="false" outlineLevel="0" collapsed="false">
      <c r="A452" s="32"/>
      <c r="B452" s="32"/>
      <c r="C452" s="27"/>
      <c r="D452" s="31"/>
      <c r="E452" s="32"/>
      <c r="F452" s="32"/>
      <c r="G452" s="32"/>
    </row>
    <row r="453" customFormat="false" ht="15" hidden="false" customHeight="false" outlineLevel="0" collapsed="false">
      <c r="A453" s="32"/>
      <c r="B453" s="32"/>
      <c r="C453" s="27"/>
      <c r="D453" s="31"/>
      <c r="E453" s="32"/>
      <c r="F453" s="32"/>
      <c r="G453" s="32"/>
    </row>
    <row r="454" customFormat="false" ht="15" hidden="false" customHeight="false" outlineLevel="0" collapsed="false">
      <c r="A454" s="32"/>
      <c r="B454" s="32"/>
      <c r="C454" s="27"/>
      <c r="D454" s="31"/>
      <c r="E454" s="32"/>
      <c r="F454" s="32"/>
      <c r="G454" s="32"/>
    </row>
    <row r="455" customFormat="false" ht="15" hidden="false" customHeight="false" outlineLevel="0" collapsed="false">
      <c r="A455" s="32"/>
      <c r="B455" s="32"/>
      <c r="C455" s="27"/>
      <c r="D455" s="31"/>
      <c r="E455" s="32"/>
      <c r="F455" s="32"/>
      <c r="G455" s="32"/>
    </row>
    <row r="456" customFormat="false" ht="15" hidden="false" customHeight="false" outlineLevel="0" collapsed="false">
      <c r="A456" s="32"/>
      <c r="B456" s="32"/>
      <c r="C456" s="27"/>
      <c r="D456" s="31"/>
      <c r="E456" s="32"/>
      <c r="F456" s="32"/>
      <c r="G456" s="32"/>
    </row>
    <row r="457" customFormat="false" ht="15" hidden="false" customHeight="false" outlineLevel="0" collapsed="false">
      <c r="A457" s="32"/>
      <c r="B457" s="32"/>
      <c r="C457" s="27"/>
      <c r="D457" s="31"/>
      <c r="E457" s="32"/>
      <c r="F457" s="32"/>
      <c r="G457" s="32"/>
    </row>
    <row r="458" customFormat="false" ht="15" hidden="false" customHeight="false" outlineLevel="0" collapsed="false">
      <c r="A458" s="32"/>
      <c r="B458" s="32"/>
      <c r="C458" s="27"/>
      <c r="D458" s="31"/>
      <c r="E458" s="32"/>
      <c r="F458" s="32"/>
      <c r="G458" s="32"/>
    </row>
    <row r="459" customFormat="false" ht="15" hidden="false" customHeight="false" outlineLevel="0" collapsed="false">
      <c r="A459" s="32"/>
      <c r="B459" s="32"/>
      <c r="C459" s="27"/>
      <c r="D459" s="31"/>
      <c r="E459" s="32"/>
      <c r="F459" s="32"/>
      <c r="G459" s="32"/>
    </row>
    <row r="460" customFormat="false" ht="15" hidden="false" customHeight="false" outlineLevel="0" collapsed="false">
      <c r="A460" s="32"/>
      <c r="B460" s="32"/>
      <c r="C460" s="27"/>
      <c r="D460" s="31"/>
      <c r="E460" s="32"/>
      <c r="F460" s="32"/>
      <c r="G460" s="32"/>
    </row>
    <row r="461" customFormat="false" ht="15" hidden="false" customHeight="false" outlineLevel="0" collapsed="false">
      <c r="A461" s="32"/>
      <c r="B461" s="32"/>
      <c r="C461" s="27"/>
      <c r="D461" s="31"/>
      <c r="E461" s="32"/>
      <c r="F461" s="32"/>
      <c r="G461" s="32"/>
    </row>
    <row r="462" customFormat="false" ht="15" hidden="false" customHeight="false" outlineLevel="0" collapsed="false">
      <c r="A462" s="32"/>
      <c r="B462" s="32"/>
      <c r="C462" s="27"/>
      <c r="D462" s="31"/>
      <c r="E462" s="32"/>
      <c r="F462" s="32"/>
      <c r="G462" s="32"/>
    </row>
    <row r="463" customFormat="false" ht="15" hidden="false" customHeight="false" outlineLevel="0" collapsed="false">
      <c r="A463" s="32"/>
      <c r="B463" s="32"/>
      <c r="C463" s="27"/>
      <c r="D463" s="31"/>
      <c r="E463" s="32"/>
      <c r="F463" s="32"/>
      <c r="G463" s="32"/>
    </row>
    <row r="464" customFormat="false" ht="15" hidden="false" customHeight="false" outlineLevel="0" collapsed="false">
      <c r="A464" s="32"/>
      <c r="B464" s="32"/>
      <c r="C464" s="27"/>
      <c r="D464" s="31"/>
      <c r="E464" s="32"/>
      <c r="F464" s="32"/>
      <c r="G464" s="32"/>
    </row>
    <row r="465" customFormat="false" ht="15" hidden="false" customHeight="false" outlineLevel="0" collapsed="false">
      <c r="A465" s="32"/>
      <c r="B465" s="32"/>
      <c r="C465" s="27"/>
      <c r="D465" s="31"/>
      <c r="E465" s="32"/>
      <c r="F465" s="32"/>
      <c r="G465" s="32"/>
    </row>
    <row r="466" customFormat="false" ht="15" hidden="false" customHeight="false" outlineLevel="0" collapsed="false">
      <c r="A466" s="32"/>
      <c r="B466" s="32"/>
      <c r="C466" s="27"/>
      <c r="D466" s="31"/>
      <c r="E466" s="32"/>
      <c r="F466" s="32"/>
      <c r="G466" s="32"/>
    </row>
    <row r="467" customFormat="false" ht="15" hidden="false" customHeight="false" outlineLevel="0" collapsed="false">
      <c r="A467" s="32"/>
      <c r="B467" s="32"/>
      <c r="C467" s="27"/>
      <c r="D467" s="31"/>
      <c r="E467" s="32"/>
      <c r="F467" s="32"/>
      <c r="G467" s="32"/>
    </row>
    <row r="468" customFormat="false" ht="15" hidden="false" customHeight="false" outlineLevel="0" collapsed="false">
      <c r="A468" s="32"/>
      <c r="B468" s="32"/>
      <c r="C468" s="27"/>
      <c r="D468" s="31"/>
      <c r="E468" s="32"/>
      <c r="F468" s="32"/>
      <c r="G468" s="32"/>
    </row>
    <row r="469" customFormat="false" ht="15" hidden="false" customHeight="false" outlineLevel="0" collapsed="false">
      <c r="A469" s="32"/>
      <c r="B469" s="32"/>
      <c r="C469" s="27"/>
      <c r="D469" s="31"/>
      <c r="E469" s="32"/>
      <c r="F469" s="32"/>
      <c r="G469" s="32"/>
    </row>
    <row r="470" customFormat="false" ht="15" hidden="false" customHeight="false" outlineLevel="0" collapsed="false">
      <c r="A470" s="32"/>
      <c r="B470" s="32"/>
      <c r="C470" s="27"/>
      <c r="D470" s="31"/>
      <c r="E470" s="32"/>
      <c r="F470" s="32"/>
      <c r="G470" s="32"/>
    </row>
    <row r="471" customFormat="false" ht="15" hidden="false" customHeight="false" outlineLevel="0" collapsed="false">
      <c r="A471" s="32"/>
      <c r="B471" s="32"/>
      <c r="C471" s="27"/>
      <c r="D471" s="31"/>
      <c r="E471" s="32"/>
      <c r="F471" s="32"/>
      <c r="G471" s="32"/>
    </row>
    <row r="472" customFormat="false" ht="15" hidden="false" customHeight="false" outlineLevel="0" collapsed="false">
      <c r="A472" s="32"/>
      <c r="B472" s="32"/>
      <c r="C472" s="27"/>
      <c r="D472" s="31"/>
      <c r="E472" s="32"/>
      <c r="F472" s="32"/>
      <c r="G472" s="32"/>
    </row>
    <row r="473" customFormat="false" ht="15" hidden="false" customHeight="false" outlineLevel="0" collapsed="false">
      <c r="A473" s="32"/>
      <c r="B473" s="32"/>
      <c r="C473" s="27"/>
      <c r="D473" s="31"/>
      <c r="E473" s="32"/>
      <c r="F473" s="32"/>
      <c r="G473" s="32"/>
    </row>
    <row r="474" customFormat="false" ht="15" hidden="false" customHeight="false" outlineLevel="0" collapsed="false">
      <c r="A474" s="32"/>
      <c r="B474" s="32"/>
      <c r="C474" s="27"/>
      <c r="D474" s="31"/>
      <c r="E474" s="32"/>
      <c r="F474" s="32"/>
      <c r="G474" s="32"/>
    </row>
    <row r="475" customFormat="false" ht="15" hidden="false" customHeight="false" outlineLevel="0" collapsed="false">
      <c r="A475" s="32"/>
      <c r="B475" s="32"/>
      <c r="C475" s="27"/>
      <c r="D475" s="31"/>
      <c r="E475" s="32"/>
      <c r="F475" s="32"/>
      <c r="G475" s="32"/>
    </row>
    <row r="476" customFormat="false" ht="15" hidden="false" customHeight="false" outlineLevel="0" collapsed="false">
      <c r="A476" s="32"/>
      <c r="B476" s="32"/>
      <c r="C476" s="27"/>
      <c r="D476" s="31"/>
      <c r="E476" s="32"/>
      <c r="F476" s="32"/>
      <c r="G476" s="32"/>
    </row>
    <row r="477" customFormat="false" ht="15" hidden="false" customHeight="false" outlineLevel="0" collapsed="false">
      <c r="A477" s="32"/>
      <c r="B477" s="32"/>
      <c r="C477" s="27"/>
      <c r="D477" s="31"/>
      <c r="E477" s="32"/>
      <c r="F477" s="32"/>
      <c r="G477" s="32"/>
    </row>
    <row r="478" customFormat="false" ht="15" hidden="false" customHeight="false" outlineLevel="0" collapsed="false">
      <c r="A478" s="32"/>
      <c r="B478" s="32"/>
      <c r="C478" s="27"/>
      <c r="D478" s="31"/>
      <c r="E478" s="32"/>
      <c r="F478" s="32"/>
      <c r="G478" s="32"/>
    </row>
    <row r="479" customFormat="false" ht="15" hidden="false" customHeight="false" outlineLevel="0" collapsed="false">
      <c r="A479" s="32"/>
      <c r="B479" s="32"/>
      <c r="C479" s="27"/>
      <c r="D479" s="31"/>
      <c r="E479" s="32"/>
      <c r="F479" s="32"/>
      <c r="G479" s="32"/>
    </row>
    <row r="480" customFormat="false" ht="15" hidden="false" customHeight="false" outlineLevel="0" collapsed="false">
      <c r="A480" s="32"/>
      <c r="B480" s="32"/>
      <c r="C480" s="27"/>
      <c r="D480" s="31"/>
      <c r="E480" s="32"/>
      <c r="F480" s="32"/>
      <c r="G480" s="32"/>
    </row>
    <row r="481" customFormat="false" ht="15" hidden="false" customHeight="false" outlineLevel="0" collapsed="false">
      <c r="A481" s="32"/>
      <c r="B481" s="32"/>
      <c r="C481" s="27"/>
      <c r="D481" s="31"/>
      <c r="E481" s="32"/>
      <c r="F481" s="32"/>
      <c r="G481" s="32"/>
    </row>
    <row r="482" customFormat="false" ht="15" hidden="false" customHeight="false" outlineLevel="0" collapsed="false">
      <c r="A482" s="32"/>
      <c r="B482" s="32"/>
      <c r="C482" s="27"/>
      <c r="D482" s="31"/>
      <c r="E482" s="32"/>
      <c r="F482" s="32"/>
      <c r="G482" s="32"/>
    </row>
    <row r="483" customFormat="false" ht="15" hidden="false" customHeight="false" outlineLevel="0" collapsed="false">
      <c r="A483" s="32"/>
      <c r="B483" s="32"/>
      <c r="C483" s="27"/>
      <c r="D483" s="31"/>
      <c r="E483" s="32"/>
      <c r="F483" s="32"/>
      <c r="G483" s="32"/>
    </row>
    <row r="484" customFormat="false" ht="15" hidden="false" customHeight="false" outlineLevel="0" collapsed="false">
      <c r="A484" s="32"/>
      <c r="B484" s="32"/>
      <c r="C484" s="27"/>
      <c r="D484" s="31"/>
      <c r="E484" s="32"/>
      <c r="F484" s="32"/>
      <c r="G484" s="32"/>
    </row>
    <row r="485" customFormat="false" ht="15" hidden="false" customHeight="false" outlineLevel="0" collapsed="false">
      <c r="A485" s="32"/>
      <c r="B485" s="32"/>
      <c r="C485" s="27"/>
      <c r="D485" s="31"/>
      <c r="E485" s="32"/>
      <c r="F485" s="32"/>
      <c r="G485" s="32"/>
    </row>
    <row r="486" customFormat="false" ht="15" hidden="false" customHeight="false" outlineLevel="0" collapsed="false">
      <c r="A486" s="32"/>
      <c r="B486" s="32"/>
      <c r="C486" s="27"/>
      <c r="D486" s="31"/>
      <c r="E486" s="32"/>
      <c r="F486" s="32"/>
      <c r="G486" s="32"/>
    </row>
    <row r="487" customFormat="false" ht="15" hidden="false" customHeight="false" outlineLevel="0" collapsed="false">
      <c r="A487" s="32"/>
      <c r="B487" s="32"/>
      <c r="C487" s="27"/>
      <c r="D487" s="31"/>
      <c r="E487" s="32"/>
      <c r="F487" s="32"/>
      <c r="G487" s="32"/>
    </row>
    <row r="488" customFormat="false" ht="15" hidden="false" customHeight="false" outlineLevel="0" collapsed="false">
      <c r="A488" s="32"/>
      <c r="B488" s="32"/>
      <c r="C488" s="27"/>
      <c r="D488" s="31"/>
      <c r="E488" s="32"/>
      <c r="F488" s="32"/>
      <c r="G488" s="32"/>
    </row>
    <row r="489" customFormat="false" ht="15" hidden="false" customHeight="false" outlineLevel="0" collapsed="false">
      <c r="A489" s="32"/>
      <c r="B489" s="32"/>
      <c r="C489" s="27"/>
      <c r="D489" s="31"/>
      <c r="E489" s="32"/>
      <c r="F489" s="32"/>
      <c r="G489" s="32"/>
    </row>
    <row r="490" customFormat="false" ht="15" hidden="false" customHeight="false" outlineLevel="0" collapsed="false">
      <c r="A490" s="32"/>
      <c r="B490" s="32"/>
      <c r="C490" s="27"/>
      <c r="D490" s="31"/>
      <c r="E490" s="32"/>
      <c r="F490" s="32"/>
      <c r="G490" s="32"/>
    </row>
    <row r="491" customFormat="false" ht="15" hidden="false" customHeight="false" outlineLevel="0" collapsed="false">
      <c r="A491" s="32"/>
      <c r="B491" s="32"/>
      <c r="C491" s="27"/>
      <c r="D491" s="31"/>
      <c r="E491" s="32"/>
      <c r="F491" s="32"/>
      <c r="G491" s="32"/>
    </row>
    <row r="492" customFormat="false" ht="15" hidden="false" customHeight="false" outlineLevel="0" collapsed="false">
      <c r="A492" s="32"/>
      <c r="B492" s="32"/>
      <c r="C492" s="27"/>
      <c r="D492" s="31"/>
      <c r="E492" s="32"/>
      <c r="F492" s="32"/>
      <c r="G492" s="32"/>
    </row>
    <row r="493" customFormat="false" ht="15" hidden="false" customHeight="false" outlineLevel="0" collapsed="false">
      <c r="A493" s="32"/>
      <c r="B493" s="32"/>
      <c r="C493" s="27"/>
      <c r="D493" s="31"/>
      <c r="E493" s="32"/>
      <c r="F493" s="32"/>
      <c r="G493" s="32"/>
    </row>
    <row r="494" customFormat="false" ht="15" hidden="false" customHeight="false" outlineLevel="0" collapsed="false">
      <c r="A494" s="32"/>
      <c r="B494" s="32"/>
      <c r="C494" s="27"/>
      <c r="D494" s="31"/>
      <c r="E494" s="32"/>
      <c r="F494" s="32"/>
      <c r="G494" s="32"/>
    </row>
    <row r="495" customFormat="false" ht="15" hidden="false" customHeight="false" outlineLevel="0" collapsed="false">
      <c r="A495" s="32"/>
      <c r="B495" s="32"/>
      <c r="C495" s="27"/>
      <c r="D495" s="31"/>
      <c r="E495" s="32"/>
      <c r="F495" s="32"/>
      <c r="G495" s="32"/>
    </row>
    <row r="496" customFormat="false" ht="15" hidden="false" customHeight="false" outlineLevel="0" collapsed="false">
      <c r="A496" s="32"/>
      <c r="B496" s="32"/>
      <c r="C496" s="27"/>
      <c r="D496" s="31"/>
      <c r="E496" s="32"/>
      <c r="F496" s="32"/>
      <c r="G496" s="32"/>
    </row>
    <row r="497" customFormat="false" ht="15" hidden="false" customHeight="false" outlineLevel="0" collapsed="false">
      <c r="A497" s="32"/>
      <c r="B497" s="32"/>
      <c r="C497" s="27"/>
      <c r="D497" s="31"/>
      <c r="E497" s="32"/>
      <c r="F497" s="32"/>
      <c r="G497" s="32"/>
    </row>
    <row r="498" customFormat="false" ht="15" hidden="false" customHeight="false" outlineLevel="0" collapsed="false">
      <c r="A498" s="32"/>
      <c r="B498" s="32"/>
      <c r="C498" s="27"/>
      <c r="D498" s="31"/>
      <c r="E498" s="32"/>
      <c r="F498" s="32"/>
      <c r="G498" s="32"/>
    </row>
    <row r="499" customFormat="false" ht="15" hidden="false" customHeight="false" outlineLevel="0" collapsed="false">
      <c r="A499" s="32"/>
      <c r="B499" s="32"/>
      <c r="C499" s="27"/>
      <c r="D499" s="31"/>
      <c r="E499" s="32"/>
      <c r="F499" s="32"/>
      <c r="G499" s="32"/>
    </row>
    <row r="500" customFormat="false" ht="15" hidden="false" customHeight="false" outlineLevel="0" collapsed="false">
      <c r="A500" s="32"/>
      <c r="B500" s="32"/>
      <c r="C500" s="27"/>
      <c r="D500" s="31"/>
      <c r="E500" s="32"/>
      <c r="F500" s="32"/>
      <c r="G500" s="32"/>
    </row>
    <row r="501" customFormat="false" ht="15" hidden="false" customHeight="false" outlineLevel="0" collapsed="false">
      <c r="A501" s="32"/>
      <c r="B501" s="32"/>
      <c r="C501" s="27"/>
      <c r="D501" s="31"/>
      <c r="E501" s="32"/>
      <c r="F501" s="32"/>
      <c r="G501" s="32"/>
    </row>
    <row r="502" customFormat="false" ht="15" hidden="false" customHeight="false" outlineLevel="0" collapsed="false">
      <c r="A502" s="32"/>
      <c r="B502" s="32"/>
      <c r="C502" s="27"/>
      <c r="D502" s="31"/>
      <c r="E502" s="32"/>
      <c r="F502" s="32"/>
      <c r="G502" s="32"/>
    </row>
    <row r="503" customFormat="false" ht="15" hidden="false" customHeight="false" outlineLevel="0" collapsed="false">
      <c r="A503" s="32"/>
      <c r="B503" s="32"/>
      <c r="C503" s="27"/>
      <c r="D503" s="31"/>
      <c r="E503" s="32"/>
      <c r="F503" s="32"/>
      <c r="G503" s="32"/>
    </row>
    <row r="504" customFormat="false" ht="15" hidden="false" customHeight="false" outlineLevel="0" collapsed="false">
      <c r="A504" s="32"/>
      <c r="B504" s="32"/>
      <c r="C504" s="27"/>
      <c r="D504" s="31"/>
      <c r="E504" s="32"/>
      <c r="F504" s="32"/>
      <c r="G504" s="32"/>
    </row>
  </sheetData>
  <dataValidations count="3">
    <dataValidation allowBlank="true" errorStyle="stop" operator="between" showDropDown="false" showErrorMessage="false" showInputMessage="false" sqref="B5:B504" type="list">
      <formula1>Listas!$E$5:$E$30</formula1>
      <formula2>0</formula2>
    </dataValidation>
    <dataValidation allowBlank="true" errorStyle="stop" operator="between" showDropDown="false" showErrorMessage="false" showInputMessage="false" sqref="E5:E504" type="list">
      <formula1>Listas!$I$5:$I$30</formula1>
      <formula2>0</formula2>
    </dataValidation>
    <dataValidation allowBlank="true" errorStyle="stop" operator="between" showDropDown="false" showErrorMessage="false" showInputMessage="false" sqref="F5:F504" type="list">
      <formula1>Listas!$G$5:$G$30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4"/>
  </cols>
  <sheetData>
    <row r="1" customFormat="false" ht="22.0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30" hidden="false" customHeight="true" outlineLevel="0" collapsed="false">
      <c r="A4" s="36" t="s">
        <v>205</v>
      </c>
      <c r="B4" s="36" t="s">
        <v>206</v>
      </c>
      <c r="C4" s="36" t="s">
        <v>207</v>
      </c>
      <c r="D4" s="36" t="s">
        <v>208</v>
      </c>
      <c r="E4" s="36" t="s">
        <v>209</v>
      </c>
      <c r="F4" s="36" t="s">
        <v>210</v>
      </c>
      <c r="G4" s="36" t="s">
        <v>211</v>
      </c>
      <c r="H4" s="36" t="s">
        <v>212</v>
      </c>
      <c r="I4" s="36" t="s">
        <v>189</v>
      </c>
    </row>
    <row r="5" customFormat="false" ht="15" hidden="false" customHeight="false" outlineLevel="0" collapsed="false">
      <c r="A5" s="24" t="s">
        <v>110</v>
      </c>
      <c r="B5" s="24" t="s">
        <v>138</v>
      </c>
      <c r="C5" s="24" t="s">
        <v>165</v>
      </c>
      <c r="D5" s="24" t="s">
        <v>177</v>
      </c>
      <c r="E5" s="24" t="s">
        <v>213</v>
      </c>
      <c r="F5" s="24" t="s">
        <v>142</v>
      </c>
      <c r="G5" s="24" t="s">
        <v>194</v>
      </c>
      <c r="H5" s="24" t="s">
        <v>166</v>
      </c>
      <c r="I5" s="24" t="s">
        <v>197</v>
      </c>
    </row>
    <row r="6" customFormat="false" ht="15" hidden="false" customHeight="false" outlineLevel="0" collapsed="false">
      <c r="A6" s="24" t="s">
        <v>115</v>
      </c>
      <c r="B6" s="24" t="s">
        <v>131</v>
      </c>
      <c r="C6" s="24" t="s">
        <v>214</v>
      </c>
      <c r="D6" s="24" t="s">
        <v>183</v>
      </c>
      <c r="E6" s="24" t="s">
        <v>192</v>
      </c>
      <c r="F6" s="24" t="s">
        <v>149</v>
      </c>
      <c r="G6" s="24" t="s">
        <v>215</v>
      </c>
      <c r="H6" s="24" t="s">
        <v>171</v>
      </c>
      <c r="I6" s="24" t="s">
        <v>216</v>
      </c>
    </row>
    <row r="7" customFormat="false" ht="15" hidden="false" customHeight="false" outlineLevel="0" collapsed="false">
      <c r="A7" s="24" t="s">
        <v>122</v>
      </c>
      <c r="B7" s="24" t="s">
        <v>133</v>
      </c>
      <c r="C7" s="24" t="s">
        <v>217</v>
      </c>
      <c r="D7" s="24" t="s">
        <v>179</v>
      </c>
      <c r="E7" s="24" t="s">
        <v>218</v>
      </c>
      <c r="F7" s="24" t="s">
        <v>154</v>
      </c>
      <c r="G7" s="24" t="s">
        <v>219</v>
      </c>
      <c r="H7" s="24"/>
      <c r="I7" s="24" t="s">
        <v>200</v>
      </c>
    </row>
    <row r="8" customFormat="false" ht="15" hidden="false" customHeight="false" outlineLevel="0" collapsed="false">
      <c r="A8" s="24" t="s">
        <v>119</v>
      </c>
      <c r="B8" s="24"/>
      <c r="C8" s="24" t="s">
        <v>168</v>
      </c>
      <c r="D8" s="24" t="s">
        <v>220</v>
      </c>
      <c r="E8" s="24" t="s">
        <v>196</v>
      </c>
      <c r="F8" s="24" t="s">
        <v>221</v>
      </c>
      <c r="G8" s="24"/>
      <c r="H8" s="24"/>
      <c r="I8" s="24" t="s">
        <v>222</v>
      </c>
    </row>
    <row r="9" customFormat="false" ht="15" hidden="false" customHeight="false" outlineLevel="0" collapsed="false">
      <c r="A9" s="24" t="s">
        <v>223</v>
      </c>
      <c r="B9" s="24"/>
      <c r="C9" s="24" t="s">
        <v>170</v>
      </c>
      <c r="D9" s="24" t="s">
        <v>181</v>
      </c>
      <c r="E9" s="24" t="s">
        <v>199</v>
      </c>
      <c r="F9" s="24" t="s">
        <v>141</v>
      </c>
      <c r="G9" s="24"/>
      <c r="H9" s="24"/>
      <c r="I9" s="24" t="s">
        <v>193</v>
      </c>
    </row>
    <row r="10" customFormat="false" ht="15" hidden="false" customHeight="false" outlineLevel="0" collapsed="false">
      <c r="A10" s="24"/>
      <c r="B10" s="24"/>
      <c r="C10" s="24" t="s">
        <v>224</v>
      </c>
      <c r="D10" s="24" t="s">
        <v>225</v>
      </c>
      <c r="E10" s="24" t="s">
        <v>202</v>
      </c>
      <c r="F10" s="24" t="s">
        <v>226</v>
      </c>
      <c r="G10" s="24"/>
      <c r="H10" s="24"/>
      <c r="I10" s="24" t="s">
        <v>227</v>
      </c>
    </row>
    <row r="11" customFormat="false" ht="15" hidden="false" customHeight="false" outlineLevel="0" collapsed="false">
      <c r="A11" s="24"/>
      <c r="B11" s="24"/>
      <c r="C11" s="24" t="s">
        <v>223</v>
      </c>
      <c r="D11" s="24" t="s">
        <v>228</v>
      </c>
      <c r="E11" s="24" t="s">
        <v>224</v>
      </c>
      <c r="F11" s="24" t="s">
        <v>223</v>
      </c>
      <c r="G11" s="24"/>
      <c r="H11" s="24"/>
      <c r="I11" s="24"/>
    </row>
    <row r="12" customFormat="false" ht="15" hidden="false" customHeight="false" outlineLevel="0" collapsed="false">
      <c r="A12" s="24"/>
      <c r="B12" s="24"/>
      <c r="C12" s="24"/>
      <c r="D12" s="24" t="s">
        <v>229</v>
      </c>
      <c r="E12" s="24" t="s">
        <v>230</v>
      </c>
      <c r="F12" s="24"/>
      <c r="G12" s="24"/>
      <c r="H12" s="24"/>
      <c r="I12" s="24"/>
    </row>
    <row r="13" customFormat="false" ht="15" hidden="false" customHeight="false" outlineLevel="0" collapsed="false">
      <c r="A13" s="24"/>
      <c r="B13" s="24"/>
      <c r="C13" s="24"/>
      <c r="D13" s="24" t="s">
        <v>223</v>
      </c>
      <c r="E13" s="24" t="s">
        <v>231</v>
      </c>
      <c r="F13" s="24"/>
      <c r="G13" s="24"/>
      <c r="H13" s="24"/>
      <c r="I13" s="24"/>
    </row>
    <row r="14" customFormat="false" ht="15" hidden="false" customHeight="false" outlineLevel="0" collapsed="false">
      <c r="A14" s="24"/>
      <c r="B14" s="24"/>
      <c r="C14" s="24"/>
      <c r="D14" s="24"/>
      <c r="E14" s="24" t="s">
        <v>223</v>
      </c>
      <c r="F14" s="24"/>
      <c r="G14" s="24"/>
      <c r="H14" s="24"/>
      <c r="I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4"/>
      <c r="I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4"/>
      <c r="I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4"/>
      <c r="I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4"/>
      <c r="I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4"/>
      <c r="I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4"/>
      <c r="I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4"/>
      <c r="I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4"/>
      <c r="I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4"/>
      <c r="I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2026-10-13T20:34:35Z</dcterms:created>
  <dc:creator>openpyxl</dc:creator>
  <dc:description/>
  <dc:language>en-US</dc:language>
  <cp:lastModifiedBy/>
  <dcterms:modified xsi:type="dcterms:W3CDTF">2026-10-13T20:34:39Z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