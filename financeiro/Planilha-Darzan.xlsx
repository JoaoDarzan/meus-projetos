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Resumo" sheetId="2" state="visible" r:id="rId4"/>
    <sheet name="Trabalhos" sheetId="3" state="visible" r:id="rId5"/>
    <sheet name="Orçamentos" sheetId="4" state="visible" r:id="rId6"/>
    <sheet name="Clientes" sheetId="5" state="visible" r:id="rId7"/>
    <sheet name="Despesas" sheetId="6" state="visible" r:id="rId8"/>
    <sheet name="Equipamentos" sheetId="7" state="visible" r:id="rId9"/>
    <sheet name="Listas" sheetId="8" state="visible" r:id="rId10"/>
  </sheets>
  <definedNames>
    <definedName function="false" hidden="true" localSheetId="4" name="_xlnm._FilterDatabase" vbProcedure="false">Clientes!$A$1:$H$1001</definedName>
    <definedName function="false" hidden="true" localSheetId="5" name="_xlnm._FilterDatabase" vbProcedure="false">Despesas!$A$1:$E$1001</definedName>
    <definedName function="false" hidden="true" localSheetId="6" name="_xlnm._FilterDatabase" vbProcedure="false">Equipamentos!$A$1:$G$1001</definedName>
    <definedName function="false" hidden="true" localSheetId="3" name="_xlnm._FilterDatabase" vbProcedure="false">Orçamentos!$A$1:$H$1001</definedName>
    <definedName function="false" hidden="true" localSheetId="2" name="_xlnm._FilterDatabase" vbProcedure="false">Trabalhos!$A$1:$P$1001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<sst xmlns="http://schemas.openxmlformats.org/spreadsheetml/2006/main" count="535" uniqueCount="238">
  <si>
    <t xml:space="preserve">Controle Financeiro — Darzan Produções</t>
  </si>
  <si>
    <t xml:space="preserve">João Darzan · Videomaker &amp; Storymaker · Campinas e região</t>
  </si>
  <si>
    <t xml:space="preserve">NO DIA A DIA</t>
  </si>
  <si>
    <t xml:space="preserve">1. Fechou um trabalho?</t>
  </si>
  <si>
    <t xml:space="preserve">Uma linha na aba Trabalhos: data, cliente, tipo de serviço, o que foi fechado, valor e quanto já recebeu. Pronto.</t>
  </si>
  <si>
    <t xml:space="preserve">2. Passou um orçamento?</t>
  </si>
  <si>
    <t xml:space="preserve">Uma linha na aba Orçamentos, mesmo que o cliente ainda não tenha respondido. Quando ele responder, troque o Status para Fechado ou Recusado.</t>
  </si>
  <si>
    <t xml:space="preserve">3. Cliente novo?</t>
  </si>
  <si>
    <t xml:space="preserve">Cadastre na aba Clientes (nome, WhatsApp, Instagram, como te conheceu). Use o mesmo nome nas outras abas.</t>
  </si>
  <si>
    <t xml:space="preserve">4. Pagou um freela?</t>
  </si>
  <si>
    <t xml:space="preserve">Na própria linha do trabalho: quem foi (coluna Freelancers) e quanto custou (coluna Custo com freelancers).</t>
  </si>
  <si>
    <t xml:space="preserve">5. Gasto do negócio?</t>
  </si>
  <si>
    <t xml:space="preserve">Combustível, aplicativo, anúncio, curso: aba Despesas. Equipamento novo: aba Equipamentos.</t>
  </si>
  <si>
    <t xml:space="preserve">REGRAS SIMPLES</t>
  </si>
  <si>
    <t xml:space="preserve">Colunas</t>
  </si>
  <si>
    <t xml:space="preserve">BRANCAS você preenche. CINZAS são automáticas, não digite nelas. Não renomeie os títulos das colunas: o painel encontra os dados por eles.</t>
  </si>
  <si>
    <t xml:space="preserve">O que foi fechado</t>
  </si>
  <si>
    <t xml:space="preserve">Escreva as entregas combinadas com o cliente: "Teaser + filme completo + 10 reels", "Storymaker 6h", "Ensaio 50 fotos". Isso aparece no painel em cada tipo de serviço.</t>
  </si>
  <si>
    <t xml:space="preserve">Datas e valores</t>
  </si>
  <si>
    <t xml:space="preserve">Datas como 14/03/2026. Valores só com números (2500 ou 2500,50); o R$ aparece sozinho.</t>
  </si>
  <si>
    <t xml:space="preserve">Lucro</t>
  </si>
  <si>
    <t xml:space="preserve">Lucro de cada trabalho = valor fechado − freelancers − outros custos do trabalho. No resumo do mês e do ano, as despesas gerais também são descontadas.</t>
  </si>
  <si>
    <t xml:space="preserve">Exemplos</t>
  </si>
  <si>
    <t xml:space="preserve">As linhas marcadas com EXEMPLO servem só para você ver tudo funcionando. Apague essas linhas antes de começar.</t>
  </si>
  <si>
    <t xml:space="preserve">PAINEL AUTOMÁTICO</t>
  </si>
  <si>
    <t xml:space="preserve">O que é</t>
  </si>
  <si>
    <t xml:space="preserve">Um painel no estilo da Darzan que lê esta planilha sozinho. Mexeu aqui, o painel já mostra. Só você acessa, com o seu login do Google.</t>
  </si>
  <si>
    <t xml:space="preserve">Como instalar</t>
  </si>
  <si>
    <t xml:space="preserve">Uma vez só: Extensões → Apps Script → cole os dois arquivos que o Claude te mandou → Implantar. O passo a passo completo está na conversa e no arquivo LEIA-ME.</t>
  </si>
  <si>
    <t xml:space="preserve">Como abrir</t>
  </si>
  <si>
    <t xml:space="preserve">Pelo menu Darzan → Abrir painel (aqui na planilha) ou pelo link do painel no celular.</t>
  </si>
  <si>
    <t xml:space="preserve">RESUMO</t>
  </si>
  <si>
    <t xml:space="preserve">Aba Resumo</t>
  </si>
  <si>
    <t xml:space="preserve">Mesmo sem o painel, a aba Resumo mostra o ano e o mês que você escolher (células amarelas), mês a mês e por tipo de serviço.</t>
  </si>
  <si>
    <t xml:space="preserve">Resumo — Darzan Produções</t>
  </si>
  <si>
    <t xml:space="preserve">Tudo automático. Escolha o ano e o mês nas células amarelas.</t>
  </si>
  <si>
    <t xml:space="preserve">Ano:</t>
  </si>
  <si>
    <t xml:space="preserve">Mês:</t>
  </si>
  <si>
    <t xml:space="preserve">Outubro</t>
  </si>
  <si>
    <t xml:space="preserve">Indicador</t>
  </si>
  <si>
    <t xml:space="preserve">No ano</t>
  </si>
  <si>
    <t xml:space="preserve">No mês escolhido</t>
  </si>
  <si>
    <t xml:space="preserve">Mês</t>
  </si>
  <si>
    <t xml:space="preserve">Faturamento</t>
  </si>
  <si>
    <t xml:space="preserve">Custos</t>
  </si>
  <si>
    <t xml:space="preserve">Trabalhos</t>
  </si>
  <si>
    <t xml:space="preserve">Orçamentos</t>
  </si>
  <si>
    <t xml:space="preserve">Fechados</t>
  </si>
  <si>
    <t xml:space="preserve">Faturamento (valor fechado)</t>
  </si>
  <si>
    <t xml:space="preserve">Janeiro</t>
  </si>
  <si>
    <t xml:space="preserve">Já recebido</t>
  </si>
  <si>
    <t xml:space="preserve">Fevereiro</t>
  </si>
  <si>
    <t xml:space="preserve">A receber</t>
  </si>
  <si>
    <t xml:space="preserve">Março</t>
  </si>
  <si>
    <t xml:space="preserve">Freelancers</t>
  </si>
  <si>
    <t xml:space="preserve">Abril</t>
  </si>
  <si>
    <t xml:space="preserve">Outros custos dos trabalhos</t>
  </si>
  <si>
    <t xml:space="preserve">Maio</t>
  </si>
  <si>
    <t xml:space="preserve">Despesas gerais</t>
  </si>
  <si>
    <t xml:space="preserve">Junho</t>
  </si>
  <si>
    <t xml:space="preserve">LUCRO</t>
  </si>
  <si>
    <t xml:space="preserve">Julho</t>
  </si>
  <si>
    <t xml:space="preserve">Margem de lucro</t>
  </si>
  <si>
    <t xml:space="preserve">Agosto</t>
  </si>
  <si>
    <t xml:space="preserve">Setembro</t>
  </si>
  <si>
    <t xml:space="preserve">Valor médio por trabalho</t>
  </si>
  <si>
    <t xml:space="preserve">Orçamentos passados</t>
  </si>
  <si>
    <t xml:space="preserve">Novembro</t>
  </si>
  <si>
    <t xml:space="preserve">Orçamentos fechados</t>
  </si>
  <si>
    <t xml:space="preserve">Dezembro</t>
  </si>
  <si>
    <t xml:space="preserve">Taxa de fechamento</t>
  </si>
  <si>
    <t xml:space="preserve">TOTAL DO ANO</t>
  </si>
  <si>
    <t xml:space="preserve">Por tipo de serviço (ano escolhido)</t>
  </si>
  <si>
    <t xml:space="preserve">Tipo de serviço</t>
  </si>
  <si>
    <t xml:space="preserve">Valor médio</t>
  </si>
  <si>
    <t xml:space="preserve">Taxa fech.</t>
  </si>
  <si>
    <t xml:space="preserve">Data do evento</t>
  </si>
  <si>
    <t xml:space="preserve">Horário</t>
  </si>
  <si>
    <t xml:space="preserve">Cliente</t>
  </si>
  <si>
    <t xml:space="preserve">Local / cidade</t>
  </si>
  <si>
    <t xml:space="preserve">Valor fechado</t>
  </si>
  <si>
    <t xml:space="preserve">Valor recebido</t>
  </si>
  <si>
    <t xml:space="preserve">Forma de pagamento</t>
  </si>
  <si>
    <t xml:space="preserve">Custo com freelancers</t>
  </si>
  <si>
    <t xml:space="preserve">Outros custos do trabalho</t>
  </si>
  <si>
    <t xml:space="preserve">Pagamento</t>
  </si>
  <si>
    <t xml:space="preserve">Observações</t>
  </si>
  <si>
    <t xml:space="preserve">Cliente Exemplo 1</t>
  </si>
  <si>
    <t xml:space="preserve">Casamento</t>
  </si>
  <si>
    <t xml:space="preserve">Teaser + filme completo + 10 reels</t>
  </si>
  <si>
    <t xml:space="preserve">Campinas</t>
  </si>
  <si>
    <t xml:space="preserve">Pix</t>
  </si>
  <si>
    <t xml:space="preserve">Freela A (2ª câmera)</t>
  </si>
  <si>
    <t xml:space="preserve">EXEMPLO</t>
  </si>
  <si>
    <t xml:space="preserve">Cliente Exemplo 2</t>
  </si>
  <si>
    <t xml:space="preserve">Aniversário</t>
  </si>
  <si>
    <t xml:space="preserve">Storymaker 4h + teaser</t>
  </si>
  <si>
    <t xml:space="preserve">Valinhos</t>
  </si>
  <si>
    <t xml:space="preserve">Empresa Exemplo</t>
  </si>
  <si>
    <t xml:space="preserve">Vídeo institucional</t>
  </si>
  <si>
    <t xml:space="preserve">Vídeo institucional 2 min + 3 cortes para redes</t>
  </si>
  <si>
    <t xml:space="preserve">Transferência</t>
  </si>
  <si>
    <t xml:space="preserve">Freela B (drone)</t>
  </si>
  <si>
    <t xml:space="preserve">Cliente Exemplo 3</t>
  </si>
  <si>
    <t xml:space="preserve">Chá revelação</t>
  </si>
  <si>
    <t xml:space="preserve">Storymaker + vídeo da revelação</t>
  </si>
  <si>
    <t xml:space="preserve">Hortolândia</t>
  </si>
  <si>
    <t xml:space="preserve">Cliente Exemplo 4</t>
  </si>
  <si>
    <t xml:space="preserve">Filme completo + cerimônia na íntegra</t>
  </si>
  <si>
    <t xml:space="preserve">Indaiatuba</t>
  </si>
  <si>
    <t xml:space="preserve">Parcelado</t>
  </si>
  <si>
    <t xml:space="preserve">Cliente Exemplo 5</t>
  </si>
  <si>
    <t xml:space="preserve">Fotografia</t>
  </si>
  <si>
    <t xml:space="preserve">Ensaio externo · 60 fotos editadas</t>
  </si>
  <si>
    <t xml:space="preserve">Edição</t>
  </si>
  <si>
    <t xml:space="preserve">Edição de 8 reels</t>
  </si>
  <si>
    <t xml:space="preserve">Remoto</t>
  </si>
  <si>
    <t xml:space="preserve">Cliente Exemplo 6</t>
  </si>
  <si>
    <t xml:space="preserve">Teaser + storymaker + 15 reels</t>
  </si>
  <si>
    <t xml:space="preserve">Sumaré</t>
  </si>
  <si>
    <t xml:space="preserve">Freela C (storymaker)</t>
  </si>
  <si>
    <t xml:space="preserve">Cliente Exemplo 7</t>
  </si>
  <si>
    <t xml:space="preserve">Festa 15 anos · teaser + filme</t>
  </si>
  <si>
    <t xml:space="preserve">Cartão de crédito</t>
  </si>
  <si>
    <t xml:space="preserve">Cliente Exemplo 8</t>
  </si>
  <si>
    <t xml:space="preserve">Teaser + filme completo + drone</t>
  </si>
  <si>
    <t xml:space="preserve">Jaguariúna</t>
  </si>
  <si>
    <t xml:space="preserve">Freela A, Freela B</t>
  </si>
  <si>
    <t xml:space="preserve">Cliente Exemplo 9</t>
  </si>
  <si>
    <t xml:space="preserve">Storymaker</t>
  </si>
  <si>
    <t xml:space="preserve">Storymaker 6h · 20 stories só para o casal</t>
  </si>
  <si>
    <t xml:space="preserve">Empresa Exemplo 2</t>
  </si>
  <si>
    <t xml:space="preserve">Vídeo de lançamento + 5 reels</t>
  </si>
  <si>
    <t xml:space="preserve">Paulínia</t>
  </si>
  <si>
    <t xml:space="preserve">Cliente Exemplo 10</t>
  </si>
  <si>
    <t xml:space="preserve">Teaser + fotos da revelação</t>
  </si>
  <si>
    <t xml:space="preserve">Cliente Exemplo 11</t>
  </si>
  <si>
    <t xml:space="preserve">Filme completo + teaser + storymaker</t>
  </si>
  <si>
    <t xml:space="preserve">Cliente Exemplo 12</t>
  </si>
  <si>
    <t xml:space="preserve">Storymaker 4h</t>
  </si>
  <si>
    <t xml:space="preserve">Americana</t>
  </si>
  <si>
    <t xml:space="preserve">Data do envio</t>
  </si>
  <si>
    <t xml:space="preserve">O que foi orçado</t>
  </si>
  <si>
    <t xml:space="preserve">Valor orçado</t>
  </si>
  <si>
    <t xml:space="preserve">Status</t>
  </si>
  <si>
    <t xml:space="preserve">Motivo / observações</t>
  </si>
  <si>
    <t xml:space="preserve">Fechado</t>
  </si>
  <si>
    <t xml:space="preserve">Cliente Exemplo 13</t>
  </si>
  <si>
    <t xml:space="preserve">Teaser + filme completo</t>
  </si>
  <si>
    <t xml:space="preserve">Recusado</t>
  </si>
  <si>
    <t xml:space="preserve">EXEMPLO · achou caro</t>
  </si>
  <si>
    <t xml:space="preserve">Cliente Exemplo 14</t>
  </si>
  <si>
    <t xml:space="preserve">Storymaker 3h</t>
  </si>
  <si>
    <t xml:space="preserve">EXEMPLO · data ocupada</t>
  </si>
  <si>
    <t xml:space="preserve">Empresa Exemplo 3</t>
  </si>
  <si>
    <t xml:space="preserve">Vídeo institucional 1 min</t>
  </si>
  <si>
    <t xml:space="preserve">EXEMPLO · fechou com outro</t>
  </si>
  <si>
    <t xml:space="preserve">Cliente Exemplo 15</t>
  </si>
  <si>
    <t xml:space="preserve">Ensaio de gestante</t>
  </si>
  <si>
    <t xml:space="preserve">Cliente Exemplo 16</t>
  </si>
  <si>
    <t xml:space="preserve">Filme completo + storymaker</t>
  </si>
  <si>
    <t xml:space="preserve">Aguardando</t>
  </si>
  <si>
    <t xml:space="preserve">Empresa Exemplo 4</t>
  </si>
  <si>
    <t xml:space="preserve">Edição de 12 reels por mês</t>
  </si>
  <si>
    <t xml:space="preserve">Nome</t>
  </si>
  <si>
    <t xml:space="preserve">WhatsApp</t>
  </si>
  <si>
    <t xml:space="preserve">Instagram</t>
  </si>
  <si>
    <t xml:space="preserve">Cidade</t>
  </si>
  <si>
    <t xml:space="preserve">Como conheceu</t>
  </si>
  <si>
    <t xml:space="preserve">Total fechado</t>
  </si>
  <si>
    <t xml:space="preserve">(19) 90000-0001</t>
  </si>
  <si>
    <t xml:space="preserve">(19) 90000-0002</t>
  </si>
  <si>
    <t xml:space="preserve">Indicação</t>
  </si>
  <si>
    <t xml:space="preserve">(19) 90000-0003</t>
  </si>
  <si>
    <t xml:space="preserve">(19) 90000-0004</t>
  </si>
  <si>
    <t xml:space="preserve">Site</t>
  </si>
  <si>
    <t xml:space="preserve">(19) 90000-0005</t>
  </si>
  <si>
    <t xml:space="preserve">(19) 90000-0006</t>
  </si>
  <si>
    <t xml:space="preserve">(19) 90000-0007</t>
  </si>
  <si>
    <t xml:space="preserve">Google</t>
  </si>
  <si>
    <t xml:space="preserve">(19) 90000-0008</t>
  </si>
  <si>
    <t xml:space="preserve">(19) 90000-0009</t>
  </si>
  <si>
    <t xml:space="preserve">(19) 90000-0010</t>
  </si>
  <si>
    <t xml:space="preserve">(19) 90000-0011</t>
  </si>
  <si>
    <t xml:space="preserve">(19) 90000-0012</t>
  </si>
  <si>
    <t xml:space="preserve">(19) 90000-0013</t>
  </si>
  <si>
    <t xml:space="preserve">(19) 90000-0014</t>
  </si>
  <si>
    <t xml:space="preserve">Data</t>
  </si>
  <si>
    <t xml:space="preserve">Categoria</t>
  </si>
  <si>
    <t xml:space="preserve">Descrição</t>
  </si>
  <si>
    <t xml:space="preserve">Valor</t>
  </si>
  <si>
    <t xml:space="preserve">Aplicativos / software</t>
  </si>
  <si>
    <t xml:space="preserve">Assinatura app de edição (EXEMPLO)</t>
  </si>
  <si>
    <t xml:space="preserve">Anúncios / marketing</t>
  </si>
  <si>
    <t xml:space="preserve">Impulsionamento Instagram (EXEMPLO)</t>
  </si>
  <si>
    <t xml:space="preserve">Cursos</t>
  </si>
  <si>
    <t xml:space="preserve">Curso de color grading (EXEMPLO)</t>
  </si>
  <si>
    <t xml:space="preserve">Manutenção</t>
  </si>
  <si>
    <t xml:space="preserve">Limpeza de sensor (EXEMPLO)</t>
  </si>
  <si>
    <t xml:space="preserve">Equipamento</t>
  </si>
  <si>
    <t xml:space="preserve">Data da compra</t>
  </si>
  <si>
    <t xml:space="preserve">Valor pago</t>
  </si>
  <si>
    <t xml:space="preserve">Situação</t>
  </si>
  <si>
    <t xml:space="preserve">Câmera (exemplo)</t>
  </si>
  <si>
    <t xml:space="preserve">Câmera</t>
  </si>
  <si>
    <t xml:space="preserve">Em uso</t>
  </si>
  <si>
    <t xml:space="preserve">Celular (exemplo)</t>
  </si>
  <si>
    <t xml:space="preserve">Celular</t>
  </si>
  <si>
    <t xml:space="preserve">Gimbal (exemplo)</t>
  </si>
  <si>
    <t xml:space="preserve">Estabilizador / gimbal</t>
  </si>
  <si>
    <t xml:space="preserve">Microfone sem fio (exemplo)</t>
  </si>
  <si>
    <t xml:space="preserve">Áudio</t>
  </si>
  <si>
    <t xml:space="preserve">Drone (exemplo)</t>
  </si>
  <si>
    <t xml:space="preserve">Drone</t>
  </si>
  <si>
    <t xml:space="preserve">Tipos de serviço</t>
  </si>
  <si>
    <t xml:space="preserve">Status do orçamento</t>
  </si>
  <si>
    <t xml:space="preserve">Categorias de despesa</t>
  </si>
  <si>
    <t xml:space="preserve">Categorias de equipamento</t>
  </si>
  <si>
    <t xml:space="preserve">Como o cliente conheceu</t>
  </si>
  <si>
    <t xml:space="preserve">Situação do equipamento</t>
  </si>
  <si>
    <t xml:space="preserve">Meses</t>
  </si>
  <si>
    <t xml:space="preserve">Pode adicionar opções nas linhas vazias. Não renomeie "Fechado", "Aguardando" e "Recusado".</t>
  </si>
  <si>
    <t xml:space="preserve">Combustível / transporte</t>
  </si>
  <si>
    <t xml:space="preserve">Ano inteiro</t>
  </si>
  <si>
    <t xml:space="preserve">Dinheiro</t>
  </si>
  <si>
    <t xml:space="preserve">Alimentação</t>
  </si>
  <si>
    <t xml:space="preserve">Vendido</t>
  </si>
  <si>
    <t xml:space="preserve">Lente</t>
  </si>
  <si>
    <t xml:space="preserve">Quebrado / perdido</t>
  </si>
  <si>
    <t xml:space="preserve">Cartão de débito</t>
  </si>
  <si>
    <t xml:space="preserve">Boleto</t>
  </si>
  <si>
    <t xml:space="preserve">Iluminação</t>
  </si>
  <si>
    <t xml:space="preserve">Evento</t>
  </si>
  <si>
    <t xml:space="preserve">Acessórios</t>
  </si>
  <si>
    <t xml:space="preserve">Outro</t>
  </si>
  <si>
    <t xml:space="preserve">Impostos / taxas</t>
  </si>
  <si>
    <t xml:space="preserve">Computador</t>
  </si>
  <si>
    <t xml:space="preserve">Armazenamento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</si>
</sst>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;[RED]&quot;-R$ &quot;#,##0.00;\-"/>
    <numFmt numFmtId="166" formatCode="0;\-0;\-"/>
    <numFmt numFmtId="167" formatCode="0.0%;\-0.0%;\-"/>
    <numFmt numFmtId="168" formatCode="dd/mm/yyyy"/>
    <numFmt numFmtId="169" formatCode="hh:mm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C1713"/>
      <name val="Arial"/>
      <family val="0"/>
      <charset val="1"/>
    </font>
    <font>
      <i val="true"/>
      <sz val="10"/>
      <color rgb="FF7A6F62"/>
      <name val="Arial"/>
      <family val="0"/>
      <charset val="1"/>
    </font>
    <font>
      <b val="true"/>
      <sz val="11"/>
      <color rgb="FFD6A85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D6A85F"/>
      <name val="Arial"/>
      <family val="0"/>
      <charset val="1"/>
    </font>
    <font>
      <b val="true"/>
      <sz val="11"/>
      <color rgb="FF1C1713"/>
      <name val="Arial"/>
      <family val="0"/>
      <charset val="1"/>
    </font>
    <font>
      <i val="true"/>
      <sz val="9"/>
      <color rgb="FFA12828"/>
      <name val="Arial"/>
      <family val="0"/>
      <charset val="1"/>
    </font>
    <font>
      <b val="true"/>
      <sz val="12"/>
      <color rgb="FF1C171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713"/>
        <bgColor rgb="FF222222"/>
      </patternFill>
    </fill>
    <fill>
      <patternFill patternType="solid">
        <fgColor rgb="FFFFF3C4"/>
        <bgColor rgb="FFFFF0C2"/>
      </patternFill>
    </fill>
    <fill>
      <patternFill patternType="solid">
        <fgColor rgb="FFF6E7C8"/>
        <bgColor rgb="FFFFF0C2"/>
      </patternFill>
    </fill>
    <fill>
      <patternFill patternType="solid">
        <fgColor rgb="FFEFEBE4"/>
        <bgColor rgb="FFF6E7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C171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D6A85F"/>
          <bgColor rgb="FF000000"/>
        </patternFill>
      </fill>
    </dxf>
    <dxf>
      <fill>
        <patternFill patternType="solid">
          <fgColor rgb="FFEFEBE4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D7F0DD"/>
          <bgColor rgb="FF000000"/>
        </patternFill>
      </fill>
    </dxf>
    <dxf>
      <fill>
        <patternFill patternType="solid">
          <fgColor rgb="FFFBDADA"/>
          <bgColor rgb="FF000000"/>
        </patternFill>
      </fill>
    </dxf>
    <dxf>
      <fill>
        <patternFill patternType="solid">
          <fgColor rgb="FFFFF0C2"/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8A6100"/>
          <bgColor rgb="FF000000"/>
        </patternFill>
      </fill>
    </dxf>
    <dxf>
      <fill>
        <patternFill patternType="solid">
          <fgColor rgb="FFA12828"/>
          <bgColor rgb="FF000000"/>
        </patternFill>
      </fill>
    </dxf>
    <dxf>
      <font>
        <name val="Arial"/>
        <charset val="1"/>
        <family val="0"/>
        <b val="1"/>
        <color rgb="FF1E7B34"/>
      </font>
      <fill>
        <patternFill>
          <bgColor rgb="FFD7F0DD"/>
        </patternFill>
      </fill>
    </dxf>
    <dxf>
      <font>
        <name val="Arial"/>
        <charset val="1"/>
        <family val="0"/>
        <b val="1"/>
        <color rgb="FF8A6100"/>
      </font>
      <fill>
        <patternFill>
          <bgColor rgb="FFFFF0C2"/>
        </patternFill>
      </fill>
    </dxf>
    <dxf>
      <font>
        <name val="Arial"/>
        <charset val="1"/>
        <family val="0"/>
        <b val="1"/>
        <color rgb="FFA12828"/>
      </font>
      <fill>
        <patternFill>
          <bgColor rgb="FFFBDADA"/>
        </patternFill>
      </fill>
    </dxf>
  </dxfs>
  <colors>
    <indexedColors>
      <rgbColor rgb="FF000000"/>
      <rgbColor rgb="FFEFEBE4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A6100"/>
      <rgbColor rgb="FF800080"/>
      <rgbColor rgb="FF008080"/>
      <rgbColor rgb="FFBBBBBB"/>
      <rgbColor rgb="FF878787"/>
      <rgbColor rgb="FF9999FF"/>
      <rgbColor rgb="FF993366"/>
      <rgbColor rgb="FFFFF3C4"/>
      <rgbColor rgb="FFF6E7C8"/>
      <rgbColor rgb="FF660066"/>
      <rgbColor rgb="FFD6A85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2C5"/>
      <rgbColor rgb="FFD7F0DD"/>
      <rgbColor rgb="FFFFF0C2"/>
      <rgbColor rgb="FF99CCFF"/>
      <rgbColor rgb="FFFF99CC"/>
      <rgbColor rgb="FFCC99FF"/>
      <rgbColor rgb="FFFBDADA"/>
      <rgbColor rgb="FF3366FF"/>
      <rgbColor rgb="FF33CCCC"/>
      <rgbColor rgb="FF99CC00"/>
      <rgbColor rgb="FFFFCC00"/>
      <rgbColor rgb="FFFF9900"/>
      <rgbColor rgb="FFFF6600"/>
      <rgbColor rgb="FF7A6F62"/>
      <rgbColor rgb="FF969696"/>
      <rgbColor rgb="FF003366"/>
      <rgbColor rgb="FF339966"/>
      <rgbColor rgb="FF1C1713"/>
      <rgbColor rgb="FF222222"/>
      <rgbColor rgb="FFA12828"/>
      <rgbColor rgb="FF993366"/>
      <rgbColor rgb="FF555555"/>
      <rgbColor rgb="FF3A2E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e lucro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Resumo!G7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d6a8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Resumo!$F$8:$F$19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Resumo!$G$8:$G$19</c:f>
              <c:numCache>
                <c:formatCode>"R$ "#,##0.00;[RED]"-R$ "#,##0.00;\-</c:formatCode>
                <c:ptCount val="12"/>
                <c:pt idx="0">
                  <c:v>4800</c:v>
                </c:pt>
                <c:pt idx="1">
                  <c:v>1200</c:v>
                </c:pt>
                <c:pt idx="2">
                  <c:v>4400</c:v>
                </c:pt>
                <c:pt idx="3">
                  <c:v>5200</c:v>
                </c:pt>
                <c:pt idx="4">
                  <c:v>1710</c:v>
                </c:pt>
                <c:pt idx="5">
                  <c:v>3900</c:v>
                </c:pt>
                <c:pt idx="6">
                  <c:v>2400</c:v>
                </c:pt>
                <c:pt idx="7">
                  <c:v>5600</c:v>
                </c:pt>
                <c:pt idx="8">
                  <c:v>1100</c:v>
                </c:pt>
                <c:pt idx="9">
                  <c:v>4100</c:v>
                </c:pt>
                <c:pt idx="10">
                  <c:v>6200</c:v>
                </c:pt>
                <c:pt idx="11">
                  <c:v>1100</c:v>
                </c:pt>
              </c:numCache>
            </c:numRef>
          </c:val>
        </c:ser>
        <c:ser>
          <c:idx val="1"/>
          <c:order val="1"/>
          <c:tx>
            <c:strRef>
              <c:f>Resumo!I7</c:f>
              <c:strCache>
                <c:ptCount val="1"/>
                <c:pt idx="0">
                  <c:v>Lucro</c:v>
                </c:pt>
              </c:strCache>
            </c:strRef>
          </c:tx>
          <c:spPr>
            <a:solidFill>
              <a:srgbClr val="3a2e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Resumo!$F$8:$F$19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Resumo!$I$8:$I$19</c:f>
              <c:numCache>
                <c:formatCode>"R$ "#,##0.00;[RED]"-R$ "#,##0.00;\-</c:formatCode>
                <c:ptCount val="12"/>
                <c:pt idx="0">
                  <c:v>4120</c:v>
                </c:pt>
                <c:pt idx="1">
                  <c:v>1100</c:v>
                </c:pt>
                <c:pt idx="2">
                  <c:v>3650</c:v>
                </c:pt>
                <c:pt idx="3">
                  <c:v>4490</c:v>
                </c:pt>
                <c:pt idx="4">
                  <c:v>1650</c:v>
                </c:pt>
                <c:pt idx="5">
                  <c:v>3050</c:v>
                </c:pt>
                <c:pt idx="6">
                  <c:v>1980</c:v>
                </c:pt>
                <c:pt idx="7">
                  <c:v>4280</c:v>
                </c:pt>
                <c:pt idx="8">
                  <c:v>750</c:v>
                </c:pt>
                <c:pt idx="9">
                  <c:v>3990</c:v>
                </c:pt>
                <c:pt idx="10">
                  <c:v>5700</c:v>
                </c:pt>
                <c:pt idx="11">
                  <c:v>1100</c:v>
                </c:pt>
              </c:numCache>
            </c:numRef>
          </c:val>
        </c:ser>
        <c:gapWidth val="150"/>
        <c:overlap val="0"/>
        <c:axId val="18346367"/>
        <c:axId val="48863577"/>
      </c:barChart>
      <c:catAx>
        <c:axId val="1834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63577"/>
        <c:crosses val="autoZero"/>
        <c:auto val="1"/>
        <c:lblAlgn val="ctr"/>
        <c:lblOffset val="100"/>
        <c:noMultiLvlLbl val="0"/>
      </c:catAx>
      <c:valAx>
        <c:axId val="488635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463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35</xdr:row>
      <xdr:rowOff>0</xdr:rowOff>
    </xdr:from>
    <xdr:to>
      <xdr:col>6</xdr:col>
      <xdr:colOff>785520</xdr:colOff>
      <xdr:row>50</xdr:row>
      <xdr:rowOff>22320</xdr:rowOff>
    </xdr:to>
    <xdr:graphicFrame>
      <xdr:nvGraphicFramePr>
        <xdr:cNvPr id="0" name="Chart 1"/>
        <xdr:cNvGraphicFramePr/>
      </xdr:nvGraphicFramePr>
      <xdr:xfrm>
        <a:off x="211320" y="718200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6F62"/>
    <pageSetUpPr fitToPage="false"/>
  </sheetPr>
  <dimension ref="B2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31.5" hidden="false" customHeight="true" outlineLevel="0" collapsed="false">
      <c r="B6" s="5" t="s">
        <v>3</v>
      </c>
      <c r="C6" s="6" t="s">
        <v>4</v>
      </c>
    </row>
    <row r="7" customFormat="false" ht="31.5" hidden="false" customHeight="true" outlineLevel="0" collapsed="false">
      <c r="B7" s="5" t="s">
        <v>5</v>
      </c>
      <c r="C7" s="6" t="s">
        <v>6</v>
      </c>
    </row>
    <row r="8" customFormat="false" ht="31.5" hidden="false" customHeight="true" outlineLevel="0" collapsed="false">
      <c r="B8" s="5" t="s">
        <v>7</v>
      </c>
      <c r="C8" s="6" t="s">
        <v>8</v>
      </c>
    </row>
    <row r="9" customFormat="false" ht="31.5" hidden="false" customHeight="true" outlineLevel="0" collapsed="false">
      <c r="B9" s="5" t="s">
        <v>9</v>
      </c>
      <c r="C9" s="6" t="s">
        <v>10</v>
      </c>
    </row>
    <row r="10" customFormat="false" ht="31.5" hidden="false" customHeight="true" outlineLevel="0" collapsed="false">
      <c r="B10" s="5" t="s">
        <v>11</v>
      </c>
      <c r="C10" s="6" t="s">
        <v>12</v>
      </c>
    </row>
    <row r="11" customFormat="false" ht="15" hidden="false" customHeight="false" outlineLevel="0" collapsed="false">
      <c r="B11" s="7"/>
    </row>
    <row r="12" customFormat="false" ht="15" hidden="false" customHeight="false" outlineLevel="0" collapsed="false">
      <c r="B12" s="3" t="s">
        <v>13</v>
      </c>
      <c r="C12" s="4"/>
    </row>
    <row r="13" customFormat="false" ht="31.5" hidden="false" customHeight="true" outlineLevel="0" collapsed="false">
      <c r="B13" s="5" t="s">
        <v>14</v>
      </c>
      <c r="C13" s="6" t="s">
        <v>15</v>
      </c>
    </row>
    <row r="14" customFormat="false" ht="31.5" hidden="false" customHeight="true" outlineLevel="0" collapsed="false">
      <c r="B14" s="5" t="s">
        <v>16</v>
      </c>
      <c r="C14" s="6" t="s">
        <v>17</v>
      </c>
    </row>
    <row r="15" customFormat="false" ht="31.5" hidden="false" customHeight="true" outlineLevel="0" collapsed="false">
      <c r="B15" s="5" t="s">
        <v>18</v>
      </c>
      <c r="C15" s="6" t="s">
        <v>19</v>
      </c>
    </row>
    <row r="16" customFormat="false" ht="31.5" hidden="false" customHeight="true" outlineLevel="0" collapsed="false">
      <c r="B16" s="5" t="s">
        <v>20</v>
      </c>
      <c r="C16" s="6" t="s">
        <v>21</v>
      </c>
    </row>
    <row r="17" customFormat="false" ht="31.5" hidden="false" customHeight="true" outlineLevel="0" collapsed="false">
      <c r="B17" s="5" t="s">
        <v>22</v>
      </c>
      <c r="C17" s="6" t="s">
        <v>23</v>
      </c>
    </row>
    <row r="18" customFormat="false" ht="15" hidden="false" customHeight="false" outlineLevel="0" collapsed="false">
      <c r="B18" s="7"/>
    </row>
    <row r="19" customFormat="false" ht="15" hidden="false" customHeight="false" outlineLevel="0" collapsed="false">
      <c r="B19" s="3" t="s">
        <v>24</v>
      </c>
      <c r="C19" s="4"/>
    </row>
    <row r="20" customFormat="false" ht="31.5" hidden="false" customHeight="true" outlineLevel="0" collapsed="false">
      <c r="B20" s="5" t="s">
        <v>25</v>
      </c>
      <c r="C20" s="6" t="s">
        <v>26</v>
      </c>
    </row>
    <row r="21" customFormat="false" ht="31.5" hidden="false" customHeight="true" outlineLevel="0" collapsed="false">
      <c r="B21" s="5" t="s">
        <v>27</v>
      </c>
      <c r="C21" s="6" t="s">
        <v>28</v>
      </c>
    </row>
    <row r="22" customFormat="false" ht="31.5" hidden="false" customHeight="true" outlineLevel="0" collapsed="false">
      <c r="B22" s="5" t="s">
        <v>29</v>
      </c>
      <c r="C22" s="6" t="s">
        <v>30</v>
      </c>
    </row>
    <row r="23" customFormat="false" ht="15" hidden="false" customHeight="false" outlineLevel="0" collapsed="false">
      <c r="B23" s="7"/>
    </row>
    <row r="24" customFormat="false" ht="15" hidden="false" customHeight="false" outlineLevel="0" collapsed="false">
      <c r="B24" s="3" t="s">
        <v>31</v>
      </c>
      <c r="C24" s="4"/>
    </row>
    <row r="25" customFormat="false" ht="31.5" hidden="false" customHeight="true" outlineLevel="0" collapsed="false">
      <c r="B25" s="5" t="s">
        <v>32</v>
      </c>
      <c r="C25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A85F"/>
    <pageSetUpPr fitToPage="false"/>
  </sheetPr>
  <dimension ref="B1:L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7"/>
    <col collapsed="false" customWidth="true" hidden="false" outlineLevel="0" max="5" min="5" style="0" width="3"/>
    <col collapsed="false" customWidth="true" hidden="false" outlineLevel="0" max="6" min="6" style="0" width="20"/>
    <col collapsed="false" customWidth="true" hidden="false" outlineLevel="0" max="9" min="7" style="0" width="15"/>
    <col collapsed="false" customWidth="true" hidden="false" outlineLevel="0" max="12" min="10" style="0" width="12"/>
  </cols>
  <sheetData>
    <row r="1" customFormat="false" ht="30" hidden="false" customHeight="true" outlineLevel="0" collapsed="false">
      <c r="B1" s="1" t="s">
        <v>34</v>
      </c>
    </row>
    <row r="2" customFormat="false" ht="15" hidden="false" customHeight="false" outlineLevel="0" collapsed="false">
      <c r="B2" s="2" t="s">
        <v>35</v>
      </c>
    </row>
    <row r="4" customFormat="false" ht="15" hidden="false" customHeight="false" outlineLevel="0" collapsed="false">
      <c r="B4" s="8" t="s">
        <v>36</v>
      </c>
      <c r="C4" s="9" t="n">
        <v>2026</v>
      </c>
    </row>
    <row r="5" customFormat="false" ht="15" hidden="false" customHeight="false" outlineLevel="0" collapsed="false">
      <c r="B5" s="8" t="s">
        <v>37</v>
      </c>
      <c r="C5" s="9" t="s">
        <v>38</v>
      </c>
    </row>
    <row r="7" customFormat="false" ht="27.75" hidden="false" customHeight="true" outlineLevel="0" collapsed="false">
      <c r="B7" s="10" t="s">
        <v>39</v>
      </c>
      <c r="C7" s="10" t="s">
        <v>40</v>
      </c>
      <c r="D7" s="10" t="s">
        <v>41</v>
      </c>
      <c r="F7" s="10" t="s">
        <v>42</v>
      </c>
      <c r="G7" s="10" t="s">
        <v>43</v>
      </c>
      <c r="H7" s="10" t="s">
        <v>44</v>
      </c>
      <c r="I7" s="10" t="s">
        <v>20</v>
      </c>
      <c r="J7" s="10" t="s">
        <v>45</v>
      </c>
      <c r="K7" s="10" t="s">
        <v>46</v>
      </c>
      <c r="L7" s="10" t="s">
        <v>47</v>
      </c>
    </row>
    <row r="8" customFormat="false" ht="15" hidden="false" customHeight="false" outlineLevel="0" collapsed="false">
      <c r="B8" s="11" t="s">
        <v>48</v>
      </c>
      <c r="C8" s="12" t="n">
        <f aca="false">SUMIFS(Trabalhos!$G$2:$G$1001,Trabalhos!$A$2:$A$1001,"&gt;="&amp;DATE($C$4,1,1),Trabalhos!$A$2:$A$1001,"&lt;"&amp;DATE($C$4+1,1,1))</f>
        <v>41710</v>
      </c>
      <c r="D8" s="12" t="n">
        <f aca="false">SUMIFS(Trabalhos!$G$2:$G$1001,Trabalhos!$A$2:$A$1001,"&gt;="&amp;DATE($C$4,IFERROR(MATCH($C$5,Listas!$H$3:$H$14,0),1),1),Trabalhos!$A$2:$A$1001,"&lt;"&amp;DATE($C$4,IFERROR(MATCH($C$5,Listas!$H$3:$H$14,0),12)+1,1))</f>
        <v>4100</v>
      </c>
      <c r="F8" s="13" t="s">
        <v>49</v>
      </c>
      <c r="G8" s="12" t="n">
        <f aca="false">SUMIFS(Trabalhos!$G$2:$G$1001,Trabalhos!$A$2:$A$1001,"&gt;="&amp;DATE($C$4,1,1),Trabalhos!$A$2:$A$1001,"&lt;"&amp;DATE($C$4,1+1,1))</f>
        <v>4800</v>
      </c>
      <c r="H8" s="12" t="n">
        <f aca="false">SUMIFS(Trabalhos!$K$2:$K$1001,Trabalhos!$A$2:$A$1001,"&gt;="&amp;DATE($C$4,1,1),Trabalhos!$A$2:$A$1001,"&lt;"&amp;DATE($C$4,1+1,1))+SUMIFS(Trabalhos!$L$2:$L$1001,Trabalhos!$A$2:$A$1001,"&gt;="&amp;DATE($C$4,1,1),Trabalhos!$A$2:$A$1001,"&lt;"&amp;DATE($C$4,1+1,1))+SUMIFS(Despesas!$D$2:$D$1001,Despesas!$A$2:$A$1001,"&gt;="&amp;DATE($C$4,1,1),Despesas!$A$2:$A$1001,"&lt;"&amp;DATE($C$4,1+1,1))</f>
        <v>680</v>
      </c>
      <c r="I8" s="12" t="n">
        <f aca="false">G8-H8</f>
        <v>4120</v>
      </c>
      <c r="J8" s="13" t="n">
        <f aca="false">COUNTIFS(Trabalhos!$A$2:$A$1001,"&gt;="&amp;DATE($C$4,1,1),Trabalhos!$A$2:$A$1001,"&lt;"&amp;DATE($C$4,1+1,1))</f>
        <v>1</v>
      </c>
      <c r="K8" s="13" t="n">
        <f aca="false">COUNTIFS(Orçamentos!$A$2:$A$1001,"&gt;="&amp;DATE($C$4,1,1),Orçamentos!$A$2:$A$1001,"&lt;"&amp;DATE($C$4,1+1,1))</f>
        <v>1</v>
      </c>
      <c r="L8" s="13" t="n">
        <f aca="false">COUNTIFS(Orçamentos!$A$2:$A$1001,"&gt;="&amp;DATE($C$4,1,1),Orçamentos!$A$2:$A$1001,"&lt;"&amp;DATE($C$4,1+1,1),Orçamentos!$G$2:$G$1001,"Fechado")</f>
        <v>1</v>
      </c>
    </row>
    <row r="9" customFormat="false" ht="15" hidden="false" customHeight="false" outlineLevel="0" collapsed="false">
      <c r="B9" s="11" t="s">
        <v>50</v>
      </c>
      <c r="C9" s="12" t="n">
        <f aca="false">SUMIFS(Trabalhos!$H$2:$H$1001,Trabalhos!$A$2:$A$1001,"&gt;="&amp;DATE($C$4,1,1),Trabalhos!$A$2:$A$1001,"&lt;"&amp;DATE($C$4+1,1,1))</f>
        <v>35460</v>
      </c>
      <c r="D9" s="12" t="n">
        <f aca="false">SUMIFS(Trabalhos!$H$2:$H$1001,Trabalhos!$A$2:$A$1001,"&gt;="&amp;DATE($C$4,IFERROR(MATCH($C$5,Listas!$H$3:$H$14,0),1),1),Trabalhos!$A$2:$A$1001,"&lt;"&amp;DATE($C$4,IFERROR(MATCH($C$5,Listas!$H$3:$H$14,0),12)+1,1))</f>
        <v>2050</v>
      </c>
      <c r="F9" s="13" t="s">
        <v>51</v>
      </c>
      <c r="G9" s="12" t="n">
        <f aca="false">SUMIFS(Trabalhos!$G$2:$G$1001,Trabalhos!$A$2:$A$1001,"&gt;="&amp;DATE($C$4,2,1),Trabalhos!$A$2:$A$1001,"&lt;"&amp;DATE($C$4,2+1,1))</f>
        <v>1200</v>
      </c>
      <c r="H9" s="12" t="n">
        <f aca="false">SUMIFS(Trabalhos!$K$2:$K$1001,Trabalhos!$A$2:$A$1001,"&gt;="&amp;DATE($C$4,2,1),Trabalhos!$A$2:$A$1001,"&lt;"&amp;DATE($C$4,2+1,1))+SUMIFS(Trabalhos!$L$2:$L$1001,Trabalhos!$A$2:$A$1001,"&gt;="&amp;DATE($C$4,2,1),Trabalhos!$A$2:$A$1001,"&lt;"&amp;DATE($C$4,2+1,1))+SUMIFS(Despesas!$D$2:$D$1001,Despesas!$A$2:$A$1001,"&gt;="&amp;DATE($C$4,2,1),Despesas!$A$2:$A$1001,"&lt;"&amp;DATE($C$4,2+1,1))</f>
        <v>100</v>
      </c>
      <c r="I9" s="12" t="n">
        <f aca="false">G9-H9</f>
        <v>1100</v>
      </c>
      <c r="J9" s="13" t="n">
        <f aca="false">COUNTIFS(Trabalhos!$A$2:$A$1001,"&gt;="&amp;DATE($C$4,2,1),Trabalhos!$A$2:$A$1001,"&lt;"&amp;DATE($C$4,2+1,1))</f>
        <v>1</v>
      </c>
      <c r="K9" s="13" t="n">
        <f aca="false">COUNTIFS(Orçamentos!$A$2:$A$1001,"&gt;="&amp;DATE($C$4,2,1),Orçamentos!$A$2:$A$1001,"&lt;"&amp;DATE($C$4,2+1,1))</f>
        <v>3</v>
      </c>
      <c r="L9" s="13" t="n">
        <f aca="false">COUNTIFS(Orçamentos!$A$2:$A$1001,"&gt;="&amp;DATE($C$4,2,1),Orçamentos!$A$2:$A$1001,"&lt;"&amp;DATE($C$4,2+1,1),Orçamentos!$G$2:$G$1001,"Fechado")</f>
        <v>2</v>
      </c>
    </row>
    <row r="10" customFormat="false" ht="15" hidden="false" customHeight="false" outlineLevel="0" collapsed="false">
      <c r="B10" s="11" t="s">
        <v>52</v>
      </c>
      <c r="C10" s="12" t="n">
        <f aca="false">C8-C9</f>
        <v>6250</v>
      </c>
      <c r="D10" s="12" t="n">
        <f aca="false">D8-D9</f>
        <v>2050</v>
      </c>
      <c r="F10" s="13" t="s">
        <v>53</v>
      </c>
      <c r="G10" s="12" t="n">
        <f aca="false">SUMIFS(Trabalhos!$G$2:$G$1001,Trabalhos!$A$2:$A$1001,"&gt;="&amp;DATE($C$4,3,1),Trabalhos!$A$2:$A$1001,"&lt;"&amp;DATE($C$4,3+1,1))</f>
        <v>4400</v>
      </c>
      <c r="H10" s="12" t="n">
        <f aca="false">SUMIFS(Trabalhos!$K$2:$K$1001,Trabalhos!$A$2:$A$1001,"&gt;="&amp;DATE($C$4,3,1),Trabalhos!$A$2:$A$1001,"&lt;"&amp;DATE($C$4,3+1,1))+SUMIFS(Trabalhos!$L$2:$L$1001,Trabalhos!$A$2:$A$1001,"&gt;="&amp;DATE($C$4,3,1),Trabalhos!$A$2:$A$1001,"&lt;"&amp;DATE($C$4,3+1,1))+SUMIFS(Despesas!$D$2:$D$1001,Despesas!$A$2:$A$1001,"&gt;="&amp;DATE($C$4,3,1),Despesas!$A$2:$A$1001,"&lt;"&amp;DATE($C$4,3+1,1))</f>
        <v>750</v>
      </c>
      <c r="I10" s="12" t="n">
        <f aca="false">G10-H10</f>
        <v>3650</v>
      </c>
      <c r="J10" s="13" t="n">
        <f aca="false">COUNTIFS(Trabalhos!$A$2:$A$1001,"&gt;="&amp;DATE($C$4,3,1),Trabalhos!$A$2:$A$1001,"&lt;"&amp;DATE($C$4,3+1,1))</f>
        <v>2</v>
      </c>
      <c r="K10" s="13" t="n">
        <f aca="false">COUNTIFS(Orçamentos!$A$2:$A$1001,"&gt;="&amp;DATE($C$4,3,1),Orçamentos!$A$2:$A$1001,"&lt;"&amp;DATE($C$4,3+1,1))</f>
        <v>1</v>
      </c>
      <c r="L10" s="13" t="n">
        <f aca="false">COUNTIFS(Orçamentos!$A$2:$A$1001,"&gt;="&amp;DATE($C$4,3,1),Orçamentos!$A$2:$A$1001,"&lt;"&amp;DATE($C$4,3+1,1),Orçamentos!$G$2:$G$1001,"Fechado")</f>
        <v>1</v>
      </c>
    </row>
    <row r="11" customFormat="false" ht="15" hidden="false" customHeight="false" outlineLevel="0" collapsed="false">
      <c r="B11" s="11" t="s">
        <v>54</v>
      </c>
      <c r="C11" s="12" t="n">
        <f aca="false">SUMIFS(Trabalhos!$K$2:$K$1001,Trabalhos!$A$2:$A$1001,"&gt;="&amp;DATE($C$4,1,1),Trabalhos!$A$2:$A$1001,"&lt;"&amp;DATE($C$4+1,1,1))</f>
        <v>3450</v>
      </c>
      <c r="D11" s="12" t="n">
        <f aca="false">SUMIFS(Trabalhos!$K$2:$K$1001,Trabalhos!$A$2:$A$1001,"&gt;="&amp;DATE($C$4,IFERROR(MATCH($C$5,Listas!$H$3:$H$14,0),1),1),Trabalhos!$A$2:$A$1001,"&lt;"&amp;DATE($C$4,IFERROR(MATCH($C$5,Listas!$H$3:$H$14,0),12)+1,1))</f>
        <v>0</v>
      </c>
      <c r="F11" s="13" t="s">
        <v>55</v>
      </c>
      <c r="G11" s="12" t="n">
        <f aca="false">SUMIFS(Trabalhos!$G$2:$G$1001,Trabalhos!$A$2:$A$1001,"&gt;="&amp;DATE($C$4,4,1),Trabalhos!$A$2:$A$1001,"&lt;"&amp;DATE($C$4,4+1,1))</f>
        <v>5200</v>
      </c>
      <c r="H11" s="12" t="n">
        <f aca="false">SUMIFS(Trabalhos!$K$2:$K$1001,Trabalhos!$A$2:$A$1001,"&gt;="&amp;DATE($C$4,4,1),Trabalhos!$A$2:$A$1001,"&lt;"&amp;DATE($C$4,4+1,1))+SUMIFS(Trabalhos!$L$2:$L$1001,Trabalhos!$A$2:$A$1001,"&gt;="&amp;DATE($C$4,4,1),Trabalhos!$A$2:$A$1001,"&lt;"&amp;DATE($C$4,4+1,1))+SUMIFS(Despesas!$D$2:$D$1001,Despesas!$A$2:$A$1001,"&gt;="&amp;DATE($C$4,4,1),Despesas!$A$2:$A$1001,"&lt;"&amp;DATE($C$4,4+1,1))</f>
        <v>710</v>
      </c>
      <c r="I11" s="12" t="n">
        <f aca="false">G11-H11</f>
        <v>4490</v>
      </c>
      <c r="J11" s="13" t="n">
        <f aca="false">COUNTIFS(Trabalhos!$A$2:$A$1001,"&gt;="&amp;DATE($C$4,4,1),Trabalhos!$A$2:$A$1001,"&lt;"&amp;DATE($C$4,4+1,1))</f>
        <v>1</v>
      </c>
      <c r="K11" s="13" t="n">
        <f aca="false">COUNTIFS(Orçamentos!$A$2:$A$1001,"&gt;="&amp;DATE($C$4,4,1),Orçamentos!$A$2:$A$1001,"&lt;"&amp;DATE($C$4,4+1,1))</f>
        <v>3</v>
      </c>
      <c r="L11" s="13" t="n">
        <f aca="false">COUNTIFS(Orçamentos!$A$2:$A$1001,"&gt;="&amp;DATE($C$4,4,1),Orçamentos!$A$2:$A$1001,"&lt;"&amp;DATE($C$4,4+1,1),Orçamentos!$G$2:$G$1001,"Fechado")</f>
        <v>2</v>
      </c>
    </row>
    <row r="12" customFormat="false" ht="15" hidden="false" customHeight="false" outlineLevel="0" collapsed="false">
      <c r="B12" s="11" t="s">
        <v>56</v>
      </c>
      <c r="C12" s="12" t="n">
        <f aca="false">SUMIFS(Trabalhos!$L$2:$L$1001,Trabalhos!$A$2:$A$1001,"&gt;="&amp;DATE($C$4,1,1),Trabalhos!$A$2:$A$1001,"&lt;"&amp;DATE($C$4+1,1,1))</f>
        <v>820</v>
      </c>
      <c r="D12" s="12" t="n">
        <f aca="false">SUMIFS(Trabalhos!$L$2:$L$1001,Trabalhos!$A$2:$A$1001,"&gt;="&amp;DATE($C$4,IFERROR(MATCH($C$5,Listas!$H$3:$H$14,0),1),1),Trabalhos!$A$2:$A$1001,"&lt;"&amp;DATE($C$4,IFERROR(MATCH($C$5,Listas!$H$3:$H$14,0),12)+1,1))</f>
        <v>50</v>
      </c>
      <c r="F12" s="13" t="s">
        <v>57</v>
      </c>
      <c r="G12" s="12" t="n">
        <f aca="false">SUMIFS(Trabalhos!$G$2:$G$1001,Trabalhos!$A$2:$A$1001,"&gt;="&amp;DATE($C$4,5,1),Trabalhos!$A$2:$A$1001,"&lt;"&amp;DATE($C$4,5+1,1))</f>
        <v>1710</v>
      </c>
      <c r="H12" s="12" t="n">
        <f aca="false">SUMIFS(Trabalhos!$K$2:$K$1001,Trabalhos!$A$2:$A$1001,"&gt;="&amp;DATE($C$4,5,1),Trabalhos!$A$2:$A$1001,"&lt;"&amp;DATE($C$4,5+1,1))+SUMIFS(Trabalhos!$L$2:$L$1001,Trabalhos!$A$2:$A$1001,"&gt;="&amp;DATE($C$4,5,1),Trabalhos!$A$2:$A$1001,"&lt;"&amp;DATE($C$4,5+1,1))+SUMIFS(Despesas!$D$2:$D$1001,Despesas!$A$2:$A$1001,"&gt;="&amp;DATE($C$4,5,1),Despesas!$A$2:$A$1001,"&lt;"&amp;DATE($C$4,5+1,1))</f>
        <v>60</v>
      </c>
      <c r="I12" s="12" t="n">
        <f aca="false">G12-H12</f>
        <v>1650</v>
      </c>
      <c r="J12" s="13" t="n">
        <f aca="false">COUNTIFS(Trabalhos!$A$2:$A$1001,"&gt;="&amp;DATE($C$4,5,1),Trabalhos!$A$2:$A$1001,"&lt;"&amp;DATE($C$4,5+1,1))</f>
        <v>2</v>
      </c>
      <c r="K12" s="13" t="n">
        <f aca="false">COUNTIFS(Orçamentos!$A$2:$A$1001,"&gt;="&amp;DATE($C$4,5,1),Orçamentos!$A$2:$A$1001,"&lt;"&amp;DATE($C$4,5+1,1))</f>
        <v>1</v>
      </c>
      <c r="L12" s="13" t="n">
        <f aca="false">COUNTIFS(Orçamentos!$A$2:$A$1001,"&gt;="&amp;DATE($C$4,5,1),Orçamentos!$A$2:$A$1001,"&lt;"&amp;DATE($C$4,5+1,1),Orçamentos!$G$2:$G$1001,"Fechado")</f>
        <v>1</v>
      </c>
    </row>
    <row r="13" customFormat="false" ht="15" hidden="false" customHeight="false" outlineLevel="0" collapsed="false">
      <c r="B13" s="11" t="s">
        <v>58</v>
      </c>
      <c r="C13" s="12" t="n">
        <f aca="false">SUMIFS(Despesas!$D$2:$D$1001,Despesas!$A$2:$A$1001,"&gt;="&amp;DATE($C$4,1,1),Despesas!$A$2:$A$1001,"&lt;"&amp;DATE($C$4+1,1,1))</f>
        <v>1580</v>
      </c>
      <c r="D13" s="12" t="n">
        <f aca="false">SUMIFS(Despesas!$D$2:$D$1001,Despesas!$A$2:$A$1001,"&gt;="&amp;DATE($C$4,IFERROR(MATCH($C$5,Listas!$H$3:$H$14,0),1),1),Despesas!$A$2:$A$1001,"&lt;"&amp;DATE($C$4,IFERROR(MATCH($C$5,Listas!$H$3:$H$14,0),12)+1,1))</f>
        <v>60</v>
      </c>
      <c r="F13" s="13" t="s">
        <v>59</v>
      </c>
      <c r="G13" s="12" t="n">
        <f aca="false">SUMIFS(Trabalhos!$G$2:$G$1001,Trabalhos!$A$2:$A$1001,"&gt;="&amp;DATE($C$4,6,1),Trabalhos!$A$2:$A$1001,"&lt;"&amp;DATE($C$4,6+1,1))</f>
        <v>3900</v>
      </c>
      <c r="H13" s="12" t="n">
        <f aca="false">SUMIFS(Trabalhos!$K$2:$K$1001,Trabalhos!$A$2:$A$1001,"&gt;="&amp;DATE($C$4,6,1),Trabalhos!$A$2:$A$1001,"&lt;"&amp;DATE($C$4,6+1,1))+SUMIFS(Trabalhos!$L$2:$L$1001,Trabalhos!$A$2:$A$1001,"&gt;="&amp;DATE($C$4,6,1),Trabalhos!$A$2:$A$1001,"&lt;"&amp;DATE($C$4,6+1,1))+SUMIFS(Despesas!$D$2:$D$1001,Despesas!$A$2:$A$1001,"&gt;="&amp;DATE($C$4,6,1),Despesas!$A$2:$A$1001,"&lt;"&amp;DATE($C$4,6+1,1))</f>
        <v>850</v>
      </c>
      <c r="I13" s="12" t="n">
        <f aca="false">G13-H13</f>
        <v>3050</v>
      </c>
      <c r="J13" s="13" t="n">
        <f aca="false">COUNTIFS(Trabalhos!$A$2:$A$1001,"&gt;="&amp;DATE($C$4,6,1),Trabalhos!$A$2:$A$1001,"&lt;"&amp;DATE($C$4,6+1,1))</f>
        <v>1</v>
      </c>
      <c r="K13" s="13" t="n">
        <f aca="false">COUNTIFS(Orçamentos!$A$2:$A$1001,"&gt;="&amp;DATE($C$4,6,1),Orçamentos!$A$2:$A$1001,"&lt;"&amp;DATE($C$4,6+1,1))</f>
        <v>2</v>
      </c>
      <c r="L13" s="13" t="n">
        <f aca="false">COUNTIFS(Orçamentos!$A$2:$A$1001,"&gt;="&amp;DATE($C$4,6,1),Orçamentos!$A$2:$A$1001,"&lt;"&amp;DATE($C$4,6+1,1),Orçamentos!$G$2:$G$1001,"Fechado")</f>
        <v>1</v>
      </c>
    </row>
    <row r="14" customFormat="false" ht="15" hidden="false" customHeight="false" outlineLevel="0" collapsed="false">
      <c r="B14" s="14" t="s">
        <v>60</v>
      </c>
      <c r="C14" s="15" t="n">
        <f aca="false">C8-C11-C12-C13</f>
        <v>35860</v>
      </c>
      <c r="D14" s="15" t="n">
        <f aca="false">D8-D11-D12-D13</f>
        <v>3990</v>
      </c>
      <c r="F14" s="13" t="s">
        <v>61</v>
      </c>
      <c r="G14" s="12" t="n">
        <f aca="false">SUMIFS(Trabalhos!$G$2:$G$1001,Trabalhos!$A$2:$A$1001,"&gt;="&amp;DATE($C$4,7,1),Trabalhos!$A$2:$A$1001,"&lt;"&amp;DATE($C$4,7+1,1))</f>
        <v>2400</v>
      </c>
      <c r="H14" s="12" t="n">
        <f aca="false">SUMIFS(Trabalhos!$K$2:$K$1001,Trabalhos!$A$2:$A$1001,"&gt;="&amp;DATE($C$4,7,1),Trabalhos!$A$2:$A$1001,"&lt;"&amp;DATE($C$4,7+1,1))+SUMIFS(Trabalhos!$L$2:$L$1001,Trabalhos!$A$2:$A$1001,"&gt;="&amp;DATE($C$4,7,1),Trabalhos!$A$2:$A$1001,"&lt;"&amp;DATE($C$4,7+1,1))+SUMIFS(Despesas!$D$2:$D$1001,Despesas!$A$2:$A$1001,"&gt;="&amp;DATE($C$4,7,1),Despesas!$A$2:$A$1001,"&lt;"&amp;DATE($C$4,7+1,1))</f>
        <v>420</v>
      </c>
      <c r="I14" s="12" t="n">
        <f aca="false">G14-H14</f>
        <v>1980</v>
      </c>
      <c r="J14" s="13" t="n">
        <f aca="false">COUNTIFS(Trabalhos!$A$2:$A$1001,"&gt;="&amp;DATE($C$4,7,1),Trabalhos!$A$2:$A$1001,"&lt;"&amp;DATE($C$4,7+1,1))</f>
        <v>1</v>
      </c>
      <c r="K14" s="13" t="n">
        <f aca="false">COUNTIFS(Orçamentos!$A$2:$A$1001,"&gt;="&amp;DATE($C$4,7,1),Orçamentos!$A$2:$A$1001,"&lt;"&amp;DATE($C$4,7+1,1))</f>
        <v>1</v>
      </c>
      <c r="L14" s="13" t="n">
        <f aca="false">COUNTIFS(Orçamentos!$A$2:$A$1001,"&gt;="&amp;DATE($C$4,7,1),Orçamentos!$A$2:$A$1001,"&lt;"&amp;DATE($C$4,7+1,1),Orçamentos!$G$2:$G$1001,"Fechado")</f>
        <v>1</v>
      </c>
    </row>
    <row r="15" customFormat="false" ht="15" hidden="false" customHeight="false" outlineLevel="0" collapsed="false">
      <c r="B15" s="11" t="s">
        <v>62</v>
      </c>
      <c r="C15" s="16" t="n">
        <f aca="false">IF(C8=0,0,C14/C8)</f>
        <v>0.859745864301127</v>
      </c>
      <c r="D15" s="16" t="n">
        <f aca="false">IF(D8=0,0,D14/D8)</f>
        <v>0.973170731707317</v>
      </c>
      <c r="F15" s="13" t="s">
        <v>63</v>
      </c>
      <c r="G15" s="12" t="n">
        <f aca="false">SUMIFS(Trabalhos!$G$2:$G$1001,Trabalhos!$A$2:$A$1001,"&gt;="&amp;DATE($C$4,8,1),Trabalhos!$A$2:$A$1001,"&lt;"&amp;DATE($C$4,8+1,1))</f>
        <v>5600</v>
      </c>
      <c r="H15" s="12" t="n">
        <f aca="false">SUMIFS(Trabalhos!$K$2:$K$1001,Trabalhos!$A$2:$A$1001,"&gt;="&amp;DATE($C$4,8,1),Trabalhos!$A$2:$A$1001,"&lt;"&amp;DATE($C$4,8+1,1))+SUMIFS(Trabalhos!$L$2:$L$1001,Trabalhos!$A$2:$A$1001,"&gt;="&amp;DATE($C$4,8,1),Trabalhos!$A$2:$A$1001,"&lt;"&amp;DATE($C$4,8+1,1))+SUMIFS(Despesas!$D$2:$D$1001,Despesas!$A$2:$A$1001,"&gt;="&amp;DATE($C$4,8,1),Despesas!$A$2:$A$1001,"&lt;"&amp;DATE($C$4,8+1,1))</f>
        <v>1320</v>
      </c>
      <c r="I15" s="12" t="n">
        <f aca="false">G15-H15</f>
        <v>4280</v>
      </c>
      <c r="J15" s="13" t="n">
        <f aca="false">COUNTIFS(Trabalhos!$A$2:$A$1001,"&gt;="&amp;DATE($C$4,8,1),Trabalhos!$A$2:$A$1001,"&lt;"&amp;DATE($C$4,8+1,1))</f>
        <v>1</v>
      </c>
      <c r="K15" s="13" t="n">
        <f aca="false">COUNTIFS(Orçamentos!$A$2:$A$1001,"&gt;="&amp;DATE($C$4,8,1),Orçamentos!$A$2:$A$1001,"&lt;"&amp;DATE($C$4,8+1,1))</f>
        <v>2</v>
      </c>
      <c r="L15" s="13" t="n">
        <f aca="false">COUNTIFS(Orçamentos!$A$2:$A$1001,"&gt;="&amp;DATE($C$4,8,1),Orçamentos!$A$2:$A$1001,"&lt;"&amp;DATE($C$4,8+1,1),Orçamentos!$G$2:$G$1001,"Fechado")</f>
        <v>1</v>
      </c>
    </row>
    <row r="16" customFormat="false" ht="15" hidden="false" customHeight="false" outlineLevel="0" collapsed="false">
      <c r="B16" s="11" t="s">
        <v>45</v>
      </c>
      <c r="C16" s="13" t="n">
        <f aca="false">COUNTIFS(Trabalhos!$A$2:$A$1001,"&gt;="&amp;DATE($C$4,1,1),Trabalhos!$A$2:$A$1001,"&lt;"&amp;DATE($C$4+1,1,1))</f>
        <v>15</v>
      </c>
      <c r="D16" s="13" t="n">
        <f aca="false">COUNTIFS(Trabalhos!$A$2:$A$1001,"&gt;="&amp;DATE($C$4,IFERROR(MATCH($C$5,Listas!$H$3:$H$14,0),1),1),Trabalhos!$A$2:$A$1001,"&lt;"&amp;DATE($C$4,IFERROR(MATCH($C$5,Listas!$H$3:$H$14,0),12)+1,1))</f>
        <v>2</v>
      </c>
      <c r="F16" s="13" t="s">
        <v>64</v>
      </c>
      <c r="G16" s="12" t="n">
        <f aca="false">SUMIFS(Trabalhos!$G$2:$G$1001,Trabalhos!$A$2:$A$1001,"&gt;="&amp;DATE($C$4,9,1),Trabalhos!$A$2:$A$1001,"&lt;"&amp;DATE($C$4,9+1,1))</f>
        <v>1100</v>
      </c>
      <c r="H16" s="12" t="n">
        <f aca="false">SUMIFS(Trabalhos!$K$2:$K$1001,Trabalhos!$A$2:$A$1001,"&gt;="&amp;DATE($C$4,9,1),Trabalhos!$A$2:$A$1001,"&lt;"&amp;DATE($C$4,9+1,1))+SUMIFS(Trabalhos!$L$2:$L$1001,Trabalhos!$A$2:$A$1001,"&gt;="&amp;DATE($C$4,9,1),Trabalhos!$A$2:$A$1001,"&lt;"&amp;DATE($C$4,9+1,1))+SUMIFS(Despesas!$D$2:$D$1001,Despesas!$A$2:$A$1001,"&gt;="&amp;DATE($C$4,9,1),Despesas!$A$2:$A$1001,"&lt;"&amp;DATE($C$4,9+1,1))</f>
        <v>350</v>
      </c>
      <c r="I16" s="12" t="n">
        <f aca="false">G16-H16</f>
        <v>750</v>
      </c>
      <c r="J16" s="13" t="n">
        <f aca="false">COUNTIFS(Trabalhos!$A$2:$A$1001,"&gt;="&amp;DATE($C$4,9,1),Trabalhos!$A$2:$A$1001,"&lt;"&amp;DATE($C$4,9+1,1))</f>
        <v>1</v>
      </c>
      <c r="K16" s="13" t="n">
        <f aca="false">COUNTIFS(Orçamentos!$A$2:$A$1001,"&gt;="&amp;DATE($C$4,9,1),Orçamentos!$A$2:$A$1001,"&lt;"&amp;DATE($C$4,9+1,1))</f>
        <v>3</v>
      </c>
      <c r="L16" s="13" t="n">
        <f aca="false">COUNTIFS(Orçamentos!$A$2:$A$1001,"&gt;="&amp;DATE($C$4,9,1),Orçamentos!$A$2:$A$1001,"&lt;"&amp;DATE($C$4,9+1,1),Orçamentos!$G$2:$G$1001,"Fechado")</f>
        <v>2</v>
      </c>
    </row>
    <row r="17" customFormat="false" ht="15" hidden="false" customHeight="false" outlineLevel="0" collapsed="false">
      <c r="B17" s="11" t="s">
        <v>65</v>
      </c>
      <c r="C17" s="12" t="n">
        <f aca="false">IF(C16=0,0,C8/C16)</f>
        <v>2780.66666666667</v>
      </c>
      <c r="D17" s="12" t="n">
        <f aca="false">IF(D16=0,0,D8/D16)</f>
        <v>2050</v>
      </c>
      <c r="F17" s="13" t="s">
        <v>38</v>
      </c>
      <c r="G17" s="12" t="n">
        <f aca="false">SUMIFS(Trabalhos!$G$2:$G$1001,Trabalhos!$A$2:$A$1001,"&gt;="&amp;DATE($C$4,10,1),Trabalhos!$A$2:$A$1001,"&lt;"&amp;DATE($C$4,10+1,1))</f>
        <v>4100</v>
      </c>
      <c r="H17" s="12" t="n">
        <f aca="false">SUMIFS(Trabalhos!$K$2:$K$1001,Trabalhos!$A$2:$A$1001,"&gt;="&amp;DATE($C$4,10,1),Trabalhos!$A$2:$A$1001,"&lt;"&amp;DATE($C$4,10+1,1))+SUMIFS(Trabalhos!$L$2:$L$1001,Trabalhos!$A$2:$A$1001,"&gt;="&amp;DATE($C$4,10,1),Trabalhos!$A$2:$A$1001,"&lt;"&amp;DATE($C$4,10+1,1))+SUMIFS(Despesas!$D$2:$D$1001,Despesas!$A$2:$A$1001,"&gt;="&amp;DATE($C$4,10,1),Despesas!$A$2:$A$1001,"&lt;"&amp;DATE($C$4,10+1,1))</f>
        <v>110</v>
      </c>
      <c r="I17" s="12" t="n">
        <f aca="false">G17-H17</f>
        <v>3990</v>
      </c>
      <c r="J17" s="13" t="n">
        <f aca="false">COUNTIFS(Trabalhos!$A$2:$A$1001,"&gt;="&amp;DATE($C$4,10,1),Trabalhos!$A$2:$A$1001,"&lt;"&amp;DATE($C$4,10+1,1))</f>
        <v>2</v>
      </c>
      <c r="K17" s="13" t="n">
        <f aca="false">COUNTIFS(Orçamentos!$A$2:$A$1001,"&gt;="&amp;DATE($C$4,10,1),Orçamentos!$A$2:$A$1001,"&lt;"&amp;DATE($C$4,10+1,1))</f>
        <v>2</v>
      </c>
      <c r="L17" s="13" t="n">
        <f aca="false">COUNTIFS(Orçamentos!$A$2:$A$1001,"&gt;="&amp;DATE($C$4,10,1),Orçamentos!$A$2:$A$1001,"&lt;"&amp;DATE($C$4,10+1,1),Orçamentos!$G$2:$G$1001,"Fechado")</f>
        <v>1</v>
      </c>
    </row>
    <row r="18" customFormat="false" ht="15" hidden="false" customHeight="false" outlineLevel="0" collapsed="false">
      <c r="B18" s="11" t="s">
        <v>66</v>
      </c>
      <c r="C18" s="13" t="n">
        <f aca="false">COUNTIFS(Orçamentos!$A$2:$A$1001,"&gt;="&amp;DATE($C$4,1,1),Orçamentos!$A$2:$A$1001,"&lt;"&amp;DATE($C$4+1,1,1))</f>
        <v>20</v>
      </c>
      <c r="D18" s="13" t="n">
        <f aca="false">COUNTIFS(Orçamentos!$A$2:$A$1001,"&gt;="&amp;DATE($C$4,IFERROR(MATCH($C$5,Listas!$H$3:$H$14,0),1),1),Orçamentos!$A$2:$A$1001,"&lt;"&amp;DATE($C$4,IFERROR(MATCH($C$5,Listas!$H$3:$H$14,0),12)+1,1))</f>
        <v>2</v>
      </c>
      <c r="F18" s="13" t="s">
        <v>67</v>
      </c>
      <c r="G18" s="12" t="n">
        <f aca="false">SUMIFS(Trabalhos!$G$2:$G$1001,Trabalhos!$A$2:$A$1001,"&gt;="&amp;DATE($C$4,11,1),Trabalhos!$A$2:$A$1001,"&lt;"&amp;DATE($C$4,11+1,1))</f>
        <v>6200</v>
      </c>
      <c r="H18" s="12" t="n">
        <f aca="false">SUMIFS(Trabalhos!$K$2:$K$1001,Trabalhos!$A$2:$A$1001,"&gt;="&amp;DATE($C$4,11,1),Trabalhos!$A$2:$A$1001,"&lt;"&amp;DATE($C$4,11+1,1))+SUMIFS(Trabalhos!$L$2:$L$1001,Trabalhos!$A$2:$A$1001,"&gt;="&amp;DATE($C$4,11,1),Trabalhos!$A$2:$A$1001,"&lt;"&amp;DATE($C$4,11+1,1))+SUMIFS(Despesas!$D$2:$D$1001,Despesas!$A$2:$A$1001,"&gt;="&amp;DATE($C$4,11,1),Despesas!$A$2:$A$1001,"&lt;"&amp;DATE($C$4,11+1,1))</f>
        <v>500</v>
      </c>
      <c r="I18" s="12" t="n">
        <f aca="false">G18-H18</f>
        <v>5700</v>
      </c>
      <c r="J18" s="13" t="n">
        <f aca="false">COUNTIFS(Trabalhos!$A$2:$A$1001,"&gt;="&amp;DATE($C$4,11,1),Trabalhos!$A$2:$A$1001,"&lt;"&amp;DATE($C$4,11+1,1))</f>
        <v>1</v>
      </c>
      <c r="K18" s="13" t="n">
        <f aca="false">COUNTIFS(Orçamentos!$A$2:$A$1001,"&gt;="&amp;DATE($C$4,11,1),Orçamentos!$A$2:$A$1001,"&lt;"&amp;DATE($C$4,11+1,1))</f>
        <v>1</v>
      </c>
      <c r="L18" s="13" t="n">
        <f aca="false">COUNTIFS(Orçamentos!$A$2:$A$1001,"&gt;="&amp;DATE($C$4,11,1),Orçamentos!$A$2:$A$1001,"&lt;"&amp;DATE($C$4,11+1,1),Orçamentos!$G$2:$G$1001,"Fechado")</f>
        <v>1</v>
      </c>
    </row>
    <row r="19" customFormat="false" ht="15" hidden="false" customHeight="false" outlineLevel="0" collapsed="false">
      <c r="B19" s="11" t="s">
        <v>68</v>
      </c>
      <c r="C19" s="13" t="n">
        <f aca="false">COUNTIFS(Orçamentos!$A$2:$A$1001,"&gt;="&amp;DATE($C$4,1,1),Orçamentos!$A$2:$A$1001,"&lt;"&amp;DATE($C$4+1,1,1),Orçamentos!$G$2:$G$1001,"Fechado")</f>
        <v>14</v>
      </c>
      <c r="D19" s="13" t="n">
        <f aca="false">COUNTIFS(Orçamentos!$A$2:$A$1001,"&gt;="&amp;DATE($C$4,IFERROR(MATCH($C$5,Listas!$H$3:$H$14,0),1),1),Orçamentos!$A$2:$A$1001,"&lt;"&amp;DATE($C$4,IFERROR(MATCH($C$5,Listas!$H$3:$H$14,0),12)+1,1),Orçamentos!$G$2:$G$1001,"Fechado")</f>
        <v>1</v>
      </c>
      <c r="F19" s="13" t="s">
        <v>69</v>
      </c>
      <c r="G19" s="12" t="n">
        <f aca="false">SUMIFS(Trabalhos!$G$2:$G$1001,Trabalhos!$A$2:$A$1001,"&gt;="&amp;DATE($C$4,12,1),Trabalhos!$A$2:$A$1001,"&lt;"&amp;DATE($C$4,12+1,1))</f>
        <v>1100</v>
      </c>
      <c r="H19" s="12" t="n">
        <f aca="false">SUMIFS(Trabalhos!$K$2:$K$1001,Trabalhos!$A$2:$A$1001,"&gt;="&amp;DATE($C$4,12,1),Trabalhos!$A$2:$A$1001,"&lt;"&amp;DATE($C$4,12+1,1))+SUMIFS(Trabalhos!$L$2:$L$1001,Trabalhos!$A$2:$A$1001,"&gt;="&amp;DATE($C$4,12,1),Trabalhos!$A$2:$A$1001,"&lt;"&amp;DATE($C$4,12+1,1))+SUMIFS(Despesas!$D$2:$D$1001,Despesas!$A$2:$A$1001,"&gt;="&amp;DATE($C$4,12,1),Despesas!$A$2:$A$1001,"&lt;"&amp;DATE($C$4,12+1,1))</f>
        <v>0</v>
      </c>
      <c r="I19" s="12" t="n">
        <f aca="false">G19-H19</f>
        <v>1100</v>
      </c>
      <c r="J19" s="13" t="n">
        <f aca="false">COUNTIFS(Trabalhos!$A$2:$A$1001,"&gt;="&amp;DATE($C$4,12,1),Trabalhos!$A$2:$A$1001,"&lt;"&amp;DATE($C$4,12+1,1))</f>
        <v>1</v>
      </c>
      <c r="K19" s="13" t="n">
        <f aca="false">COUNTIFS(Orçamentos!$A$2:$A$1001,"&gt;="&amp;DATE($C$4,12,1),Orçamentos!$A$2:$A$1001,"&lt;"&amp;DATE($C$4,12+1,1))</f>
        <v>0</v>
      </c>
      <c r="L19" s="13" t="n">
        <f aca="false">COUNTIFS(Orçamentos!$A$2:$A$1001,"&gt;="&amp;DATE($C$4,12,1),Orçamentos!$A$2:$A$1001,"&lt;"&amp;DATE($C$4,12+1,1),Orçamentos!$G$2:$G$1001,"Fechado")</f>
        <v>0</v>
      </c>
    </row>
    <row r="20" customFormat="false" ht="15" hidden="false" customHeight="false" outlineLevel="0" collapsed="false">
      <c r="B20" s="11" t="s">
        <v>70</v>
      </c>
      <c r="C20" s="16" t="n">
        <f aca="false">IF(C18=0,0,C19/C18)</f>
        <v>0.7</v>
      </c>
      <c r="D20" s="16" t="n">
        <f aca="false">IF(D18=0,0,D19/D18)</f>
        <v>0.5</v>
      </c>
      <c r="F20" s="17" t="s">
        <v>71</v>
      </c>
      <c r="G20" s="18" t="n">
        <f aca="false">SUM(G8:G19)</f>
        <v>41710</v>
      </c>
      <c r="H20" s="18" t="n">
        <f aca="false">SUM(H8:H19)</f>
        <v>5850</v>
      </c>
      <c r="I20" s="18" t="n">
        <f aca="false">SUM(I8:I19)</f>
        <v>35860</v>
      </c>
      <c r="J20" s="17" t="n">
        <f aca="false">SUM(J8:J19)</f>
        <v>15</v>
      </c>
      <c r="K20" s="17" t="n">
        <f aca="false">SUM(K8:K19)</f>
        <v>20</v>
      </c>
      <c r="L20" s="17" t="n">
        <f aca="false">SUM(L8:L19)</f>
        <v>14</v>
      </c>
    </row>
    <row r="21" customFormat="false" ht="15" hidden="false" customHeight="false" outlineLevel="0" collapsed="false">
      <c r="D21" s="19" t="str">
        <f aca="false">IF(ISNA(MATCH($C$5,Listas!$H$3:$H$14,0)),"Escolha um mês na célula C5","")</f>
        <v/>
      </c>
    </row>
    <row r="24" customFormat="false" ht="15" hidden="false" customHeight="false" outlineLevel="0" collapsed="false">
      <c r="B24" s="20" t="s">
        <v>72</v>
      </c>
    </row>
    <row r="25" customFormat="false" ht="27.75" hidden="false" customHeight="true" outlineLevel="0" collapsed="false">
      <c r="B25" s="10" t="s">
        <v>73</v>
      </c>
      <c r="C25" s="10" t="s">
        <v>45</v>
      </c>
      <c r="D25" s="10" t="s">
        <v>43</v>
      </c>
      <c r="E25" s="21"/>
      <c r="F25" s="10" t="s">
        <v>74</v>
      </c>
      <c r="G25" s="10" t="s">
        <v>20</v>
      </c>
      <c r="H25" s="10" t="s">
        <v>46</v>
      </c>
      <c r="I25" s="10" t="s">
        <v>75</v>
      </c>
    </row>
    <row r="26" customFormat="false" ht="15" hidden="false" customHeight="false" outlineLevel="0" collapsed="false">
      <c r="B26" s="11" t="str">
        <f aca="false">Listas!$A$2</f>
        <v>Casamento</v>
      </c>
      <c r="C26" s="13" t="n">
        <f aca="false">COUNTIFS(Trabalhos!$A$2:$A$1001,"&gt;="&amp;DATE($C$4,1,1),Trabalhos!$A$2:$A$1001,"&lt;"&amp;DATE($C$4+1,1,1),Trabalhos!$D$2:$D$1001,$B26)</f>
        <v>5</v>
      </c>
      <c r="D26" s="12" t="n">
        <f aca="false">SUMIFS(Trabalhos!$G$2:$G$1001,Trabalhos!$A$2:$A$1001,"&gt;="&amp;DATE($C$4,1,1),Trabalhos!$A$2:$A$1001,"&lt;"&amp;DATE($C$4+1,1,1),Trabalhos!$D$2:$D$1001,$B26)</f>
        <v>25700</v>
      </c>
      <c r="F26" s="12" t="n">
        <f aca="false">IF(C26=0,0,D26/C26)</f>
        <v>5140</v>
      </c>
      <c r="G26" s="12" t="n">
        <f aca="false">D26-SUMIFS(Trabalhos!$K$2:$K$1001,Trabalhos!$A$2:$A$1001,"&gt;="&amp;DATE($C$4,1,1),Trabalhos!$A$2:$A$1001,"&lt;"&amp;DATE($C$4+1,1,1),Trabalhos!$D$2:$D$1001,$B26)-SUMIFS(Trabalhos!$L$2:$L$1001,Trabalhos!$A$2:$A$1001,"&gt;="&amp;DATE($C$4,1,1),Trabalhos!$A$2:$A$1001,"&lt;"&amp;DATE($C$4+1,1,1),Trabalhos!$D$2:$D$1001,$B26)</f>
        <v>22410</v>
      </c>
      <c r="H26" s="13" t="n">
        <f aca="false">COUNTIFS(Orçamentos!$A$2:$A$1001,"&gt;="&amp;DATE($C$4,1,1),Orçamentos!$A$2:$A$1001,"&lt;"&amp;DATE($C$4+1,1,1),Orçamentos!$C$2:$C$1001,$B26)</f>
        <v>6</v>
      </c>
      <c r="I26" s="16" t="n">
        <f aca="false">IF(H26=0,0,COUNTIFS(Orçamentos!$A$2:$A$1001,"&gt;="&amp;DATE($C$4,1,1),Orçamentos!$A$2:$A$1001,"&lt;"&amp;DATE($C$4+1,1,1),Orçamentos!$C$2:$C$1001,$B26,Orçamentos!$G$2:$G$1001,"Fechado")/H26)</f>
        <v>0.666666666666667</v>
      </c>
    </row>
    <row r="27" customFormat="false" ht="15" hidden="false" customHeight="false" outlineLevel="0" collapsed="false">
      <c r="B27" s="11" t="str">
        <f aca="false">Listas!$A$3</f>
        <v>Aniversário</v>
      </c>
      <c r="C27" s="13" t="n">
        <f aca="false">COUNTIFS(Trabalhos!$A$2:$A$1001,"&gt;="&amp;DATE($C$4,1,1),Trabalhos!$A$2:$A$1001,"&lt;"&amp;DATE($C$4+1,1,1),Trabalhos!$D$2:$D$1001,$B27)</f>
        <v>3</v>
      </c>
      <c r="D27" s="12" t="n">
        <f aca="false">SUMIFS(Trabalhos!$G$2:$G$1001,Trabalhos!$A$2:$A$1001,"&gt;="&amp;DATE($C$4,1,1),Trabalhos!$A$2:$A$1001,"&lt;"&amp;DATE($C$4+1,1,1),Trabalhos!$D$2:$D$1001,$B27)</f>
        <v>4700</v>
      </c>
      <c r="F27" s="12" t="n">
        <f aca="false">IF(C27=0,0,D27/C27)</f>
        <v>1566.66666666667</v>
      </c>
      <c r="G27" s="12" t="n">
        <f aca="false">D27-SUMIFS(Trabalhos!$K$2:$K$1001,Trabalhos!$A$2:$A$1001,"&gt;="&amp;DATE($C$4,1,1),Trabalhos!$A$2:$A$1001,"&lt;"&amp;DATE($C$4+1,1,1),Trabalhos!$D$2:$D$1001,$B27)-SUMIFS(Trabalhos!$L$2:$L$1001,Trabalhos!$A$2:$A$1001,"&gt;="&amp;DATE($C$4,1,1),Trabalhos!$A$2:$A$1001,"&lt;"&amp;DATE($C$4+1,1,1),Trabalhos!$D$2:$D$1001,$B27)</f>
        <v>4300</v>
      </c>
      <c r="H27" s="13" t="n">
        <f aca="false">COUNTIFS(Orçamentos!$A$2:$A$1001,"&gt;="&amp;DATE($C$4,1,1),Orçamentos!$A$2:$A$1001,"&lt;"&amp;DATE($C$4+1,1,1),Orçamentos!$C$2:$C$1001,$B27)</f>
        <v>4</v>
      </c>
      <c r="I27" s="16" t="n">
        <f aca="false">IF(H27=0,0,COUNTIFS(Orçamentos!$A$2:$A$1001,"&gt;="&amp;DATE($C$4,1,1),Orçamentos!$A$2:$A$1001,"&lt;"&amp;DATE($C$4+1,1,1),Orçamentos!$C$2:$C$1001,$B27,Orçamentos!$G$2:$G$1001,"Fechado")/H27)</f>
        <v>0.75</v>
      </c>
    </row>
    <row r="28" customFormat="false" ht="15" hidden="false" customHeight="false" outlineLevel="0" collapsed="false">
      <c r="B28" s="11" t="str">
        <f aca="false">Listas!$A$4</f>
        <v>Edição</v>
      </c>
      <c r="C28" s="13" t="n">
        <f aca="false">COUNTIFS(Trabalhos!$A$2:$A$1001,"&gt;="&amp;DATE($C$4,1,1),Trabalhos!$A$2:$A$1001,"&lt;"&amp;DATE($C$4+1,1,1),Trabalhos!$D$2:$D$1001,$B28)</f>
        <v>1</v>
      </c>
      <c r="D28" s="12" t="n">
        <f aca="false">SUMIFS(Trabalhos!$G$2:$G$1001,Trabalhos!$A$2:$A$1001,"&gt;="&amp;DATE($C$4,1,1),Trabalhos!$A$2:$A$1001,"&lt;"&amp;DATE($C$4+1,1,1),Trabalhos!$D$2:$D$1001,$B28)</f>
        <v>960</v>
      </c>
      <c r="F28" s="12" t="n">
        <f aca="false">IF(C28=0,0,D28/C28)</f>
        <v>960</v>
      </c>
      <c r="G28" s="12" t="n">
        <f aca="false">D28-SUMIFS(Trabalhos!$K$2:$K$1001,Trabalhos!$A$2:$A$1001,"&gt;="&amp;DATE($C$4,1,1),Trabalhos!$A$2:$A$1001,"&lt;"&amp;DATE($C$4+1,1,1),Trabalhos!$D$2:$D$1001,$B28)-SUMIFS(Trabalhos!$L$2:$L$1001,Trabalhos!$A$2:$A$1001,"&gt;="&amp;DATE($C$4,1,1),Trabalhos!$A$2:$A$1001,"&lt;"&amp;DATE($C$4+1,1,1),Trabalhos!$D$2:$D$1001,$B28)</f>
        <v>960</v>
      </c>
      <c r="H28" s="13" t="n">
        <f aca="false">COUNTIFS(Orçamentos!$A$2:$A$1001,"&gt;="&amp;DATE($C$4,1,1),Orçamentos!$A$2:$A$1001,"&lt;"&amp;DATE($C$4+1,1,1),Orçamentos!$C$2:$C$1001,$B28)</f>
        <v>2</v>
      </c>
      <c r="I28" s="16" t="n">
        <f aca="false">IF(H28=0,0,COUNTIFS(Orçamentos!$A$2:$A$1001,"&gt;="&amp;DATE($C$4,1,1),Orçamentos!$A$2:$A$1001,"&lt;"&amp;DATE($C$4+1,1,1),Orçamentos!$C$2:$C$1001,$B28,Orçamentos!$G$2:$G$1001,"Fechado")/H28)</f>
        <v>0.5</v>
      </c>
    </row>
    <row r="29" customFormat="false" ht="15" hidden="false" customHeight="false" outlineLevel="0" collapsed="false">
      <c r="B29" s="11" t="str">
        <f aca="false">Listas!$A$5</f>
        <v>Vídeo institucional</v>
      </c>
      <c r="C29" s="13" t="n">
        <f aca="false">COUNTIFS(Trabalhos!$A$2:$A$1001,"&gt;="&amp;DATE($C$4,1,1),Trabalhos!$A$2:$A$1001,"&lt;"&amp;DATE($C$4+1,1,1),Trabalhos!$D$2:$D$1001,$B29)</f>
        <v>2</v>
      </c>
      <c r="D29" s="12" t="n">
        <f aca="false">SUMIFS(Trabalhos!$G$2:$G$1001,Trabalhos!$A$2:$A$1001,"&gt;="&amp;DATE($C$4,1,1),Trabalhos!$A$2:$A$1001,"&lt;"&amp;DATE($C$4+1,1,1),Trabalhos!$D$2:$D$1001,$B29)</f>
        <v>6300</v>
      </c>
      <c r="F29" s="12" t="n">
        <f aca="false">IF(C29=0,0,D29/C29)</f>
        <v>3150</v>
      </c>
      <c r="G29" s="12" t="n">
        <f aca="false">D29-SUMIFS(Trabalhos!$K$2:$K$1001,Trabalhos!$A$2:$A$1001,"&gt;="&amp;DATE($C$4,1,1),Trabalhos!$A$2:$A$1001,"&lt;"&amp;DATE($C$4+1,1,1),Trabalhos!$D$2:$D$1001,$B29)-SUMIFS(Trabalhos!$L$2:$L$1001,Trabalhos!$A$2:$A$1001,"&gt;="&amp;DATE($C$4,1,1),Trabalhos!$A$2:$A$1001,"&lt;"&amp;DATE($C$4+1,1,1),Trabalhos!$D$2:$D$1001,$B29)</f>
        <v>5790</v>
      </c>
      <c r="H29" s="13" t="n">
        <f aca="false">COUNTIFS(Orçamentos!$A$2:$A$1001,"&gt;="&amp;DATE($C$4,1,1),Orçamentos!$A$2:$A$1001,"&lt;"&amp;DATE($C$4+1,1,1),Orçamentos!$C$2:$C$1001,$B29)</f>
        <v>3</v>
      </c>
      <c r="I29" s="16" t="n">
        <f aca="false">IF(H29=0,0,COUNTIFS(Orçamentos!$A$2:$A$1001,"&gt;="&amp;DATE($C$4,1,1),Orçamentos!$A$2:$A$1001,"&lt;"&amp;DATE($C$4+1,1,1),Orçamentos!$C$2:$C$1001,$B29,Orçamentos!$G$2:$G$1001,"Fechado")/H29)</f>
        <v>0.666666666666667</v>
      </c>
    </row>
    <row r="30" customFormat="false" ht="15" hidden="false" customHeight="false" outlineLevel="0" collapsed="false">
      <c r="B30" s="11" t="str">
        <f aca="false">Listas!$A$6</f>
        <v>Storymaker</v>
      </c>
      <c r="C30" s="13" t="n">
        <f aca="false">COUNTIFS(Trabalhos!$A$2:$A$1001,"&gt;="&amp;DATE($C$4,1,1),Trabalhos!$A$2:$A$1001,"&lt;"&amp;DATE($C$4+1,1,1),Trabalhos!$D$2:$D$1001,$B30)</f>
        <v>1</v>
      </c>
      <c r="D30" s="12" t="n">
        <f aca="false">SUMIFS(Trabalhos!$G$2:$G$1001,Trabalhos!$A$2:$A$1001,"&gt;="&amp;DATE($C$4,1,1),Trabalhos!$A$2:$A$1001,"&lt;"&amp;DATE($C$4+1,1,1),Trabalhos!$D$2:$D$1001,$B30)</f>
        <v>1100</v>
      </c>
      <c r="F30" s="12" t="n">
        <f aca="false">IF(C30=0,0,D30/C30)</f>
        <v>1100</v>
      </c>
      <c r="G30" s="12" t="n">
        <f aca="false">D30-SUMIFS(Trabalhos!$K$2:$K$1001,Trabalhos!$A$2:$A$1001,"&gt;="&amp;DATE($C$4,1,1),Trabalhos!$A$2:$A$1001,"&lt;"&amp;DATE($C$4+1,1,1),Trabalhos!$D$2:$D$1001,$B30)-SUMIFS(Trabalhos!$L$2:$L$1001,Trabalhos!$A$2:$A$1001,"&gt;="&amp;DATE($C$4,1,1),Trabalhos!$A$2:$A$1001,"&lt;"&amp;DATE($C$4+1,1,1),Trabalhos!$D$2:$D$1001,$B30)</f>
        <v>1060</v>
      </c>
      <c r="H30" s="13" t="n">
        <f aca="false">COUNTIFS(Orçamentos!$A$2:$A$1001,"&gt;="&amp;DATE($C$4,1,1),Orçamentos!$A$2:$A$1001,"&lt;"&amp;DATE($C$4+1,1,1),Orçamentos!$C$2:$C$1001,$B30)</f>
        <v>1</v>
      </c>
      <c r="I30" s="16" t="n">
        <f aca="false">IF(H30=0,0,COUNTIFS(Orçamentos!$A$2:$A$1001,"&gt;="&amp;DATE($C$4,1,1),Orçamentos!$A$2:$A$1001,"&lt;"&amp;DATE($C$4+1,1,1),Orçamentos!$C$2:$C$1001,$B30,Orçamentos!$G$2:$G$1001,"Fechado")/H30)</f>
        <v>1</v>
      </c>
    </row>
    <row r="31" customFormat="false" ht="15" hidden="false" customHeight="false" outlineLevel="0" collapsed="false">
      <c r="B31" s="11" t="str">
        <f aca="false">Listas!$A$7</f>
        <v>Fotografia</v>
      </c>
      <c r="C31" s="13" t="n">
        <f aca="false">COUNTIFS(Trabalhos!$A$2:$A$1001,"&gt;="&amp;DATE($C$4,1,1),Trabalhos!$A$2:$A$1001,"&lt;"&amp;DATE($C$4+1,1,1),Trabalhos!$D$2:$D$1001,$B31)</f>
        <v>1</v>
      </c>
      <c r="D31" s="12" t="n">
        <f aca="false">SUMIFS(Trabalhos!$G$2:$G$1001,Trabalhos!$A$2:$A$1001,"&gt;="&amp;DATE($C$4,1,1),Trabalhos!$A$2:$A$1001,"&lt;"&amp;DATE($C$4+1,1,1),Trabalhos!$D$2:$D$1001,$B31)</f>
        <v>750</v>
      </c>
      <c r="F31" s="12" t="n">
        <f aca="false">IF(C31=0,0,D31/C31)</f>
        <v>750</v>
      </c>
      <c r="G31" s="12" t="n">
        <f aca="false">D31-SUMIFS(Trabalhos!$K$2:$K$1001,Trabalhos!$A$2:$A$1001,"&gt;="&amp;DATE($C$4,1,1),Trabalhos!$A$2:$A$1001,"&lt;"&amp;DATE($C$4+1,1,1),Trabalhos!$D$2:$D$1001,$B31)-SUMIFS(Trabalhos!$L$2:$L$1001,Trabalhos!$A$2:$A$1001,"&gt;="&amp;DATE($C$4,1,1),Trabalhos!$A$2:$A$1001,"&lt;"&amp;DATE($C$4+1,1,1),Trabalhos!$D$2:$D$1001,$B31)</f>
        <v>750</v>
      </c>
      <c r="H31" s="13" t="n">
        <f aca="false">COUNTIFS(Orçamentos!$A$2:$A$1001,"&gt;="&amp;DATE($C$4,1,1),Orçamentos!$A$2:$A$1001,"&lt;"&amp;DATE($C$4+1,1,1),Orçamentos!$C$2:$C$1001,$B31)</f>
        <v>2</v>
      </c>
      <c r="I31" s="16" t="n">
        <f aca="false">IF(H31=0,0,COUNTIFS(Orçamentos!$A$2:$A$1001,"&gt;="&amp;DATE($C$4,1,1),Orçamentos!$A$2:$A$1001,"&lt;"&amp;DATE($C$4+1,1,1),Orçamentos!$C$2:$C$1001,$B31,Orçamentos!$G$2:$G$1001,"Fechado")/H31)</f>
        <v>0.5</v>
      </c>
    </row>
    <row r="32" customFormat="false" ht="15" hidden="false" customHeight="false" outlineLevel="0" collapsed="false">
      <c r="B32" s="11" t="str">
        <f aca="false">Listas!$A$8</f>
        <v>Chá revelação</v>
      </c>
      <c r="C32" s="13" t="n">
        <f aca="false">COUNTIFS(Trabalhos!$A$2:$A$1001,"&gt;="&amp;DATE($C$4,1,1),Trabalhos!$A$2:$A$1001,"&lt;"&amp;DATE($C$4+1,1,1),Trabalhos!$D$2:$D$1001,$B32)</f>
        <v>2</v>
      </c>
      <c r="D32" s="12" t="n">
        <f aca="false">SUMIFS(Trabalhos!$G$2:$G$1001,Trabalhos!$A$2:$A$1001,"&gt;="&amp;DATE($C$4,1,1),Trabalhos!$A$2:$A$1001,"&lt;"&amp;DATE($C$4+1,1,1),Trabalhos!$D$2:$D$1001,$B32)</f>
        <v>2200</v>
      </c>
      <c r="F32" s="12" t="n">
        <f aca="false">IF(C32=0,0,D32/C32)</f>
        <v>1100</v>
      </c>
      <c r="G32" s="12" t="n">
        <f aca="false">D32-SUMIFS(Trabalhos!$K$2:$K$1001,Trabalhos!$A$2:$A$1001,"&gt;="&amp;DATE($C$4,1,1),Trabalhos!$A$2:$A$1001,"&lt;"&amp;DATE($C$4+1,1,1),Trabalhos!$D$2:$D$1001,$B32)-SUMIFS(Trabalhos!$L$2:$L$1001,Trabalhos!$A$2:$A$1001,"&gt;="&amp;DATE($C$4,1,1),Trabalhos!$A$2:$A$1001,"&lt;"&amp;DATE($C$4+1,1,1),Trabalhos!$D$2:$D$1001,$B32)</f>
        <v>2170</v>
      </c>
      <c r="H32" s="13" t="n">
        <f aca="false">COUNTIFS(Orçamentos!$A$2:$A$1001,"&gt;="&amp;DATE($C$4,1,1),Orçamentos!$A$2:$A$1001,"&lt;"&amp;DATE($C$4+1,1,1),Orçamentos!$C$2:$C$1001,$B32)</f>
        <v>2</v>
      </c>
      <c r="I32" s="16" t="n">
        <f aca="false">IF(H32=0,0,COUNTIFS(Orçamentos!$A$2:$A$1001,"&gt;="&amp;DATE($C$4,1,1),Orçamentos!$A$2:$A$1001,"&lt;"&amp;DATE($C$4+1,1,1),Orçamentos!$C$2:$C$1001,$B32,Orçamentos!$G$2:$G$1001,"Fechado")/H32)</f>
        <v>1</v>
      </c>
    </row>
    <row r="33" customFormat="false" ht="15" hidden="false" customHeight="false" outlineLevel="0" collapsed="false">
      <c r="B33" s="11" t="str">
        <f aca="false">Listas!$A$9</f>
        <v>Outro</v>
      </c>
      <c r="C33" s="13" t="n">
        <f aca="false">COUNTIFS(Trabalhos!$A$2:$A$1001,"&gt;="&amp;DATE($C$4,1,1),Trabalhos!$A$2:$A$1001,"&lt;"&amp;DATE($C$4+1,1,1),Trabalhos!$D$2:$D$1001,$B33)</f>
        <v>0</v>
      </c>
      <c r="D33" s="12" t="n">
        <f aca="false">SUMIFS(Trabalhos!$G$2:$G$1001,Trabalhos!$A$2:$A$1001,"&gt;="&amp;DATE($C$4,1,1),Trabalhos!$A$2:$A$1001,"&lt;"&amp;DATE($C$4+1,1,1),Trabalhos!$D$2:$D$1001,$B33)</f>
        <v>0</v>
      </c>
      <c r="F33" s="12" t="n">
        <f aca="false">IF(C33=0,0,D33/C33)</f>
        <v>0</v>
      </c>
      <c r="G33" s="12" t="n">
        <f aca="false">D33-SUMIFS(Trabalhos!$K$2:$K$1001,Trabalhos!$A$2:$A$1001,"&gt;="&amp;DATE($C$4,1,1),Trabalhos!$A$2:$A$1001,"&lt;"&amp;DATE($C$4+1,1,1),Trabalhos!$D$2:$D$1001,$B33)-SUMIFS(Trabalhos!$L$2:$L$1001,Trabalhos!$A$2:$A$1001,"&gt;="&amp;DATE($C$4,1,1),Trabalhos!$A$2:$A$1001,"&lt;"&amp;DATE($C$4+1,1,1),Trabalhos!$D$2:$D$1001,$B33)</f>
        <v>0</v>
      </c>
      <c r="H33" s="13" t="n">
        <f aca="false">COUNTIFS(Orçamentos!$A$2:$A$1001,"&gt;="&amp;DATE($C$4,1,1),Orçamentos!$A$2:$A$1001,"&lt;"&amp;DATE($C$4+1,1,1),Orçamentos!$C$2:$C$1001,$B33)</f>
        <v>0</v>
      </c>
      <c r="I33" s="16" t="n">
        <f aca="false">IF(H33=0,0,COUNTIFS(Orçamentos!$A$2:$A$1001,"&gt;="&amp;DATE($C$4,1,1),Orçamentos!$A$2:$A$1001,"&lt;"&amp;DATE($C$4+1,1,1),Orçamentos!$C$2:$C$1001,$B33,Orçamentos!$G$2:$G$1001,"Fechado")/H33)</f>
        <v>0</v>
      </c>
    </row>
  </sheetData>
  <dataValidations count="1">
    <dataValidation allowBlank="false" errorStyle="stop" operator="between" showDropDown="false" showErrorMessage="false" showInputMessage="false" sqref="C5" type="list">
      <formula1>Listas!$H$2:$H$40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2E24"/>
    <pageSetUpPr fitToPage="false"/>
  </sheetPr>
  <dimension ref="A1:P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2" min="11" style="0" width="14"/>
    <col collapsed="false" customWidth="true" hidden="false" outlineLevel="0" max="14" min="13" style="0" width="13"/>
    <col collapsed="false" customWidth="true" hidden="false" outlineLevel="0" max="15" min="15" style="0" width="11"/>
    <col collapsed="false" customWidth="true" hidden="false" outlineLevel="0" max="16" min="16" style="0" width="30"/>
  </cols>
  <sheetData>
    <row r="1" customFormat="false" ht="33.75" hidden="false" customHeight="true" outlineLevel="0" collapsed="false">
      <c r="A1" s="10" t="s">
        <v>76</v>
      </c>
      <c r="B1" s="10" t="s">
        <v>77</v>
      </c>
      <c r="C1" s="10" t="s">
        <v>78</v>
      </c>
      <c r="D1" s="10" t="s">
        <v>73</v>
      </c>
      <c r="E1" s="10" t="s">
        <v>16</v>
      </c>
      <c r="F1" s="10" t="s">
        <v>79</v>
      </c>
      <c r="G1" s="10" t="s">
        <v>80</v>
      </c>
      <c r="H1" s="10" t="s">
        <v>81</v>
      </c>
      <c r="I1" s="10" t="s">
        <v>82</v>
      </c>
      <c r="J1" s="10" t="s">
        <v>54</v>
      </c>
      <c r="K1" s="10" t="s">
        <v>83</v>
      </c>
      <c r="L1" s="10" t="s">
        <v>84</v>
      </c>
      <c r="M1" s="10" t="s">
        <v>52</v>
      </c>
      <c r="N1" s="10" t="s">
        <v>20</v>
      </c>
      <c r="O1" s="10" t="s">
        <v>85</v>
      </c>
      <c r="P1" s="10" t="s">
        <v>86</v>
      </c>
    </row>
    <row r="2" customFormat="false" ht="15" hidden="false" customHeight="false" outlineLevel="0" collapsed="false">
      <c r="A2" s="22" t="n">
        <v>46046</v>
      </c>
      <c r="B2" s="23" t="n">
        <v>0.666666666666667</v>
      </c>
      <c r="C2" s="24" t="s">
        <v>87</v>
      </c>
      <c r="D2" s="24" t="s">
        <v>88</v>
      </c>
      <c r="E2" s="24" t="s">
        <v>89</v>
      </c>
      <c r="F2" s="24" t="s">
        <v>90</v>
      </c>
      <c r="G2" s="25" t="n">
        <v>4800</v>
      </c>
      <c r="H2" s="25" t="n">
        <v>4800</v>
      </c>
      <c r="I2" s="24" t="s">
        <v>91</v>
      </c>
      <c r="J2" s="24" t="s">
        <v>92</v>
      </c>
      <c r="K2" s="25" t="n">
        <v>500</v>
      </c>
      <c r="L2" s="25" t="n">
        <v>120</v>
      </c>
      <c r="M2" s="26" t="n">
        <f aca="false">IF(G2="","",G2-N(H2))</f>
        <v>0</v>
      </c>
      <c r="N2" s="26" t="n">
        <f aca="false">IF(G2="","",G2-N(K2)-N(L2))</f>
        <v>4180</v>
      </c>
      <c r="O2" s="27" t="str">
        <f aca="false">IF(G2="","",IF(N(H2)&gt;=G2,"Pago",IF(N(H2)&gt;0,"Parcial","Pendente")))</f>
        <v>Pago</v>
      </c>
      <c r="P2" s="24" t="s">
        <v>93</v>
      </c>
    </row>
    <row r="3" customFormat="false" ht="15" hidden="false" customHeight="false" outlineLevel="0" collapsed="false">
      <c r="A3" s="22" t="n">
        <v>46067</v>
      </c>
      <c r="B3" s="23" t="n">
        <v>0.833333333333333</v>
      </c>
      <c r="C3" s="24" t="s">
        <v>94</v>
      </c>
      <c r="D3" s="24" t="s">
        <v>95</v>
      </c>
      <c r="E3" s="24" t="s">
        <v>96</v>
      </c>
      <c r="F3" s="24" t="s">
        <v>97</v>
      </c>
      <c r="G3" s="25" t="n">
        <v>1200</v>
      </c>
      <c r="H3" s="25" t="n">
        <v>1200</v>
      </c>
      <c r="I3" s="24" t="s">
        <v>91</v>
      </c>
      <c r="J3" s="24"/>
      <c r="K3" s="25" t="n">
        <v>0</v>
      </c>
      <c r="L3" s="25" t="n">
        <v>40</v>
      </c>
      <c r="M3" s="26" t="n">
        <f aca="false">IF(G3="","",G3-N(H3))</f>
        <v>0</v>
      </c>
      <c r="N3" s="26" t="n">
        <f aca="false">IF(G3="","",G3-N(K3)-N(L3))</f>
        <v>1160</v>
      </c>
      <c r="O3" s="27" t="str">
        <f aca="false">IF(G3="","",IF(N(H3)&gt;=G3,"Pago",IF(N(H3)&gt;0,"Parcial","Pendente")))</f>
        <v>Pago</v>
      </c>
      <c r="P3" s="24" t="s">
        <v>93</v>
      </c>
    </row>
    <row r="4" customFormat="false" ht="15" hidden="false" customHeight="false" outlineLevel="0" collapsed="false">
      <c r="A4" s="22" t="n">
        <v>46088</v>
      </c>
      <c r="B4" s="23" t="n">
        <v>0.375</v>
      </c>
      <c r="C4" s="24" t="s">
        <v>98</v>
      </c>
      <c r="D4" s="24" t="s">
        <v>99</v>
      </c>
      <c r="E4" s="24" t="s">
        <v>100</v>
      </c>
      <c r="F4" s="24" t="s">
        <v>90</v>
      </c>
      <c r="G4" s="25" t="n">
        <v>3500</v>
      </c>
      <c r="H4" s="25" t="n">
        <v>3500</v>
      </c>
      <c r="I4" s="24" t="s">
        <v>101</v>
      </c>
      <c r="J4" s="24" t="s">
        <v>102</v>
      </c>
      <c r="K4" s="25" t="n">
        <v>400</v>
      </c>
      <c r="L4" s="25" t="n">
        <v>60</v>
      </c>
      <c r="M4" s="26" t="n">
        <f aca="false">IF(G4="","",G4-N(H4))</f>
        <v>0</v>
      </c>
      <c r="N4" s="26" t="n">
        <f aca="false">IF(G4="","",G4-N(K4)-N(L4))</f>
        <v>3040</v>
      </c>
      <c r="O4" s="27" t="str">
        <f aca="false">IF(G4="","",IF(N(H4)&gt;=G4,"Pago",IF(N(H4)&gt;0,"Parcial","Pendente")))</f>
        <v>Pago</v>
      </c>
      <c r="P4" s="24" t="s">
        <v>93</v>
      </c>
    </row>
    <row r="5" customFormat="false" ht="15" hidden="false" customHeight="false" outlineLevel="0" collapsed="false">
      <c r="A5" s="22" t="n">
        <v>46102</v>
      </c>
      <c r="B5" s="23" t="n">
        <v>0.625</v>
      </c>
      <c r="C5" s="24" t="s">
        <v>103</v>
      </c>
      <c r="D5" s="24" t="s">
        <v>104</v>
      </c>
      <c r="E5" s="24" t="s">
        <v>105</v>
      </c>
      <c r="F5" s="24" t="s">
        <v>106</v>
      </c>
      <c r="G5" s="25" t="n">
        <v>900</v>
      </c>
      <c r="H5" s="25" t="n">
        <v>900</v>
      </c>
      <c r="I5" s="24" t="s">
        <v>91</v>
      </c>
      <c r="J5" s="24"/>
      <c r="K5" s="25" t="n">
        <v>0</v>
      </c>
      <c r="L5" s="25" t="n">
        <v>30</v>
      </c>
      <c r="M5" s="26" t="n">
        <f aca="false">IF(G5="","",G5-N(H5))</f>
        <v>0</v>
      </c>
      <c r="N5" s="26" t="n">
        <f aca="false">IF(G5="","",G5-N(K5)-N(L5))</f>
        <v>870</v>
      </c>
      <c r="O5" s="27" t="str">
        <f aca="false">IF(G5="","",IF(N(H5)&gt;=G5,"Pago",IF(N(H5)&gt;0,"Parcial","Pendente")))</f>
        <v>Pago</v>
      </c>
      <c r="P5" s="24" t="s">
        <v>93</v>
      </c>
    </row>
    <row r="6" customFormat="false" ht="15" hidden="false" customHeight="false" outlineLevel="0" collapsed="false">
      <c r="A6" s="22" t="n">
        <v>46123</v>
      </c>
      <c r="B6" s="23" t="n">
        <v>0.708333333333333</v>
      </c>
      <c r="C6" s="24" t="s">
        <v>107</v>
      </c>
      <c r="D6" s="24" t="s">
        <v>88</v>
      </c>
      <c r="E6" s="24" t="s">
        <v>108</v>
      </c>
      <c r="F6" s="24" t="s">
        <v>109</v>
      </c>
      <c r="G6" s="25" t="n">
        <v>5200</v>
      </c>
      <c r="H6" s="25" t="n">
        <v>5200</v>
      </c>
      <c r="I6" s="24" t="s">
        <v>110</v>
      </c>
      <c r="J6" s="24" t="s">
        <v>92</v>
      </c>
      <c r="K6" s="25" t="n">
        <v>500</v>
      </c>
      <c r="L6" s="25" t="n">
        <v>150</v>
      </c>
      <c r="M6" s="26" t="n">
        <f aca="false">IF(G6="","",G6-N(H6))</f>
        <v>0</v>
      </c>
      <c r="N6" s="26" t="n">
        <f aca="false">IF(G6="","",G6-N(K6)-N(L6))</f>
        <v>4550</v>
      </c>
      <c r="O6" s="27" t="str">
        <f aca="false">IF(G6="","",IF(N(H6)&gt;=G6,"Pago",IF(N(H6)&gt;0,"Parcial","Pendente")))</f>
        <v>Pago</v>
      </c>
      <c r="P6" s="24" t="s">
        <v>93</v>
      </c>
    </row>
    <row r="7" customFormat="false" ht="15" hidden="false" customHeight="false" outlineLevel="0" collapsed="false">
      <c r="A7" s="22" t="n">
        <v>46145</v>
      </c>
      <c r="B7" s="23" t="n">
        <v>0.416666666666667</v>
      </c>
      <c r="C7" s="24" t="s">
        <v>111</v>
      </c>
      <c r="D7" s="24" t="s">
        <v>112</v>
      </c>
      <c r="E7" s="24" t="s">
        <v>113</v>
      </c>
      <c r="F7" s="24" t="s">
        <v>90</v>
      </c>
      <c r="G7" s="25" t="n">
        <v>750</v>
      </c>
      <c r="H7" s="25" t="n">
        <v>750</v>
      </c>
      <c r="I7" s="24" t="s">
        <v>91</v>
      </c>
      <c r="J7" s="24"/>
      <c r="K7" s="25" t="n">
        <v>0</v>
      </c>
      <c r="L7" s="25" t="n">
        <v>0</v>
      </c>
      <c r="M7" s="26" t="n">
        <f aca="false">IF(G7="","",G7-N(H7))</f>
        <v>0</v>
      </c>
      <c r="N7" s="26" t="n">
        <f aca="false">IF(G7="","",G7-N(K7)-N(L7))</f>
        <v>750</v>
      </c>
      <c r="O7" s="27" t="str">
        <f aca="false">IF(G7="","",IF(N(H7)&gt;=G7,"Pago",IF(N(H7)&gt;0,"Parcial","Pendente")))</f>
        <v>Pago</v>
      </c>
      <c r="P7" s="24" t="s">
        <v>93</v>
      </c>
    </row>
    <row r="8" customFormat="false" ht="15" hidden="false" customHeight="false" outlineLevel="0" collapsed="false">
      <c r="A8" s="22" t="n">
        <v>46162</v>
      </c>
      <c r="B8" s="23"/>
      <c r="C8" s="24" t="s">
        <v>98</v>
      </c>
      <c r="D8" s="24" t="s">
        <v>114</v>
      </c>
      <c r="E8" s="24" t="s">
        <v>115</v>
      </c>
      <c r="F8" s="24" t="s">
        <v>116</v>
      </c>
      <c r="G8" s="25" t="n">
        <v>960</v>
      </c>
      <c r="H8" s="25" t="n">
        <v>960</v>
      </c>
      <c r="I8" s="24" t="s">
        <v>91</v>
      </c>
      <c r="J8" s="24"/>
      <c r="K8" s="25" t="n">
        <v>0</v>
      </c>
      <c r="L8" s="25" t="n">
        <v>0</v>
      </c>
      <c r="M8" s="26" t="n">
        <f aca="false">IF(G8="","",G8-N(H8))</f>
        <v>0</v>
      </c>
      <c r="N8" s="26" t="n">
        <f aca="false">IF(G8="","",G8-N(K8)-N(L8))</f>
        <v>960</v>
      </c>
      <c r="O8" s="27" t="str">
        <f aca="false">IF(G8="","",IF(N(H8)&gt;=G8,"Pago",IF(N(H8)&gt;0,"Parcial","Pendente")))</f>
        <v>Pago</v>
      </c>
      <c r="P8" s="24" t="s">
        <v>93</v>
      </c>
    </row>
    <row r="9" customFormat="false" ht="15" hidden="false" customHeight="false" outlineLevel="0" collapsed="false">
      <c r="A9" s="22" t="n">
        <v>46186</v>
      </c>
      <c r="B9" s="23" t="n">
        <v>0.791666666666667</v>
      </c>
      <c r="C9" s="24" t="s">
        <v>117</v>
      </c>
      <c r="D9" s="24" t="s">
        <v>88</v>
      </c>
      <c r="E9" s="24" t="s">
        <v>118</v>
      </c>
      <c r="F9" s="24" t="s">
        <v>119</v>
      </c>
      <c r="G9" s="25" t="n">
        <v>3900</v>
      </c>
      <c r="H9" s="25" t="n">
        <v>3900</v>
      </c>
      <c r="I9" s="24" t="s">
        <v>91</v>
      </c>
      <c r="J9" s="24" t="s">
        <v>120</v>
      </c>
      <c r="K9" s="25" t="n">
        <v>350</v>
      </c>
      <c r="L9" s="25" t="n">
        <v>90</v>
      </c>
      <c r="M9" s="26" t="n">
        <f aca="false">IF(G9="","",G9-N(H9))</f>
        <v>0</v>
      </c>
      <c r="N9" s="26" t="n">
        <f aca="false">IF(G9="","",G9-N(K9)-N(L9))</f>
        <v>3460</v>
      </c>
      <c r="O9" s="27" t="str">
        <f aca="false">IF(G9="","",IF(N(H9)&gt;=G9,"Pago",IF(N(H9)&gt;0,"Parcial","Pendente")))</f>
        <v>Pago</v>
      </c>
      <c r="P9" s="24" t="s">
        <v>93</v>
      </c>
    </row>
    <row r="10" customFormat="false" ht="15" hidden="false" customHeight="false" outlineLevel="0" collapsed="false">
      <c r="A10" s="22" t="n">
        <v>46221</v>
      </c>
      <c r="B10" s="23" t="n">
        <v>0.875</v>
      </c>
      <c r="C10" s="24" t="s">
        <v>121</v>
      </c>
      <c r="D10" s="24" t="s">
        <v>95</v>
      </c>
      <c r="E10" s="24" t="s">
        <v>122</v>
      </c>
      <c r="F10" s="24" t="s">
        <v>90</v>
      </c>
      <c r="G10" s="25" t="n">
        <v>2400</v>
      </c>
      <c r="H10" s="25" t="n">
        <v>2400</v>
      </c>
      <c r="I10" s="24" t="s">
        <v>123</v>
      </c>
      <c r="J10" s="24" t="s">
        <v>120</v>
      </c>
      <c r="K10" s="25" t="n">
        <v>300</v>
      </c>
      <c r="L10" s="25" t="n">
        <v>60</v>
      </c>
      <c r="M10" s="26" t="n">
        <f aca="false">IF(G10="","",G10-N(H10))</f>
        <v>0</v>
      </c>
      <c r="N10" s="26" t="n">
        <f aca="false">IF(G10="","",G10-N(K10)-N(L10))</f>
        <v>2040</v>
      </c>
      <c r="O10" s="27" t="str">
        <f aca="false">IF(G10="","",IF(N(H10)&gt;=G10,"Pago",IF(N(H10)&gt;0,"Parcial","Pendente")))</f>
        <v>Pago</v>
      </c>
      <c r="P10" s="24" t="s">
        <v>93</v>
      </c>
    </row>
    <row r="11" customFormat="false" ht="15" hidden="false" customHeight="false" outlineLevel="0" collapsed="false">
      <c r="A11" s="22" t="n">
        <v>46256</v>
      </c>
      <c r="B11" s="23" t="n">
        <v>0.6875</v>
      </c>
      <c r="C11" s="24" t="s">
        <v>124</v>
      </c>
      <c r="D11" s="24" t="s">
        <v>88</v>
      </c>
      <c r="E11" s="24" t="s">
        <v>125</v>
      </c>
      <c r="F11" s="24" t="s">
        <v>126</v>
      </c>
      <c r="G11" s="25" t="n">
        <v>5600</v>
      </c>
      <c r="H11" s="25" t="n">
        <v>5600</v>
      </c>
      <c r="I11" s="24" t="s">
        <v>110</v>
      </c>
      <c r="J11" s="24" t="s">
        <v>127</v>
      </c>
      <c r="K11" s="25" t="n">
        <v>900</v>
      </c>
      <c r="L11" s="25" t="n">
        <v>180</v>
      </c>
      <c r="M11" s="26" t="n">
        <f aca="false">IF(G11="","",G11-N(H11))</f>
        <v>0</v>
      </c>
      <c r="N11" s="26" t="n">
        <f aca="false">IF(G11="","",G11-N(K11)-N(L11))</f>
        <v>4520</v>
      </c>
      <c r="O11" s="27" t="str">
        <f aca="false">IF(G11="","",IF(N(H11)&gt;=G11,"Pago",IF(N(H11)&gt;0,"Parcial","Pendente")))</f>
        <v>Pago</v>
      </c>
      <c r="P11" s="24" t="s">
        <v>93</v>
      </c>
    </row>
    <row r="12" customFormat="false" ht="15" hidden="false" customHeight="false" outlineLevel="0" collapsed="false">
      <c r="A12" s="22" t="n">
        <v>46277</v>
      </c>
      <c r="B12" s="23" t="n">
        <v>0.583333333333333</v>
      </c>
      <c r="C12" s="24" t="s">
        <v>128</v>
      </c>
      <c r="D12" s="24" t="s">
        <v>129</v>
      </c>
      <c r="E12" s="24" t="s">
        <v>130</v>
      </c>
      <c r="F12" s="24" t="s">
        <v>90</v>
      </c>
      <c r="G12" s="25" t="n">
        <v>1100</v>
      </c>
      <c r="H12" s="25" t="n">
        <v>1100</v>
      </c>
      <c r="I12" s="24" t="s">
        <v>91</v>
      </c>
      <c r="J12" s="24"/>
      <c r="K12" s="25" t="n">
        <v>0</v>
      </c>
      <c r="L12" s="25" t="n">
        <v>40</v>
      </c>
      <c r="M12" s="26" t="n">
        <f aca="false">IF(G12="","",G12-N(H12))</f>
        <v>0</v>
      </c>
      <c r="N12" s="26" t="n">
        <f aca="false">IF(G12="","",G12-N(K12)-N(L12))</f>
        <v>1060</v>
      </c>
      <c r="O12" s="27" t="str">
        <f aca="false">IF(G12="","",IF(N(H12)&gt;=G12,"Pago",IF(N(H12)&gt;0,"Parcial","Pendente")))</f>
        <v>Pago</v>
      </c>
      <c r="P12" s="24" t="s">
        <v>93</v>
      </c>
    </row>
    <row r="13" customFormat="false" ht="15" hidden="false" customHeight="false" outlineLevel="0" collapsed="false">
      <c r="A13" s="22" t="n">
        <v>46298</v>
      </c>
      <c r="B13" s="23" t="n">
        <v>0.375</v>
      </c>
      <c r="C13" s="24" t="s">
        <v>131</v>
      </c>
      <c r="D13" s="24" t="s">
        <v>99</v>
      </c>
      <c r="E13" s="24" t="s">
        <v>132</v>
      </c>
      <c r="F13" s="24" t="s">
        <v>133</v>
      </c>
      <c r="G13" s="25" t="n">
        <v>2800</v>
      </c>
      <c r="H13" s="25" t="n">
        <v>1400</v>
      </c>
      <c r="I13" s="24" t="s">
        <v>101</v>
      </c>
      <c r="J13" s="24"/>
      <c r="K13" s="25" t="n">
        <v>0</v>
      </c>
      <c r="L13" s="25" t="n">
        <v>50</v>
      </c>
      <c r="M13" s="26" t="n">
        <f aca="false">IF(G13="","",G13-N(H13))</f>
        <v>1400</v>
      </c>
      <c r="N13" s="26" t="n">
        <f aca="false">IF(G13="","",G13-N(K13)-N(L13))</f>
        <v>2750</v>
      </c>
      <c r="O13" s="27" t="str">
        <f aca="false">IF(G13="","",IF(N(H13)&gt;=G13,"Pago",IF(N(H13)&gt;0,"Parcial","Pendente")))</f>
        <v>Parcial</v>
      </c>
      <c r="P13" s="24" t="s">
        <v>93</v>
      </c>
    </row>
    <row r="14" customFormat="false" ht="15" hidden="false" customHeight="false" outlineLevel="0" collapsed="false">
      <c r="A14" s="22" t="n">
        <v>46320</v>
      </c>
      <c r="B14" s="23" t="n">
        <v>0.625</v>
      </c>
      <c r="C14" s="24" t="s">
        <v>134</v>
      </c>
      <c r="D14" s="24" t="s">
        <v>104</v>
      </c>
      <c r="E14" s="24" t="s">
        <v>135</v>
      </c>
      <c r="F14" s="24" t="s">
        <v>97</v>
      </c>
      <c r="G14" s="25" t="n">
        <v>1300</v>
      </c>
      <c r="H14" s="25" t="n">
        <v>650</v>
      </c>
      <c r="I14" s="24" t="s">
        <v>91</v>
      </c>
      <c r="J14" s="24"/>
      <c r="K14" s="25" t="n">
        <v>0</v>
      </c>
      <c r="L14" s="25" t="n">
        <v>0</v>
      </c>
      <c r="M14" s="26" t="n">
        <f aca="false">IF(G14="","",G14-N(H14))</f>
        <v>650</v>
      </c>
      <c r="N14" s="26" t="n">
        <f aca="false">IF(G14="","",G14-N(K14)-N(L14))</f>
        <v>1300</v>
      </c>
      <c r="O14" s="27" t="str">
        <f aca="false">IF(G14="","",IF(N(H14)&gt;=G14,"Pago",IF(N(H14)&gt;0,"Parcial","Pendente")))</f>
        <v>Parcial</v>
      </c>
      <c r="P14" s="24" t="s">
        <v>93</v>
      </c>
    </row>
    <row r="15" customFormat="false" ht="15" hidden="false" customHeight="false" outlineLevel="0" collapsed="false">
      <c r="A15" s="22" t="n">
        <v>46347</v>
      </c>
      <c r="B15" s="23" t="n">
        <v>0.708333333333333</v>
      </c>
      <c r="C15" s="24" t="s">
        <v>136</v>
      </c>
      <c r="D15" s="24" t="s">
        <v>88</v>
      </c>
      <c r="E15" s="24" t="s">
        <v>137</v>
      </c>
      <c r="F15" s="24" t="s">
        <v>90</v>
      </c>
      <c r="G15" s="25" t="n">
        <v>6200</v>
      </c>
      <c r="H15" s="25" t="n">
        <v>3100</v>
      </c>
      <c r="I15" s="24" t="s">
        <v>110</v>
      </c>
      <c r="J15" s="24" t="s">
        <v>92</v>
      </c>
      <c r="K15" s="25" t="n">
        <v>500</v>
      </c>
      <c r="L15" s="25" t="n">
        <v>0</v>
      </c>
      <c r="M15" s="26" t="n">
        <f aca="false">IF(G15="","",G15-N(H15))</f>
        <v>3100</v>
      </c>
      <c r="N15" s="26" t="n">
        <f aca="false">IF(G15="","",G15-N(K15)-N(L15))</f>
        <v>5700</v>
      </c>
      <c r="O15" s="27" t="str">
        <f aca="false">IF(G15="","",IF(N(H15)&gt;=G15,"Pago",IF(N(H15)&gt;0,"Parcial","Pendente")))</f>
        <v>Parcial</v>
      </c>
      <c r="P15" s="24" t="s">
        <v>93</v>
      </c>
    </row>
    <row r="16" customFormat="false" ht="15" hidden="false" customHeight="false" outlineLevel="0" collapsed="false">
      <c r="A16" s="22" t="n">
        <v>46368</v>
      </c>
      <c r="B16" s="23" t="n">
        <v>0.833333333333333</v>
      </c>
      <c r="C16" s="24" t="s">
        <v>138</v>
      </c>
      <c r="D16" s="24" t="s">
        <v>95</v>
      </c>
      <c r="E16" s="24" t="s">
        <v>139</v>
      </c>
      <c r="F16" s="24" t="s">
        <v>140</v>
      </c>
      <c r="G16" s="25" t="n">
        <v>1100</v>
      </c>
      <c r="H16" s="25" t="n">
        <v>0</v>
      </c>
      <c r="I16" s="24" t="s">
        <v>91</v>
      </c>
      <c r="J16" s="24"/>
      <c r="K16" s="25" t="n">
        <v>0</v>
      </c>
      <c r="L16" s="25" t="n">
        <v>0</v>
      </c>
      <c r="M16" s="26" t="n">
        <f aca="false">IF(G16="","",G16-N(H16))</f>
        <v>1100</v>
      </c>
      <c r="N16" s="26" t="n">
        <f aca="false">IF(G16="","",G16-N(K16)-N(L16))</f>
        <v>1100</v>
      </c>
      <c r="O16" s="27" t="str">
        <f aca="false">IF(G16="","",IF(N(H16)&gt;=G16,"Pago",IF(N(H16)&gt;0,"Parcial","Pendente")))</f>
        <v>Pendente</v>
      </c>
      <c r="P16" s="24" t="s">
        <v>93</v>
      </c>
    </row>
    <row r="17" customFormat="false" ht="15" hidden="false" customHeight="false" outlineLevel="0" collapsed="false">
      <c r="A17" s="22"/>
      <c r="B17" s="23"/>
      <c r="C17" s="24"/>
      <c r="D17" s="24"/>
      <c r="E17" s="24"/>
      <c r="F17" s="24"/>
      <c r="G17" s="25"/>
      <c r="H17" s="25"/>
      <c r="I17" s="24"/>
      <c r="J17" s="24"/>
      <c r="K17" s="25"/>
      <c r="L17" s="25"/>
      <c r="M17" s="26" t="str">
        <f aca="false">IF(G17="","",G17-N(H17))</f>
        <v/>
      </c>
      <c r="N17" s="26" t="str">
        <f aca="false">IF(G17="","",G17-N(K17)-N(L17))</f>
        <v/>
      </c>
      <c r="O17" s="27" t="str">
        <f aca="false">IF(G17="","",IF(N(H17)&gt;=G17,"Pago",IF(N(H17)&gt;0,"Parcial","Pendente")))</f>
        <v/>
      </c>
      <c r="P17" s="24"/>
    </row>
    <row r="18" customFormat="false" ht="15" hidden="false" customHeight="false" outlineLevel="0" collapsed="false">
      <c r="A18" s="22"/>
      <c r="B18" s="23"/>
      <c r="C18" s="24"/>
      <c r="D18" s="24"/>
      <c r="E18" s="24"/>
      <c r="F18" s="24"/>
      <c r="G18" s="25"/>
      <c r="H18" s="25"/>
      <c r="I18" s="24"/>
      <c r="J18" s="24"/>
      <c r="K18" s="25"/>
      <c r="L18" s="25"/>
      <c r="M18" s="26" t="str">
        <f aca="false">IF(G18="","",G18-N(H18))</f>
        <v/>
      </c>
      <c r="N18" s="26" t="str">
        <f aca="false">IF(G18="","",G18-N(K18)-N(L18))</f>
        <v/>
      </c>
      <c r="O18" s="27" t="str">
        <f aca="false">IF(G18="","",IF(N(H18)&gt;=G18,"Pago",IF(N(H18)&gt;0,"Parcial","Pendente")))</f>
        <v/>
      </c>
      <c r="P18" s="24"/>
    </row>
    <row r="19" customFormat="false" ht="15" hidden="false" customHeight="false" outlineLevel="0" collapsed="false">
      <c r="A19" s="22"/>
      <c r="B19" s="23"/>
      <c r="C19" s="24"/>
      <c r="D19" s="24"/>
      <c r="E19" s="24"/>
      <c r="F19" s="24"/>
      <c r="G19" s="25"/>
      <c r="H19" s="25"/>
      <c r="I19" s="24"/>
      <c r="J19" s="24"/>
      <c r="K19" s="25"/>
      <c r="L19" s="25"/>
      <c r="M19" s="26" t="str">
        <f aca="false">IF(G19="","",G19-N(H19))</f>
        <v/>
      </c>
      <c r="N19" s="26" t="str">
        <f aca="false">IF(G19="","",G19-N(K19)-N(L19))</f>
        <v/>
      </c>
      <c r="O19" s="27" t="str">
        <f aca="false">IF(G19="","",IF(N(H19)&gt;=G19,"Pago",IF(N(H19)&gt;0,"Parcial","Pendente")))</f>
        <v/>
      </c>
      <c r="P19" s="24"/>
    </row>
    <row r="20" customFormat="false" ht="15" hidden="false" customHeight="false" outlineLevel="0" collapsed="false">
      <c r="A20" s="22"/>
      <c r="B20" s="23"/>
      <c r="C20" s="24"/>
      <c r="D20" s="24"/>
      <c r="E20" s="24"/>
      <c r="F20" s="24"/>
      <c r="G20" s="25"/>
      <c r="H20" s="25"/>
      <c r="I20" s="24"/>
      <c r="J20" s="24"/>
      <c r="K20" s="25"/>
      <c r="L20" s="25"/>
      <c r="M20" s="26" t="str">
        <f aca="false">IF(G20="","",G20-N(H20))</f>
        <v/>
      </c>
      <c r="N20" s="26" t="str">
        <f aca="false">IF(G20="","",G20-N(K20)-N(L20))</f>
        <v/>
      </c>
      <c r="O20" s="27" t="str">
        <f aca="false">IF(G20="","",IF(N(H20)&gt;=G20,"Pago",IF(N(H20)&gt;0,"Parcial","Pendente")))</f>
        <v/>
      </c>
      <c r="P20" s="24"/>
    </row>
    <row r="21" customFormat="false" ht="15" hidden="false" customHeight="false" outlineLevel="0" collapsed="false">
      <c r="A21" s="22"/>
      <c r="B21" s="23"/>
      <c r="C21" s="24"/>
      <c r="D21" s="24"/>
      <c r="E21" s="24"/>
      <c r="F21" s="24"/>
      <c r="G21" s="25"/>
      <c r="H21" s="25"/>
      <c r="I21" s="24"/>
      <c r="J21" s="24"/>
      <c r="K21" s="25"/>
      <c r="L21" s="25"/>
      <c r="M21" s="26" t="str">
        <f aca="false">IF(G21="","",G21-N(H21))</f>
        <v/>
      </c>
      <c r="N21" s="26" t="str">
        <f aca="false">IF(G21="","",G21-N(K21)-N(L21))</f>
        <v/>
      </c>
      <c r="O21" s="27" t="str">
        <f aca="false">IF(G21="","",IF(N(H21)&gt;=G21,"Pago",IF(N(H21)&gt;0,"Parcial","Pendente")))</f>
        <v/>
      </c>
      <c r="P21" s="24"/>
    </row>
    <row r="22" customFormat="false" ht="15" hidden="false" customHeight="false" outlineLevel="0" collapsed="false">
      <c r="A22" s="22"/>
      <c r="B22" s="23"/>
      <c r="C22" s="24"/>
      <c r="D22" s="24"/>
      <c r="E22" s="24"/>
      <c r="F22" s="24"/>
      <c r="G22" s="25"/>
      <c r="H22" s="25"/>
      <c r="I22" s="24"/>
      <c r="J22" s="24"/>
      <c r="K22" s="25"/>
      <c r="L22" s="25"/>
      <c r="M22" s="26" t="str">
        <f aca="false">IF(G22="","",G22-N(H22))</f>
        <v/>
      </c>
      <c r="N22" s="26" t="str">
        <f aca="false">IF(G22="","",G22-N(K22)-N(L22))</f>
        <v/>
      </c>
      <c r="O22" s="27" t="str">
        <f aca="false">IF(G22="","",IF(N(H22)&gt;=G22,"Pago",IF(N(H22)&gt;0,"Parcial","Pendente")))</f>
        <v/>
      </c>
      <c r="P22" s="24"/>
    </row>
    <row r="23" customFormat="false" ht="15" hidden="false" customHeight="false" outlineLevel="0" collapsed="false">
      <c r="A23" s="22"/>
      <c r="B23" s="23"/>
      <c r="C23" s="24"/>
      <c r="D23" s="24"/>
      <c r="E23" s="24"/>
      <c r="F23" s="24"/>
      <c r="G23" s="25"/>
      <c r="H23" s="25"/>
      <c r="I23" s="24"/>
      <c r="J23" s="24"/>
      <c r="K23" s="25"/>
      <c r="L23" s="25"/>
      <c r="M23" s="26" t="str">
        <f aca="false">IF(G23="","",G23-N(H23))</f>
        <v/>
      </c>
      <c r="N23" s="26" t="str">
        <f aca="false">IF(G23="","",G23-N(K23)-N(L23))</f>
        <v/>
      </c>
      <c r="O23" s="27" t="str">
        <f aca="false">IF(G23="","",IF(N(H23)&gt;=G23,"Pago",IF(N(H23)&gt;0,"Parcial","Pendente")))</f>
        <v/>
      </c>
      <c r="P23" s="24"/>
    </row>
    <row r="24" customFormat="false" ht="15" hidden="false" customHeight="false" outlineLevel="0" collapsed="false">
      <c r="A24" s="22"/>
      <c r="B24" s="23"/>
      <c r="C24" s="24"/>
      <c r="D24" s="24"/>
      <c r="E24" s="24"/>
      <c r="F24" s="24"/>
      <c r="G24" s="25"/>
      <c r="H24" s="25"/>
      <c r="I24" s="24"/>
      <c r="J24" s="24"/>
      <c r="K24" s="25"/>
      <c r="L24" s="25"/>
      <c r="M24" s="26" t="str">
        <f aca="false">IF(G24="","",G24-N(H24))</f>
        <v/>
      </c>
      <c r="N24" s="26" t="str">
        <f aca="false">IF(G24="","",G24-N(K24)-N(L24))</f>
        <v/>
      </c>
      <c r="O24" s="27" t="str">
        <f aca="false">IF(G24="","",IF(N(H24)&gt;=G24,"Pago",IF(N(H24)&gt;0,"Parcial","Pendente")))</f>
        <v/>
      </c>
      <c r="P24" s="24"/>
    </row>
    <row r="25" customFormat="false" ht="15" hidden="false" customHeight="false" outlineLevel="0" collapsed="false">
      <c r="A25" s="22"/>
      <c r="B25" s="23"/>
      <c r="C25" s="24"/>
      <c r="D25" s="24"/>
      <c r="E25" s="24"/>
      <c r="F25" s="24"/>
      <c r="G25" s="25"/>
      <c r="H25" s="25"/>
      <c r="I25" s="24"/>
      <c r="J25" s="24"/>
      <c r="K25" s="25"/>
      <c r="L25" s="25"/>
      <c r="M25" s="26" t="str">
        <f aca="false">IF(G25="","",G25-N(H25))</f>
        <v/>
      </c>
      <c r="N25" s="26" t="str">
        <f aca="false">IF(G25="","",G25-N(K25)-N(L25))</f>
        <v/>
      </c>
      <c r="O25" s="27" t="str">
        <f aca="false">IF(G25="","",IF(N(H25)&gt;=G25,"Pago",IF(N(H25)&gt;0,"Parcial","Pendente")))</f>
        <v/>
      </c>
      <c r="P25" s="24"/>
    </row>
    <row r="26" customFormat="false" ht="15" hidden="false" customHeight="false" outlineLevel="0" collapsed="false">
      <c r="A26" s="22"/>
      <c r="B26" s="23"/>
      <c r="C26" s="24"/>
      <c r="D26" s="24"/>
      <c r="E26" s="24"/>
      <c r="F26" s="24"/>
      <c r="G26" s="25"/>
      <c r="H26" s="25"/>
      <c r="I26" s="24"/>
      <c r="J26" s="24"/>
      <c r="K26" s="25"/>
      <c r="L26" s="25"/>
      <c r="M26" s="26" t="str">
        <f aca="false">IF(G26="","",G26-N(H26))</f>
        <v/>
      </c>
      <c r="N26" s="26" t="str">
        <f aca="false">IF(G26="","",G26-N(K26)-N(L26))</f>
        <v/>
      </c>
      <c r="O26" s="27" t="str">
        <f aca="false">IF(G26="","",IF(N(H26)&gt;=G26,"Pago",IF(N(H26)&gt;0,"Parcial","Pendente")))</f>
        <v/>
      </c>
      <c r="P26" s="24"/>
    </row>
    <row r="27" customFormat="false" ht="15" hidden="false" customHeight="false" outlineLevel="0" collapsed="false">
      <c r="A27" s="22"/>
      <c r="B27" s="23"/>
      <c r="C27" s="24"/>
      <c r="D27" s="24"/>
      <c r="E27" s="24"/>
      <c r="F27" s="24"/>
      <c r="G27" s="25"/>
      <c r="H27" s="25"/>
      <c r="I27" s="24"/>
      <c r="J27" s="24"/>
      <c r="K27" s="25"/>
      <c r="L27" s="25"/>
      <c r="M27" s="26" t="str">
        <f aca="false">IF(G27="","",G27-N(H27))</f>
        <v/>
      </c>
      <c r="N27" s="26" t="str">
        <f aca="false">IF(G27="","",G27-N(K27)-N(L27))</f>
        <v/>
      </c>
      <c r="O27" s="27" t="str">
        <f aca="false">IF(G27="","",IF(N(H27)&gt;=G27,"Pago",IF(N(H27)&gt;0,"Parcial","Pendente")))</f>
        <v/>
      </c>
      <c r="P27" s="24"/>
    </row>
    <row r="28" customFormat="false" ht="15" hidden="false" customHeight="false" outlineLevel="0" collapsed="false">
      <c r="A28" s="22"/>
      <c r="B28" s="23"/>
      <c r="C28" s="24"/>
      <c r="D28" s="24"/>
      <c r="E28" s="24"/>
      <c r="F28" s="24"/>
      <c r="G28" s="25"/>
      <c r="H28" s="25"/>
      <c r="I28" s="24"/>
      <c r="J28" s="24"/>
      <c r="K28" s="25"/>
      <c r="L28" s="25"/>
      <c r="M28" s="26" t="str">
        <f aca="false">IF(G28="","",G28-N(H28))</f>
        <v/>
      </c>
      <c r="N28" s="26" t="str">
        <f aca="false">IF(G28="","",G28-N(K28)-N(L28))</f>
        <v/>
      </c>
      <c r="O28" s="27" t="str">
        <f aca="false">IF(G28="","",IF(N(H28)&gt;=G28,"Pago",IF(N(H28)&gt;0,"Parcial","Pendente")))</f>
        <v/>
      </c>
      <c r="P28" s="24"/>
    </row>
    <row r="29" customFormat="false" ht="15" hidden="false" customHeight="false" outlineLevel="0" collapsed="false">
      <c r="A29" s="22"/>
      <c r="B29" s="23"/>
      <c r="C29" s="24"/>
      <c r="D29" s="24"/>
      <c r="E29" s="24"/>
      <c r="F29" s="24"/>
      <c r="G29" s="25"/>
      <c r="H29" s="25"/>
      <c r="I29" s="24"/>
      <c r="J29" s="24"/>
      <c r="K29" s="25"/>
      <c r="L29" s="25"/>
      <c r="M29" s="26" t="str">
        <f aca="false">IF(G29="","",G29-N(H29))</f>
        <v/>
      </c>
      <c r="N29" s="26" t="str">
        <f aca="false">IF(G29="","",G29-N(K29)-N(L29))</f>
        <v/>
      </c>
      <c r="O29" s="27" t="str">
        <f aca="false">IF(G29="","",IF(N(H29)&gt;=G29,"Pago",IF(N(H29)&gt;0,"Parcial","Pendente")))</f>
        <v/>
      </c>
      <c r="P29" s="24"/>
    </row>
    <row r="30" customFormat="false" ht="15" hidden="false" customHeight="false" outlineLevel="0" collapsed="false">
      <c r="A30" s="22"/>
      <c r="B30" s="23"/>
      <c r="C30" s="24"/>
      <c r="D30" s="24"/>
      <c r="E30" s="24"/>
      <c r="F30" s="24"/>
      <c r="G30" s="25"/>
      <c r="H30" s="25"/>
      <c r="I30" s="24"/>
      <c r="J30" s="24"/>
      <c r="K30" s="25"/>
      <c r="L30" s="25"/>
      <c r="M30" s="26" t="str">
        <f aca="false">IF(G30="","",G30-N(H30))</f>
        <v/>
      </c>
      <c r="N30" s="26" t="str">
        <f aca="false">IF(G30="","",G30-N(K30)-N(L30))</f>
        <v/>
      </c>
      <c r="O30" s="27" t="str">
        <f aca="false">IF(G30="","",IF(N(H30)&gt;=G30,"Pago",IF(N(H30)&gt;0,"Parcial","Pendente")))</f>
        <v/>
      </c>
      <c r="P30" s="24"/>
    </row>
    <row r="31" customFormat="false" ht="15" hidden="false" customHeight="false" outlineLevel="0" collapsed="false">
      <c r="A31" s="22"/>
      <c r="B31" s="23"/>
      <c r="C31" s="24"/>
      <c r="D31" s="24"/>
      <c r="E31" s="24"/>
      <c r="F31" s="24"/>
      <c r="G31" s="25"/>
      <c r="H31" s="25"/>
      <c r="I31" s="24"/>
      <c r="J31" s="24"/>
      <c r="K31" s="25"/>
      <c r="L31" s="25"/>
      <c r="M31" s="26" t="str">
        <f aca="false">IF(G31="","",G31-N(H31))</f>
        <v/>
      </c>
      <c r="N31" s="26" t="str">
        <f aca="false">IF(G31="","",G31-N(K31)-N(L31))</f>
        <v/>
      </c>
      <c r="O31" s="27" t="str">
        <f aca="false">IF(G31="","",IF(N(H31)&gt;=G31,"Pago",IF(N(H31)&gt;0,"Parcial","Pendente")))</f>
        <v/>
      </c>
      <c r="P31" s="24"/>
    </row>
    <row r="32" customFormat="false" ht="15" hidden="false" customHeight="false" outlineLevel="0" collapsed="false">
      <c r="A32" s="22"/>
      <c r="B32" s="23"/>
      <c r="C32" s="24"/>
      <c r="D32" s="24"/>
      <c r="E32" s="24"/>
      <c r="F32" s="24"/>
      <c r="G32" s="25"/>
      <c r="H32" s="25"/>
      <c r="I32" s="24"/>
      <c r="J32" s="24"/>
      <c r="K32" s="25"/>
      <c r="L32" s="25"/>
      <c r="M32" s="26" t="str">
        <f aca="false">IF(G32="","",G32-N(H32))</f>
        <v/>
      </c>
      <c r="N32" s="26" t="str">
        <f aca="false">IF(G32="","",G32-N(K32)-N(L32))</f>
        <v/>
      </c>
      <c r="O32" s="27" t="str">
        <f aca="false">IF(G32="","",IF(N(H32)&gt;=G32,"Pago",IF(N(H32)&gt;0,"Parcial","Pendente")))</f>
        <v/>
      </c>
      <c r="P32" s="24"/>
    </row>
    <row r="33" customFormat="false" ht="15" hidden="false" customHeight="false" outlineLevel="0" collapsed="false">
      <c r="A33" s="22"/>
      <c r="B33" s="23"/>
      <c r="C33" s="24"/>
      <c r="D33" s="24"/>
      <c r="E33" s="24"/>
      <c r="F33" s="24"/>
      <c r="G33" s="25"/>
      <c r="H33" s="25"/>
      <c r="I33" s="24"/>
      <c r="J33" s="24"/>
      <c r="K33" s="25"/>
      <c r="L33" s="25"/>
      <c r="M33" s="26" t="str">
        <f aca="false">IF(G33="","",G33-N(H33))</f>
        <v/>
      </c>
      <c r="N33" s="26" t="str">
        <f aca="false">IF(G33="","",G33-N(K33)-N(L33))</f>
        <v/>
      </c>
      <c r="O33" s="27" t="str">
        <f aca="false">IF(G33="","",IF(N(H33)&gt;=G33,"Pago",IF(N(H33)&gt;0,"Parcial","Pendente")))</f>
        <v/>
      </c>
      <c r="P33" s="24"/>
    </row>
    <row r="34" customFormat="false" ht="15" hidden="false" customHeight="false" outlineLevel="0" collapsed="false">
      <c r="A34" s="22"/>
      <c r="B34" s="23"/>
      <c r="C34" s="24"/>
      <c r="D34" s="24"/>
      <c r="E34" s="24"/>
      <c r="F34" s="24"/>
      <c r="G34" s="25"/>
      <c r="H34" s="25"/>
      <c r="I34" s="24"/>
      <c r="J34" s="24"/>
      <c r="K34" s="25"/>
      <c r="L34" s="25"/>
      <c r="M34" s="26" t="str">
        <f aca="false">IF(G34="","",G34-N(H34))</f>
        <v/>
      </c>
      <c r="N34" s="26" t="str">
        <f aca="false">IF(G34="","",G34-N(K34)-N(L34))</f>
        <v/>
      </c>
      <c r="O34" s="27" t="str">
        <f aca="false">IF(G34="","",IF(N(H34)&gt;=G34,"Pago",IF(N(H34)&gt;0,"Parcial","Pendente")))</f>
        <v/>
      </c>
      <c r="P34" s="24"/>
    </row>
    <row r="35" customFormat="false" ht="15" hidden="false" customHeight="false" outlineLevel="0" collapsed="false">
      <c r="A35" s="22"/>
      <c r="B35" s="23"/>
      <c r="C35" s="24"/>
      <c r="D35" s="24"/>
      <c r="E35" s="24"/>
      <c r="F35" s="24"/>
      <c r="G35" s="25"/>
      <c r="H35" s="25"/>
      <c r="I35" s="24"/>
      <c r="J35" s="24"/>
      <c r="K35" s="25"/>
      <c r="L35" s="25"/>
      <c r="M35" s="26" t="str">
        <f aca="false">IF(G35="","",G35-N(H35))</f>
        <v/>
      </c>
      <c r="N35" s="26" t="str">
        <f aca="false">IF(G35="","",G35-N(K35)-N(L35))</f>
        <v/>
      </c>
      <c r="O35" s="27" t="str">
        <f aca="false">IF(G35="","",IF(N(H35)&gt;=G35,"Pago",IF(N(H35)&gt;0,"Parcial","Pendente")))</f>
        <v/>
      </c>
      <c r="P35" s="24"/>
    </row>
    <row r="36" customFormat="false" ht="15" hidden="false" customHeight="false" outlineLevel="0" collapsed="false">
      <c r="A36" s="22"/>
      <c r="B36" s="23"/>
      <c r="C36" s="24"/>
      <c r="D36" s="24"/>
      <c r="E36" s="24"/>
      <c r="F36" s="24"/>
      <c r="G36" s="25"/>
      <c r="H36" s="25"/>
      <c r="I36" s="24"/>
      <c r="J36" s="24"/>
      <c r="K36" s="25"/>
      <c r="L36" s="25"/>
      <c r="M36" s="26" t="str">
        <f aca="false">IF(G36="","",G36-N(H36))</f>
        <v/>
      </c>
      <c r="N36" s="26" t="str">
        <f aca="false">IF(G36="","",G36-N(K36)-N(L36))</f>
        <v/>
      </c>
      <c r="O36" s="27" t="str">
        <f aca="false">IF(G36="","",IF(N(H36)&gt;=G36,"Pago",IF(N(H36)&gt;0,"Parcial","Pendente")))</f>
        <v/>
      </c>
      <c r="P36" s="24"/>
    </row>
    <row r="37" customFormat="false" ht="15" hidden="false" customHeight="false" outlineLevel="0" collapsed="false">
      <c r="A37" s="22"/>
      <c r="B37" s="23"/>
      <c r="C37" s="24"/>
      <c r="D37" s="24"/>
      <c r="E37" s="24"/>
      <c r="F37" s="24"/>
      <c r="G37" s="25"/>
      <c r="H37" s="25"/>
      <c r="I37" s="24"/>
      <c r="J37" s="24"/>
      <c r="K37" s="25"/>
      <c r="L37" s="25"/>
      <c r="M37" s="26" t="str">
        <f aca="false">IF(G37="","",G37-N(H37))</f>
        <v/>
      </c>
      <c r="N37" s="26" t="str">
        <f aca="false">IF(G37="","",G37-N(K37)-N(L37))</f>
        <v/>
      </c>
      <c r="O37" s="27" t="str">
        <f aca="false">IF(G37="","",IF(N(H37)&gt;=G37,"Pago",IF(N(H37)&gt;0,"Parcial","Pendente")))</f>
        <v/>
      </c>
      <c r="P37" s="24"/>
    </row>
    <row r="38" customFormat="false" ht="15" hidden="false" customHeight="false" outlineLevel="0" collapsed="false">
      <c r="A38" s="22"/>
      <c r="B38" s="23"/>
      <c r="C38" s="24"/>
      <c r="D38" s="24"/>
      <c r="E38" s="24"/>
      <c r="F38" s="24"/>
      <c r="G38" s="25"/>
      <c r="H38" s="25"/>
      <c r="I38" s="24"/>
      <c r="J38" s="24"/>
      <c r="K38" s="25"/>
      <c r="L38" s="25"/>
      <c r="M38" s="26" t="str">
        <f aca="false">IF(G38="","",G38-N(H38))</f>
        <v/>
      </c>
      <c r="N38" s="26" t="str">
        <f aca="false">IF(G38="","",G38-N(K38)-N(L38))</f>
        <v/>
      </c>
      <c r="O38" s="27" t="str">
        <f aca="false">IF(G38="","",IF(N(H38)&gt;=G38,"Pago",IF(N(H38)&gt;0,"Parcial","Pendente")))</f>
        <v/>
      </c>
      <c r="P38" s="24"/>
    </row>
    <row r="39" customFormat="false" ht="15" hidden="false" customHeight="false" outlineLevel="0" collapsed="false">
      <c r="A39" s="22"/>
      <c r="B39" s="23"/>
      <c r="C39" s="24"/>
      <c r="D39" s="24"/>
      <c r="E39" s="24"/>
      <c r="F39" s="24"/>
      <c r="G39" s="25"/>
      <c r="H39" s="25"/>
      <c r="I39" s="24"/>
      <c r="J39" s="24"/>
      <c r="K39" s="25"/>
      <c r="L39" s="25"/>
      <c r="M39" s="26" t="str">
        <f aca="false">IF(G39="","",G39-N(H39))</f>
        <v/>
      </c>
      <c r="N39" s="26" t="str">
        <f aca="false">IF(G39="","",G39-N(K39)-N(L39))</f>
        <v/>
      </c>
      <c r="O39" s="27" t="str">
        <f aca="false">IF(G39="","",IF(N(H39)&gt;=G39,"Pago",IF(N(H39)&gt;0,"Parcial","Pendente")))</f>
        <v/>
      </c>
      <c r="P39" s="24"/>
    </row>
    <row r="40" customFormat="false" ht="15" hidden="false" customHeight="false" outlineLevel="0" collapsed="false">
      <c r="A40" s="22"/>
      <c r="B40" s="23"/>
      <c r="C40" s="24"/>
      <c r="D40" s="24"/>
      <c r="E40" s="24"/>
      <c r="F40" s="24"/>
      <c r="G40" s="25"/>
      <c r="H40" s="25"/>
      <c r="I40" s="24"/>
      <c r="J40" s="24"/>
      <c r="K40" s="25"/>
      <c r="L40" s="25"/>
      <c r="M40" s="26" t="str">
        <f aca="false">IF(G40="","",G40-N(H40))</f>
        <v/>
      </c>
      <c r="N40" s="26" t="str">
        <f aca="false">IF(G40="","",G40-N(K40)-N(L40))</f>
        <v/>
      </c>
      <c r="O40" s="27" t="str">
        <f aca="false">IF(G40="","",IF(N(H40)&gt;=G40,"Pago",IF(N(H40)&gt;0,"Parcial","Pendente")))</f>
        <v/>
      </c>
      <c r="P40" s="24"/>
    </row>
    <row r="41" customFormat="false" ht="15" hidden="false" customHeight="false" outlineLevel="0" collapsed="false">
      <c r="A41" s="22"/>
      <c r="B41" s="23"/>
      <c r="C41" s="24"/>
      <c r="D41" s="24"/>
      <c r="E41" s="24"/>
      <c r="F41" s="24"/>
      <c r="G41" s="25"/>
      <c r="H41" s="25"/>
      <c r="I41" s="24"/>
      <c r="J41" s="24"/>
      <c r="K41" s="25"/>
      <c r="L41" s="25"/>
      <c r="M41" s="26" t="str">
        <f aca="false">IF(G41="","",G41-N(H41))</f>
        <v/>
      </c>
      <c r="N41" s="26" t="str">
        <f aca="false">IF(G41="","",G41-N(K41)-N(L41))</f>
        <v/>
      </c>
      <c r="O41" s="27" t="str">
        <f aca="false">IF(G41="","",IF(N(H41)&gt;=G41,"Pago",IF(N(H41)&gt;0,"Parcial","Pendente")))</f>
        <v/>
      </c>
      <c r="P41" s="24"/>
    </row>
    <row r="42" customFormat="false" ht="15" hidden="false" customHeight="false" outlineLevel="0" collapsed="false">
      <c r="A42" s="22"/>
      <c r="B42" s="23"/>
      <c r="C42" s="24"/>
      <c r="D42" s="24"/>
      <c r="E42" s="24"/>
      <c r="F42" s="24"/>
      <c r="G42" s="25"/>
      <c r="H42" s="25"/>
      <c r="I42" s="24"/>
      <c r="J42" s="24"/>
      <c r="K42" s="25"/>
      <c r="L42" s="25"/>
      <c r="M42" s="26" t="str">
        <f aca="false">IF(G42="","",G42-N(H42))</f>
        <v/>
      </c>
      <c r="N42" s="26" t="str">
        <f aca="false">IF(G42="","",G42-N(K42)-N(L42))</f>
        <v/>
      </c>
      <c r="O42" s="27" t="str">
        <f aca="false">IF(G42="","",IF(N(H42)&gt;=G42,"Pago",IF(N(H42)&gt;0,"Parcial","Pendente")))</f>
        <v/>
      </c>
      <c r="P42" s="24"/>
    </row>
    <row r="43" customFormat="false" ht="15" hidden="false" customHeight="false" outlineLevel="0" collapsed="false">
      <c r="A43" s="22"/>
      <c r="B43" s="23"/>
      <c r="C43" s="24"/>
      <c r="D43" s="24"/>
      <c r="E43" s="24"/>
      <c r="F43" s="24"/>
      <c r="G43" s="25"/>
      <c r="H43" s="25"/>
      <c r="I43" s="24"/>
      <c r="J43" s="24"/>
      <c r="K43" s="25"/>
      <c r="L43" s="25"/>
      <c r="M43" s="26" t="str">
        <f aca="false">IF(G43="","",G43-N(H43))</f>
        <v/>
      </c>
      <c r="N43" s="26" t="str">
        <f aca="false">IF(G43="","",G43-N(K43)-N(L43))</f>
        <v/>
      </c>
      <c r="O43" s="27" t="str">
        <f aca="false">IF(G43="","",IF(N(H43)&gt;=G43,"Pago",IF(N(H43)&gt;0,"Parcial","Pendente")))</f>
        <v/>
      </c>
      <c r="P43" s="24"/>
    </row>
    <row r="44" customFormat="false" ht="15" hidden="false" customHeight="false" outlineLevel="0" collapsed="false">
      <c r="A44" s="22"/>
      <c r="B44" s="23"/>
      <c r="C44" s="24"/>
      <c r="D44" s="24"/>
      <c r="E44" s="24"/>
      <c r="F44" s="24"/>
      <c r="G44" s="25"/>
      <c r="H44" s="25"/>
      <c r="I44" s="24"/>
      <c r="J44" s="24"/>
      <c r="K44" s="25"/>
      <c r="L44" s="25"/>
      <c r="M44" s="26" t="str">
        <f aca="false">IF(G44="","",G44-N(H44))</f>
        <v/>
      </c>
      <c r="N44" s="26" t="str">
        <f aca="false">IF(G44="","",G44-N(K44)-N(L44))</f>
        <v/>
      </c>
      <c r="O44" s="27" t="str">
        <f aca="false">IF(G44="","",IF(N(H44)&gt;=G44,"Pago",IF(N(H44)&gt;0,"Parcial","Pendente")))</f>
        <v/>
      </c>
      <c r="P44" s="24"/>
    </row>
    <row r="45" customFormat="false" ht="15" hidden="false" customHeight="false" outlineLevel="0" collapsed="false">
      <c r="A45" s="22"/>
      <c r="B45" s="23"/>
      <c r="C45" s="24"/>
      <c r="D45" s="24"/>
      <c r="E45" s="24"/>
      <c r="F45" s="24"/>
      <c r="G45" s="25"/>
      <c r="H45" s="25"/>
      <c r="I45" s="24"/>
      <c r="J45" s="24"/>
      <c r="K45" s="25"/>
      <c r="L45" s="25"/>
      <c r="M45" s="26" t="str">
        <f aca="false">IF(G45="","",G45-N(H45))</f>
        <v/>
      </c>
      <c r="N45" s="26" t="str">
        <f aca="false">IF(G45="","",G45-N(K45)-N(L45))</f>
        <v/>
      </c>
      <c r="O45" s="27" t="str">
        <f aca="false">IF(G45="","",IF(N(H45)&gt;=G45,"Pago",IF(N(H45)&gt;0,"Parcial","Pendente")))</f>
        <v/>
      </c>
      <c r="P45" s="24"/>
    </row>
    <row r="46" customFormat="false" ht="15" hidden="false" customHeight="false" outlineLevel="0" collapsed="false">
      <c r="A46" s="22"/>
      <c r="B46" s="23"/>
      <c r="C46" s="24"/>
      <c r="D46" s="24"/>
      <c r="E46" s="24"/>
      <c r="F46" s="24"/>
      <c r="G46" s="25"/>
      <c r="H46" s="25"/>
      <c r="I46" s="24"/>
      <c r="J46" s="24"/>
      <c r="K46" s="25"/>
      <c r="L46" s="25"/>
      <c r="M46" s="26" t="str">
        <f aca="false">IF(G46="","",G46-N(H46))</f>
        <v/>
      </c>
      <c r="N46" s="26" t="str">
        <f aca="false">IF(G46="","",G46-N(K46)-N(L46))</f>
        <v/>
      </c>
      <c r="O46" s="27" t="str">
        <f aca="false">IF(G46="","",IF(N(H46)&gt;=G46,"Pago",IF(N(H46)&gt;0,"Parcial","Pendente")))</f>
        <v/>
      </c>
      <c r="P46" s="24"/>
    </row>
    <row r="47" customFormat="false" ht="15" hidden="false" customHeight="false" outlineLevel="0" collapsed="false">
      <c r="A47" s="22"/>
      <c r="B47" s="23"/>
      <c r="C47" s="24"/>
      <c r="D47" s="24"/>
      <c r="E47" s="24"/>
      <c r="F47" s="24"/>
      <c r="G47" s="25"/>
      <c r="H47" s="25"/>
      <c r="I47" s="24"/>
      <c r="J47" s="24"/>
      <c r="K47" s="25"/>
      <c r="L47" s="25"/>
      <c r="M47" s="26" t="str">
        <f aca="false">IF(G47="","",G47-N(H47))</f>
        <v/>
      </c>
      <c r="N47" s="26" t="str">
        <f aca="false">IF(G47="","",G47-N(K47)-N(L47))</f>
        <v/>
      </c>
      <c r="O47" s="27" t="str">
        <f aca="false">IF(G47="","",IF(N(H47)&gt;=G47,"Pago",IF(N(H47)&gt;0,"Parcial","Pendente")))</f>
        <v/>
      </c>
      <c r="P47" s="24"/>
    </row>
    <row r="48" customFormat="false" ht="15" hidden="false" customHeight="false" outlineLevel="0" collapsed="false">
      <c r="A48" s="22"/>
      <c r="B48" s="23"/>
      <c r="C48" s="24"/>
      <c r="D48" s="24"/>
      <c r="E48" s="24"/>
      <c r="F48" s="24"/>
      <c r="G48" s="25"/>
      <c r="H48" s="25"/>
      <c r="I48" s="24"/>
      <c r="J48" s="24"/>
      <c r="K48" s="25"/>
      <c r="L48" s="25"/>
      <c r="M48" s="26" t="str">
        <f aca="false">IF(G48="","",G48-N(H48))</f>
        <v/>
      </c>
      <c r="N48" s="26" t="str">
        <f aca="false">IF(G48="","",G48-N(K48)-N(L48))</f>
        <v/>
      </c>
      <c r="O48" s="27" t="str">
        <f aca="false">IF(G48="","",IF(N(H48)&gt;=G48,"Pago",IF(N(H48)&gt;0,"Parcial","Pendente")))</f>
        <v/>
      </c>
      <c r="P48" s="24"/>
    </row>
    <row r="49" customFormat="false" ht="15" hidden="false" customHeight="false" outlineLevel="0" collapsed="false">
      <c r="A49" s="22"/>
      <c r="B49" s="23"/>
      <c r="C49" s="24"/>
      <c r="D49" s="24"/>
      <c r="E49" s="24"/>
      <c r="F49" s="24"/>
      <c r="G49" s="25"/>
      <c r="H49" s="25"/>
      <c r="I49" s="24"/>
      <c r="J49" s="24"/>
      <c r="K49" s="25"/>
      <c r="L49" s="25"/>
      <c r="M49" s="26" t="str">
        <f aca="false">IF(G49="","",G49-N(H49))</f>
        <v/>
      </c>
      <c r="N49" s="26" t="str">
        <f aca="false">IF(G49="","",G49-N(K49)-N(L49))</f>
        <v/>
      </c>
      <c r="O49" s="27" t="str">
        <f aca="false">IF(G49="","",IF(N(H49)&gt;=G49,"Pago",IF(N(H49)&gt;0,"Parcial","Pendente")))</f>
        <v/>
      </c>
      <c r="P49" s="24"/>
    </row>
    <row r="50" customFormat="false" ht="15" hidden="false" customHeight="false" outlineLevel="0" collapsed="false">
      <c r="A50" s="22"/>
      <c r="B50" s="23"/>
      <c r="C50" s="24"/>
      <c r="D50" s="24"/>
      <c r="E50" s="24"/>
      <c r="F50" s="24"/>
      <c r="G50" s="25"/>
      <c r="H50" s="25"/>
      <c r="I50" s="24"/>
      <c r="J50" s="24"/>
      <c r="K50" s="25"/>
      <c r="L50" s="25"/>
      <c r="M50" s="26" t="str">
        <f aca="false">IF(G50="","",G50-N(H50))</f>
        <v/>
      </c>
      <c r="N50" s="26" t="str">
        <f aca="false">IF(G50="","",G50-N(K50)-N(L50))</f>
        <v/>
      </c>
      <c r="O50" s="27" t="str">
        <f aca="false">IF(G50="","",IF(N(H50)&gt;=G50,"Pago",IF(N(H50)&gt;0,"Parcial","Pendente")))</f>
        <v/>
      </c>
      <c r="P50" s="24"/>
    </row>
    <row r="51" customFormat="false" ht="15" hidden="false" customHeight="false" outlineLevel="0" collapsed="false">
      <c r="A51" s="22"/>
      <c r="B51" s="23"/>
      <c r="C51" s="24"/>
      <c r="D51" s="24"/>
      <c r="E51" s="24"/>
      <c r="F51" s="24"/>
      <c r="G51" s="25"/>
      <c r="H51" s="25"/>
      <c r="I51" s="24"/>
      <c r="J51" s="24"/>
      <c r="K51" s="25"/>
      <c r="L51" s="25"/>
      <c r="M51" s="26" t="str">
        <f aca="false">IF(G51="","",G51-N(H51))</f>
        <v/>
      </c>
      <c r="N51" s="26" t="str">
        <f aca="false">IF(G51="","",G51-N(K51)-N(L51))</f>
        <v/>
      </c>
      <c r="O51" s="27" t="str">
        <f aca="false">IF(G51="","",IF(N(H51)&gt;=G51,"Pago",IF(N(H51)&gt;0,"Parcial","Pendente")))</f>
        <v/>
      </c>
      <c r="P51" s="24"/>
    </row>
    <row r="52" customFormat="false" ht="15" hidden="false" customHeight="false" outlineLevel="0" collapsed="false">
      <c r="A52" s="22"/>
      <c r="B52" s="23"/>
      <c r="C52" s="24"/>
      <c r="D52" s="24"/>
      <c r="E52" s="24"/>
      <c r="F52" s="24"/>
      <c r="G52" s="25"/>
      <c r="H52" s="25"/>
      <c r="I52" s="24"/>
      <c r="J52" s="24"/>
      <c r="K52" s="25"/>
      <c r="L52" s="25"/>
      <c r="M52" s="26" t="str">
        <f aca="false">IF(G52="","",G52-N(H52))</f>
        <v/>
      </c>
      <c r="N52" s="26" t="str">
        <f aca="false">IF(G52="","",G52-N(K52)-N(L52))</f>
        <v/>
      </c>
      <c r="O52" s="27" t="str">
        <f aca="false">IF(G52="","",IF(N(H52)&gt;=G52,"Pago",IF(N(H52)&gt;0,"Parcial","Pendente")))</f>
        <v/>
      </c>
      <c r="P52" s="24"/>
    </row>
    <row r="53" customFormat="false" ht="15" hidden="false" customHeight="false" outlineLevel="0" collapsed="false">
      <c r="A53" s="22"/>
      <c r="B53" s="23"/>
      <c r="C53" s="24"/>
      <c r="D53" s="24"/>
      <c r="E53" s="24"/>
      <c r="F53" s="24"/>
      <c r="G53" s="25"/>
      <c r="H53" s="25"/>
      <c r="I53" s="24"/>
      <c r="J53" s="24"/>
      <c r="K53" s="25"/>
      <c r="L53" s="25"/>
      <c r="M53" s="26" t="str">
        <f aca="false">IF(G53="","",G53-N(H53))</f>
        <v/>
      </c>
      <c r="N53" s="26" t="str">
        <f aca="false">IF(G53="","",G53-N(K53)-N(L53))</f>
        <v/>
      </c>
      <c r="O53" s="27" t="str">
        <f aca="false">IF(G53="","",IF(N(H53)&gt;=G53,"Pago",IF(N(H53)&gt;0,"Parcial","Pendente")))</f>
        <v/>
      </c>
      <c r="P53" s="24"/>
    </row>
    <row r="54" customFormat="false" ht="15" hidden="false" customHeight="false" outlineLevel="0" collapsed="false">
      <c r="A54" s="22"/>
      <c r="B54" s="23"/>
      <c r="C54" s="24"/>
      <c r="D54" s="24"/>
      <c r="E54" s="24"/>
      <c r="F54" s="24"/>
      <c r="G54" s="25"/>
      <c r="H54" s="25"/>
      <c r="I54" s="24"/>
      <c r="J54" s="24"/>
      <c r="K54" s="25"/>
      <c r="L54" s="25"/>
      <c r="M54" s="26" t="str">
        <f aca="false">IF(G54="","",G54-N(H54))</f>
        <v/>
      </c>
      <c r="N54" s="26" t="str">
        <f aca="false">IF(G54="","",G54-N(K54)-N(L54))</f>
        <v/>
      </c>
      <c r="O54" s="27" t="str">
        <f aca="false">IF(G54="","",IF(N(H54)&gt;=G54,"Pago",IF(N(H54)&gt;0,"Parcial","Pendente")))</f>
        <v/>
      </c>
      <c r="P54" s="24"/>
    </row>
    <row r="55" customFormat="false" ht="15" hidden="false" customHeight="false" outlineLevel="0" collapsed="false">
      <c r="A55" s="22"/>
      <c r="B55" s="23"/>
      <c r="C55" s="24"/>
      <c r="D55" s="24"/>
      <c r="E55" s="24"/>
      <c r="F55" s="24"/>
      <c r="G55" s="25"/>
      <c r="H55" s="25"/>
      <c r="I55" s="24"/>
      <c r="J55" s="24"/>
      <c r="K55" s="25"/>
      <c r="L55" s="25"/>
      <c r="M55" s="26" t="str">
        <f aca="false">IF(G55="","",G55-N(H55))</f>
        <v/>
      </c>
      <c r="N55" s="26" t="str">
        <f aca="false">IF(G55="","",G55-N(K55)-N(L55))</f>
        <v/>
      </c>
      <c r="O55" s="27" t="str">
        <f aca="false">IF(G55="","",IF(N(H55)&gt;=G55,"Pago",IF(N(H55)&gt;0,"Parcial","Pendente")))</f>
        <v/>
      </c>
      <c r="P55" s="24"/>
    </row>
    <row r="56" customFormat="false" ht="15" hidden="false" customHeight="false" outlineLevel="0" collapsed="false">
      <c r="A56" s="22"/>
      <c r="B56" s="23"/>
      <c r="C56" s="24"/>
      <c r="D56" s="24"/>
      <c r="E56" s="24"/>
      <c r="F56" s="24"/>
      <c r="G56" s="25"/>
      <c r="H56" s="25"/>
      <c r="I56" s="24"/>
      <c r="J56" s="24"/>
      <c r="K56" s="25"/>
      <c r="L56" s="25"/>
      <c r="M56" s="26" t="str">
        <f aca="false">IF(G56="","",G56-N(H56))</f>
        <v/>
      </c>
      <c r="N56" s="26" t="str">
        <f aca="false">IF(G56="","",G56-N(K56)-N(L56))</f>
        <v/>
      </c>
      <c r="O56" s="27" t="str">
        <f aca="false">IF(G56="","",IF(N(H56)&gt;=G56,"Pago",IF(N(H56)&gt;0,"Parcial","Pendente")))</f>
        <v/>
      </c>
      <c r="P56" s="24"/>
    </row>
    <row r="57" customFormat="false" ht="15" hidden="false" customHeight="false" outlineLevel="0" collapsed="false">
      <c r="A57" s="22"/>
      <c r="B57" s="23"/>
      <c r="C57" s="24"/>
      <c r="D57" s="24"/>
      <c r="E57" s="24"/>
      <c r="F57" s="24"/>
      <c r="G57" s="25"/>
      <c r="H57" s="25"/>
      <c r="I57" s="24"/>
      <c r="J57" s="24"/>
      <c r="K57" s="25"/>
      <c r="L57" s="25"/>
      <c r="M57" s="26" t="str">
        <f aca="false">IF(G57="","",G57-N(H57))</f>
        <v/>
      </c>
      <c r="N57" s="26" t="str">
        <f aca="false">IF(G57="","",G57-N(K57)-N(L57))</f>
        <v/>
      </c>
      <c r="O57" s="27" t="str">
        <f aca="false">IF(G57="","",IF(N(H57)&gt;=G57,"Pago",IF(N(H57)&gt;0,"Parcial","Pendente")))</f>
        <v/>
      </c>
      <c r="P57" s="24"/>
    </row>
    <row r="58" customFormat="false" ht="15" hidden="false" customHeight="false" outlineLevel="0" collapsed="false">
      <c r="A58" s="22"/>
      <c r="B58" s="23"/>
      <c r="C58" s="24"/>
      <c r="D58" s="24"/>
      <c r="E58" s="24"/>
      <c r="F58" s="24"/>
      <c r="G58" s="25"/>
      <c r="H58" s="25"/>
      <c r="I58" s="24"/>
      <c r="J58" s="24"/>
      <c r="K58" s="25"/>
      <c r="L58" s="25"/>
      <c r="M58" s="26" t="str">
        <f aca="false">IF(G58="","",G58-N(H58))</f>
        <v/>
      </c>
      <c r="N58" s="26" t="str">
        <f aca="false">IF(G58="","",G58-N(K58)-N(L58))</f>
        <v/>
      </c>
      <c r="O58" s="27" t="str">
        <f aca="false">IF(G58="","",IF(N(H58)&gt;=G58,"Pago",IF(N(H58)&gt;0,"Parcial","Pendente")))</f>
        <v/>
      </c>
      <c r="P58" s="24"/>
    </row>
    <row r="59" customFormat="false" ht="15" hidden="false" customHeight="false" outlineLevel="0" collapsed="false">
      <c r="A59" s="22"/>
      <c r="B59" s="23"/>
      <c r="C59" s="24"/>
      <c r="D59" s="24"/>
      <c r="E59" s="24"/>
      <c r="F59" s="24"/>
      <c r="G59" s="25"/>
      <c r="H59" s="25"/>
      <c r="I59" s="24"/>
      <c r="J59" s="24"/>
      <c r="K59" s="25"/>
      <c r="L59" s="25"/>
      <c r="M59" s="26" t="str">
        <f aca="false">IF(G59="","",G59-N(H59))</f>
        <v/>
      </c>
      <c r="N59" s="26" t="str">
        <f aca="false">IF(G59="","",G59-N(K59)-N(L59))</f>
        <v/>
      </c>
      <c r="O59" s="27" t="str">
        <f aca="false">IF(G59="","",IF(N(H59)&gt;=G59,"Pago",IF(N(H59)&gt;0,"Parcial","Pendente")))</f>
        <v/>
      </c>
      <c r="P59" s="24"/>
    </row>
    <row r="60" customFormat="false" ht="15" hidden="false" customHeight="false" outlineLevel="0" collapsed="false">
      <c r="A60" s="22"/>
      <c r="B60" s="23"/>
      <c r="C60" s="24"/>
      <c r="D60" s="24"/>
      <c r="E60" s="24"/>
      <c r="F60" s="24"/>
      <c r="G60" s="25"/>
      <c r="H60" s="25"/>
      <c r="I60" s="24"/>
      <c r="J60" s="24"/>
      <c r="K60" s="25"/>
      <c r="L60" s="25"/>
      <c r="M60" s="26" t="str">
        <f aca="false">IF(G60="","",G60-N(H60))</f>
        <v/>
      </c>
      <c r="N60" s="26" t="str">
        <f aca="false">IF(G60="","",G60-N(K60)-N(L60))</f>
        <v/>
      </c>
      <c r="O60" s="27" t="str">
        <f aca="false">IF(G60="","",IF(N(H60)&gt;=G60,"Pago",IF(N(H60)&gt;0,"Parcial","Pendente")))</f>
        <v/>
      </c>
      <c r="P60" s="24"/>
    </row>
    <row r="61" customFormat="false" ht="15" hidden="false" customHeight="false" outlineLevel="0" collapsed="false">
      <c r="A61" s="22"/>
      <c r="B61" s="23"/>
      <c r="C61" s="24"/>
      <c r="D61" s="24"/>
      <c r="E61" s="24"/>
      <c r="F61" s="24"/>
      <c r="G61" s="25"/>
      <c r="H61" s="25"/>
      <c r="I61" s="24"/>
      <c r="J61" s="24"/>
      <c r="K61" s="25"/>
      <c r="L61" s="25"/>
      <c r="M61" s="26" t="str">
        <f aca="false">IF(G61="","",G61-N(H61))</f>
        <v/>
      </c>
      <c r="N61" s="26" t="str">
        <f aca="false">IF(G61="","",G61-N(K61)-N(L61))</f>
        <v/>
      </c>
      <c r="O61" s="27" t="str">
        <f aca="false">IF(G61="","",IF(N(H61)&gt;=G61,"Pago",IF(N(H61)&gt;0,"Parcial","Pendente")))</f>
        <v/>
      </c>
      <c r="P61" s="24"/>
    </row>
    <row r="62" customFormat="false" ht="15" hidden="false" customHeight="false" outlineLevel="0" collapsed="false">
      <c r="A62" s="22"/>
      <c r="B62" s="23"/>
      <c r="C62" s="24"/>
      <c r="D62" s="24"/>
      <c r="E62" s="24"/>
      <c r="F62" s="24"/>
      <c r="G62" s="25"/>
      <c r="H62" s="25"/>
      <c r="I62" s="24"/>
      <c r="J62" s="24"/>
      <c r="K62" s="25"/>
      <c r="L62" s="25"/>
      <c r="M62" s="26" t="str">
        <f aca="false">IF(G62="","",G62-N(H62))</f>
        <v/>
      </c>
      <c r="N62" s="26" t="str">
        <f aca="false">IF(G62="","",G62-N(K62)-N(L62))</f>
        <v/>
      </c>
      <c r="O62" s="27" t="str">
        <f aca="false">IF(G62="","",IF(N(H62)&gt;=G62,"Pago",IF(N(H62)&gt;0,"Parcial","Pendente")))</f>
        <v/>
      </c>
      <c r="P62" s="24"/>
    </row>
    <row r="63" customFormat="false" ht="15" hidden="false" customHeight="false" outlineLevel="0" collapsed="false">
      <c r="A63" s="22"/>
      <c r="B63" s="23"/>
      <c r="C63" s="24"/>
      <c r="D63" s="24"/>
      <c r="E63" s="24"/>
      <c r="F63" s="24"/>
      <c r="G63" s="25"/>
      <c r="H63" s="25"/>
      <c r="I63" s="24"/>
      <c r="J63" s="24"/>
      <c r="K63" s="25"/>
      <c r="L63" s="25"/>
      <c r="M63" s="26" t="str">
        <f aca="false">IF(G63="","",G63-N(H63))</f>
        <v/>
      </c>
      <c r="N63" s="26" t="str">
        <f aca="false">IF(G63="","",G63-N(K63)-N(L63))</f>
        <v/>
      </c>
      <c r="O63" s="27" t="str">
        <f aca="false">IF(G63="","",IF(N(H63)&gt;=G63,"Pago",IF(N(H63)&gt;0,"Parcial","Pendente")))</f>
        <v/>
      </c>
      <c r="P63" s="24"/>
    </row>
    <row r="64" customFormat="false" ht="15" hidden="false" customHeight="false" outlineLevel="0" collapsed="false">
      <c r="A64" s="22"/>
      <c r="B64" s="23"/>
      <c r="C64" s="24"/>
      <c r="D64" s="24"/>
      <c r="E64" s="24"/>
      <c r="F64" s="24"/>
      <c r="G64" s="25"/>
      <c r="H64" s="25"/>
      <c r="I64" s="24"/>
      <c r="J64" s="24"/>
      <c r="K64" s="25"/>
      <c r="L64" s="25"/>
      <c r="M64" s="26" t="str">
        <f aca="false">IF(G64="","",G64-N(H64))</f>
        <v/>
      </c>
      <c r="N64" s="26" t="str">
        <f aca="false">IF(G64="","",G64-N(K64)-N(L64))</f>
        <v/>
      </c>
      <c r="O64" s="27" t="str">
        <f aca="false">IF(G64="","",IF(N(H64)&gt;=G64,"Pago",IF(N(H64)&gt;0,"Parcial","Pendente")))</f>
        <v/>
      </c>
      <c r="P64" s="24"/>
    </row>
    <row r="65" customFormat="false" ht="15" hidden="false" customHeight="false" outlineLevel="0" collapsed="false">
      <c r="A65" s="22"/>
      <c r="B65" s="23"/>
      <c r="C65" s="24"/>
      <c r="D65" s="24"/>
      <c r="E65" s="24"/>
      <c r="F65" s="24"/>
      <c r="G65" s="25"/>
      <c r="H65" s="25"/>
      <c r="I65" s="24"/>
      <c r="J65" s="24"/>
      <c r="K65" s="25"/>
      <c r="L65" s="25"/>
      <c r="M65" s="26" t="str">
        <f aca="false">IF(G65="","",G65-N(H65))</f>
        <v/>
      </c>
      <c r="N65" s="26" t="str">
        <f aca="false">IF(G65="","",G65-N(K65)-N(L65))</f>
        <v/>
      </c>
      <c r="O65" s="27" t="str">
        <f aca="false">IF(G65="","",IF(N(H65)&gt;=G65,"Pago",IF(N(H65)&gt;0,"Parcial","Pendente")))</f>
        <v/>
      </c>
      <c r="P65" s="24"/>
    </row>
    <row r="66" customFormat="false" ht="15" hidden="false" customHeight="false" outlineLevel="0" collapsed="false">
      <c r="A66" s="22"/>
      <c r="B66" s="23"/>
      <c r="C66" s="24"/>
      <c r="D66" s="24"/>
      <c r="E66" s="24"/>
      <c r="F66" s="24"/>
      <c r="G66" s="25"/>
      <c r="H66" s="25"/>
      <c r="I66" s="24"/>
      <c r="J66" s="24"/>
      <c r="K66" s="25"/>
      <c r="L66" s="25"/>
      <c r="M66" s="26" t="str">
        <f aca="false">IF(G66="","",G66-N(H66))</f>
        <v/>
      </c>
      <c r="N66" s="26" t="str">
        <f aca="false">IF(G66="","",G66-N(K66)-N(L66))</f>
        <v/>
      </c>
      <c r="O66" s="27" t="str">
        <f aca="false">IF(G66="","",IF(N(H66)&gt;=G66,"Pago",IF(N(H66)&gt;0,"Parcial","Pendente")))</f>
        <v/>
      </c>
      <c r="P66" s="24"/>
    </row>
    <row r="67" customFormat="false" ht="15" hidden="false" customHeight="false" outlineLevel="0" collapsed="false">
      <c r="A67" s="22"/>
      <c r="B67" s="23"/>
      <c r="C67" s="24"/>
      <c r="D67" s="24"/>
      <c r="E67" s="24"/>
      <c r="F67" s="24"/>
      <c r="G67" s="25"/>
      <c r="H67" s="25"/>
      <c r="I67" s="24"/>
      <c r="J67" s="24"/>
      <c r="K67" s="25"/>
      <c r="L67" s="25"/>
      <c r="M67" s="26" t="str">
        <f aca="false">IF(G67="","",G67-N(H67))</f>
        <v/>
      </c>
      <c r="N67" s="26" t="str">
        <f aca="false">IF(G67="","",G67-N(K67)-N(L67))</f>
        <v/>
      </c>
      <c r="O67" s="27" t="str">
        <f aca="false">IF(G67="","",IF(N(H67)&gt;=G67,"Pago",IF(N(H67)&gt;0,"Parcial","Pendente")))</f>
        <v/>
      </c>
      <c r="P67" s="24"/>
    </row>
    <row r="68" customFormat="false" ht="15" hidden="false" customHeight="false" outlineLevel="0" collapsed="false">
      <c r="A68" s="22"/>
      <c r="B68" s="23"/>
      <c r="C68" s="24"/>
      <c r="D68" s="24"/>
      <c r="E68" s="24"/>
      <c r="F68" s="24"/>
      <c r="G68" s="25"/>
      <c r="H68" s="25"/>
      <c r="I68" s="24"/>
      <c r="J68" s="24"/>
      <c r="K68" s="25"/>
      <c r="L68" s="25"/>
      <c r="M68" s="26" t="str">
        <f aca="false">IF(G68="","",G68-N(H68))</f>
        <v/>
      </c>
      <c r="N68" s="26" t="str">
        <f aca="false">IF(G68="","",G68-N(K68)-N(L68))</f>
        <v/>
      </c>
      <c r="O68" s="27" t="str">
        <f aca="false">IF(G68="","",IF(N(H68)&gt;=G68,"Pago",IF(N(H68)&gt;0,"Parcial","Pendente")))</f>
        <v/>
      </c>
      <c r="P68" s="24"/>
    </row>
    <row r="69" customFormat="false" ht="15" hidden="false" customHeight="false" outlineLevel="0" collapsed="false">
      <c r="A69" s="22"/>
      <c r="B69" s="23"/>
      <c r="C69" s="24"/>
      <c r="D69" s="24"/>
      <c r="E69" s="24"/>
      <c r="F69" s="24"/>
      <c r="G69" s="25"/>
      <c r="H69" s="25"/>
      <c r="I69" s="24"/>
      <c r="J69" s="24"/>
      <c r="K69" s="25"/>
      <c r="L69" s="25"/>
      <c r="M69" s="26" t="str">
        <f aca="false">IF(G69="","",G69-N(H69))</f>
        <v/>
      </c>
      <c r="N69" s="26" t="str">
        <f aca="false">IF(G69="","",G69-N(K69)-N(L69))</f>
        <v/>
      </c>
      <c r="O69" s="27" t="str">
        <f aca="false">IF(G69="","",IF(N(H69)&gt;=G69,"Pago",IF(N(H69)&gt;0,"Parcial","Pendente")))</f>
        <v/>
      </c>
      <c r="P69" s="24"/>
    </row>
    <row r="70" customFormat="false" ht="15" hidden="false" customHeight="false" outlineLevel="0" collapsed="false">
      <c r="A70" s="22"/>
      <c r="B70" s="23"/>
      <c r="C70" s="24"/>
      <c r="D70" s="24"/>
      <c r="E70" s="24"/>
      <c r="F70" s="24"/>
      <c r="G70" s="25"/>
      <c r="H70" s="25"/>
      <c r="I70" s="24"/>
      <c r="J70" s="24"/>
      <c r="K70" s="25"/>
      <c r="L70" s="25"/>
      <c r="M70" s="26" t="str">
        <f aca="false">IF(G70="","",G70-N(H70))</f>
        <v/>
      </c>
      <c r="N70" s="26" t="str">
        <f aca="false">IF(G70="","",G70-N(K70)-N(L70))</f>
        <v/>
      </c>
      <c r="O70" s="27" t="str">
        <f aca="false">IF(G70="","",IF(N(H70)&gt;=G70,"Pago",IF(N(H70)&gt;0,"Parcial","Pendente")))</f>
        <v/>
      </c>
      <c r="P70" s="24"/>
    </row>
    <row r="71" customFormat="false" ht="15" hidden="false" customHeight="false" outlineLevel="0" collapsed="false">
      <c r="A71" s="22"/>
      <c r="B71" s="23"/>
      <c r="C71" s="24"/>
      <c r="D71" s="24"/>
      <c r="E71" s="24"/>
      <c r="F71" s="24"/>
      <c r="G71" s="25"/>
      <c r="H71" s="25"/>
      <c r="I71" s="24"/>
      <c r="J71" s="24"/>
      <c r="K71" s="25"/>
      <c r="L71" s="25"/>
      <c r="M71" s="26" t="str">
        <f aca="false">IF(G71="","",G71-N(H71))</f>
        <v/>
      </c>
      <c r="N71" s="26" t="str">
        <f aca="false">IF(G71="","",G71-N(K71)-N(L71))</f>
        <v/>
      </c>
      <c r="O71" s="27" t="str">
        <f aca="false">IF(G71="","",IF(N(H71)&gt;=G71,"Pago",IF(N(H71)&gt;0,"Parcial","Pendente")))</f>
        <v/>
      </c>
      <c r="P71" s="24"/>
    </row>
    <row r="72" customFormat="false" ht="15" hidden="false" customHeight="false" outlineLevel="0" collapsed="false">
      <c r="A72" s="22"/>
      <c r="B72" s="23"/>
      <c r="C72" s="24"/>
      <c r="D72" s="24"/>
      <c r="E72" s="24"/>
      <c r="F72" s="24"/>
      <c r="G72" s="25"/>
      <c r="H72" s="25"/>
      <c r="I72" s="24"/>
      <c r="J72" s="24"/>
      <c r="K72" s="25"/>
      <c r="L72" s="25"/>
      <c r="M72" s="26" t="str">
        <f aca="false">IF(G72="","",G72-N(H72))</f>
        <v/>
      </c>
      <c r="N72" s="26" t="str">
        <f aca="false">IF(G72="","",G72-N(K72)-N(L72))</f>
        <v/>
      </c>
      <c r="O72" s="27" t="str">
        <f aca="false">IF(G72="","",IF(N(H72)&gt;=G72,"Pago",IF(N(H72)&gt;0,"Parcial","Pendente")))</f>
        <v/>
      </c>
      <c r="P72" s="24"/>
    </row>
    <row r="73" customFormat="false" ht="15" hidden="false" customHeight="false" outlineLevel="0" collapsed="false">
      <c r="A73" s="22"/>
      <c r="B73" s="23"/>
      <c r="C73" s="24"/>
      <c r="D73" s="24"/>
      <c r="E73" s="24"/>
      <c r="F73" s="24"/>
      <c r="G73" s="25"/>
      <c r="H73" s="25"/>
      <c r="I73" s="24"/>
      <c r="J73" s="24"/>
      <c r="K73" s="25"/>
      <c r="L73" s="25"/>
      <c r="M73" s="26" t="str">
        <f aca="false">IF(G73="","",G73-N(H73))</f>
        <v/>
      </c>
      <c r="N73" s="26" t="str">
        <f aca="false">IF(G73="","",G73-N(K73)-N(L73))</f>
        <v/>
      </c>
      <c r="O73" s="27" t="str">
        <f aca="false">IF(G73="","",IF(N(H73)&gt;=G73,"Pago",IF(N(H73)&gt;0,"Parcial","Pendente")))</f>
        <v/>
      </c>
      <c r="P73" s="24"/>
    </row>
    <row r="74" customFormat="false" ht="15" hidden="false" customHeight="false" outlineLevel="0" collapsed="false">
      <c r="A74" s="22"/>
      <c r="B74" s="23"/>
      <c r="C74" s="24"/>
      <c r="D74" s="24"/>
      <c r="E74" s="24"/>
      <c r="F74" s="24"/>
      <c r="G74" s="25"/>
      <c r="H74" s="25"/>
      <c r="I74" s="24"/>
      <c r="J74" s="24"/>
      <c r="K74" s="25"/>
      <c r="L74" s="25"/>
      <c r="M74" s="26" t="str">
        <f aca="false">IF(G74="","",G74-N(H74))</f>
        <v/>
      </c>
      <c r="N74" s="26" t="str">
        <f aca="false">IF(G74="","",G74-N(K74)-N(L74))</f>
        <v/>
      </c>
      <c r="O74" s="27" t="str">
        <f aca="false">IF(G74="","",IF(N(H74)&gt;=G74,"Pago",IF(N(H74)&gt;0,"Parcial","Pendente")))</f>
        <v/>
      </c>
      <c r="P74" s="24"/>
    </row>
    <row r="75" customFormat="false" ht="15" hidden="false" customHeight="false" outlineLevel="0" collapsed="false">
      <c r="A75" s="22"/>
      <c r="B75" s="23"/>
      <c r="C75" s="24"/>
      <c r="D75" s="24"/>
      <c r="E75" s="24"/>
      <c r="F75" s="24"/>
      <c r="G75" s="25"/>
      <c r="H75" s="25"/>
      <c r="I75" s="24"/>
      <c r="J75" s="24"/>
      <c r="K75" s="25"/>
      <c r="L75" s="25"/>
      <c r="M75" s="26" t="str">
        <f aca="false">IF(G75="","",G75-N(H75))</f>
        <v/>
      </c>
      <c r="N75" s="26" t="str">
        <f aca="false">IF(G75="","",G75-N(K75)-N(L75))</f>
        <v/>
      </c>
      <c r="O75" s="27" t="str">
        <f aca="false">IF(G75="","",IF(N(H75)&gt;=G75,"Pago",IF(N(H75)&gt;0,"Parcial","Pendente")))</f>
        <v/>
      </c>
      <c r="P75" s="24"/>
    </row>
    <row r="76" customFormat="false" ht="15" hidden="false" customHeight="false" outlineLevel="0" collapsed="false">
      <c r="A76" s="22"/>
      <c r="B76" s="23"/>
      <c r="C76" s="24"/>
      <c r="D76" s="24"/>
      <c r="E76" s="24"/>
      <c r="F76" s="24"/>
      <c r="G76" s="25"/>
      <c r="H76" s="25"/>
      <c r="I76" s="24"/>
      <c r="J76" s="24"/>
      <c r="K76" s="25"/>
      <c r="L76" s="25"/>
      <c r="M76" s="26" t="str">
        <f aca="false">IF(G76="","",G76-N(H76))</f>
        <v/>
      </c>
      <c r="N76" s="26" t="str">
        <f aca="false">IF(G76="","",G76-N(K76)-N(L76))</f>
        <v/>
      </c>
      <c r="O76" s="27" t="str">
        <f aca="false">IF(G76="","",IF(N(H76)&gt;=G76,"Pago",IF(N(H76)&gt;0,"Parcial","Pendente")))</f>
        <v/>
      </c>
      <c r="P76" s="24"/>
    </row>
    <row r="77" customFormat="false" ht="15" hidden="false" customHeight="false" outlineLevel="0" collapsed="false">
      <c r="A77" s="22"/>
      <c r="B77" s="23"/>
      <c r="C77" s="24"/>
      <c r="D77" s="24"/>
      <c r="E77" s="24"/>
      <c r="F77" s="24"/>
      <c r="G77" s="25"/>
      <c r="H77" s="25"/>
      <c r="I77" s="24"/>
      <c r="J77" s="24"/>
      <c r="K77" s="25"/>
      <c r="L77" s="25"/>
      <c r="M77" s="26" t="str">
        <f aca="false">IF(G77="","",G77-N(H77))</f>
        <v/>
      </c>
      <c r="N77" s="26" t="str">
        <f aca="false">IF(G77="","",G77-N(K77)-N(L77))</f>
        <v/>
      </c>
      <c r="O77" s="27" t="str">
        <f aca="false">IF(G77="","",IF(N(H77)&gt;=G77,"Pago",IF(N(H77)&gt;0,"Parcial","Pendente")))</f>
        <v/>
      </c>
      <c r="P77" s="24"/>
    </row>
    <row r="78" customFormat="false" ht="15" hidden="false" customHeight="false" outlineLevel="0" collapsed="false">
      <c r="A78" s="22"/>
      <c r="B78" s="23"/>
      <c r="C78" s="24"/>
      <c r="D78" s="24"/>
      <c r="E78" s="24"/>
      <c r="F78" s="24"/>
      <c r="G78" s="25"/>
      <c r="H78" s="25"/>
      <c r="I78" s="24"/>
      <c r="J78" s="24"/>
      <c r="K78" s="25"/>
      <c r="L78" s="25"/>
      <c r="M78" s="26" t="str">
        <f aca="false">IF(G78="","",G78-N(H78))</f>
        <v/>
      </c>
      <c r="N78" s="26" t="str">
        <f aca="false">IF(G78="","",G78-N(K78)-N(L78))</f>
        <v/>
      </c>
      <c r="O78" s="27" t="str">
        <f aca="false">IF(G78="","",IF(N(H78)&gt;=G78,"Pago",IF(N(H78)&gt;0,"Parcial","Pendente")))</f>
        <v/>
      </c>
      <c r="P78" s="24"/>
    </row>
    <row r="79" customFormat="false" ht="15" hidden="false" customHeight="false" outlineLevel="0" collapsed="false">
      <c r="A79" s="22"/>
      <c r="B79" s="23"/>
      <c r="C79" s="24"/>
      <c r="D79" s="24"/>
      <c r="E79" s="24"/>
      <c r="F79" s="24"/>
      <c r="G79" s="25"/>
      <c r="H79" s="25"/>
      <c r="I79" s="24"/>
      <c r="J79" s="24"/>
      <c r="K79" s="25"/>
      <c r="L79" s="25"/>
      <c r="M79" s="26" t="str">
        <f aca="false">IF(G79="","",G79-N(H79))</f>
        <v/>
      </c>
      <c r="N79" s="26" t="str">
        <f aca="false">IF(G79="","",G79-N(K79)-N(L79))</f>
        <v/>
      </c>
      <c r="O79" s="27" t="str">
        <f aca="false">IF(G79="","",IF(N(H79)&gt;=G79,"Pago",IF(N(H79)&gt;0,"Parcial","Pendente")))</f>
        <v/>
      </c>
      <c r="P79" s="24"/>
    </row>
    <row r="80" customFormat="false" ht="15" hidden="false" customHeight="false" outlineLevel="0" collapsed="false">
      <c r="A80" s="22"/>
      <c r="B80" s="23"/>
      <c r="C80" s="24"/>
      <c r="D80" s="24"/>
      <c r="E80" s="24"/>
      <c r="F80" s="24"/>
      <c r="G80" s="25"/>
      <c r="H80" s="25"/>
      <c r="I80" s="24"/>
      <c r="J80" s="24"/>
      <c r="K80" s="25"/>
      <c r="L80" s="25"/>
      <c r="M80" s="26" t="str">
        <f aca="false">IF(G80="","",G80-N(H80))</f>
        <v/>
      </c>
      <c r="N80" s="26" t="str">
        <f aca="false">IF(G80="","",G80-N(K80)-N(L80))</f>
        <v/>
      </c>
      <c r="O80" s="27" t="str">
        <f aca="false">IF(G80="","",IF(N(H80)&gt;=G80,"Pago",IF(N(H80)&gt;0,"Parcial","Pendente")))</f>
        <v/>
      </c>
      <c r="P80" s="24"/>
    </row>
    <row r="81" customFormat="false" ht="15" hidden="false" customHeight="false" outlineLevel="0" collapsed="false">
      <c r="A81" s="22"/>
      <c r="B81" s="23"/>
      <c r="C81" s="24"/>
      <c r="D81" s="24"/>
      <c r="E81" s="24"/>
      <c r="F81" s="24"/>
      <c r="G81" s="25"/>
      <c r="H81" s="25"/>
      <c r="I81" s="24"/>
      <c r="J81" s="24"/>
      <c r="K81" s="25"/>
      <c r="L81" s="25"/>
      <c r="M81" s="26" t="str">
        <f aca="false">IF(G81="","",G81-N(H81))</f>
        <v/>
      </c>
      <c r="N81" s="26" t="str">
        <f aca="false">IF(G81="","",G81-N(K81)-N(L81))</f>
        <v/>
      </c>
      <c r="O81" s="27" t="str">
        <f aca="false">IF(G81="","",IF(N(H81)&gt;=G81,"Pago",IF(N(H81)&gt;0,"Parcial","Pendente")))</f>
        <v/>
      </c>
      <c r="P81" s="24"/>
    </row>
    <row r="82" customFormat="false" ht="15" hidden="false" customHeight="false" outlineLevel="0" collapsed="false">
      <c r="A82" s="22"/>
      <c r="B82" s="23"/>
      <c r="C82" s="24"/>
      <c r="D82" s="24"/>
      <c r="E82" s="24"/>
      <c r="F82" s="24"/>
      <c r="G82" s="25"/>
      <c r="H82" s="25"/>
      <c r="I82" s="24"/>
      <c r="J82" s="24"/>
      <c r="K82" s="25"/>
      <c r="L82" s="25"/>
      <c r="M82" s="26" t="str">
        <f aca="false">IF(G82="","",G82-N(H82))</f>
        <v/>
      </c>
      <c r="N82" s="26" t="str">
        <f aca="false">IF(G82="","",G82-N(K82)-N(L82))</f>
        <v/>
      </c>
      <c r="O82" s="27" t="str">
        <f aca="false">IF(G82="","",IF(N(H82)&gt;=G82,"Pago",IF(N(H82)&gt;0,"Parcial","Pendente")))</f>
        <v/>
      </c>
      <c r="P82" s="24"/>
    </row>
    <row r="83" customFormat="false" ht="15" hidden="false" customHeight="false" outlineLevel="0" collapsed="false">
      <c r="A83" s="22"/>
      <c r="B83" s="23"/>
      <c r="C83" s="24"/>
      <c r="D83" s="24"/>
      <c r="E83" s="24"/>
      <c r="F83" s="24"/>
      <c r="G83" s="25"/>
      <c r="H83" s="25"/>
      <c r="I83" s="24"/>
      <c r="J83" s="24"/>
      <c r="K83" s="25"/>
      <c r="L83" s="25"/>
      <c r="M83" s="26" t="str">
        <f aca="false">IF(G83="","",G83-N(H83))</f>
        <v/>
      </c>
      <c r="N83" s="26" t="str">
        <f aca="false">IF(G83="","",G83-N(K83)-N(L83))</f>
        <v/>
      </c>
      <c r="O83" s="27" t="str">
        <f aca="false">IF(G83="","",IF(N(H83)&gt;=G83,"Pago",IF(N(H83)&gt;0,"Parcial","Pendente")))</f>
        <v/>
      </c>
      <c r="P83" s="24"/>
    </row>
    <row r="84" customFormat="false" ht="15" hidden="false" customHeight="false" outlineLevel="0" collapsed="false">
      <c r="A84" s="22"/>
      <c r="B84" s="23"/>
      <c r="C84" s="24"/>
      <c r="D84" s="24"/>
      <c r="E84" s="24"/>
      <c r="F84" s="24"/>
      <c r="G84" s="25"/>
      <c r="H84" s="25"/>
      <c r="I84" s="24"/>
      <c r="J84" s="24"/>
      <c r="K84" s="25"/>
      <c r="L84" s="25"/>
      <c r="M84" s="26" t="str">
        <f aca="false">IF(G84="","",G84-N(H84))</f>
        <v/>
      </c>
      <c r="N84" s="26" t="str">
        <f aca="false">IF(G84="","",G84-N(K84)-N(L84))</f>
        <v/>
      </c>
      <c r="O84" s="27" t="str">
        <f aca="false">IF(G84="","",IF(N(H84)&gt;=G84,"Pago",IF(N(H84)&gt;0,"Parcial","Pendente")))</f>
        <v/>
      </c>
      <c r="P84" s="24"/>
    </row>
    <row r="85" customFormat="false" ht="15" hidden="false" customHeight="false" outlineLevel="0" collapsed="false">
      <c r="A85" s="22"/>
      <c r="B85" s="23"/>
      <c r="C85" s="24"/>
      <c r="D85" s="24"/>
      <c r="E85" s="24"/>
      <c r="F85" s="24"/>
      <c r="G85" s="25"/>
      <c r="H85" s="25"/>
      <c r="I85" s="24"/>
      <c r="J85" s="24"/>
      <c r="K85" s="25"/>
      <c r="L85" s="25"/>
      <c r="M85" s="26" t="str">
        <f aca="false">IF(G85="","",G85-N(H85))</f>
        <v/>
      </c>
      <c r="N85" s="26" t="str">
        <f aca="false">IF(G85="","",G85-N(K85)-N(L85))</f>
        <v/>
      </c>
      <c r="O85" s="27" t="str">
        <f aca="false">IF(G85="","",IF(N(H85)&gt;=G85,"Pago",IF(N(H85)&gt;0,"Parcial","Pendente")))</f>
        <v/>
      </c>
      <c r="P85" s="24"/>
    </row>
    <row r="86" customFormat="false" ht="15" hidden="false" customHeight="false" outlineLevel="0" collapsed="false">
      <c r="A86" s="22"/>
      <c r="B86" s="23"/>
      <c r="C86" s="24"/>
      <c r="D86" s="24"/>
      <c r="E86" s="24"/>
      <c r="F86" s="24"/>
      <c r="G86" s="25"/>
      <c r="H86" s="25"/>
      <c r="I86" s="24"/>
      <c r="J86" s="24"/>
      <c r="K86" s="25"/>
      <c r="L86" s="25"/>
      <c r="M86" s="26" t="str">
        <f aca="false">IF(G86="","",G86-N(H86))</f>
        <v/>
      </c>
      <c r="N86" s="26" t="str">
        <f aca="false">IF(G86="","",G86-N(K86)-N(L86))</f>
        <v/>
      </c>
      <c r="O86" s="27" t="str">
        <f aca="false">IF(G86="","",IF(N(H86)&gt;=G86,"Pago",IF(N(H86)&gt;0,"Parcial","Pendente")))</f>
        <v/>
      </c>
      <c r="P86" s="24"/>
    </row>
    <row r="87" customFormat="false" ht="15" hidden="false" customHeight="false" outlineLevel="0" collapsed="false">
      <c r="A87" s="22"/>
      <c r="B87" s="23"/>
      <c r="C87" s="24"/>
      <c r="D87" s="24"/>
      <c r="E87" s="24"/>
      <c r="F87" s="24"/>
      <c r="G87" s="25"/>
      <c r="H87" s="25"/>
      <c r="I87" s="24"/>
      <c r="J87" s="24"/>
      <c r="K87" s="25"/>
      <c r="L87" s="25"/>
      <c r="M87" s="26" t="str">
        <f aca="false">IF(G87="","",G87-N(H87))</f>
        <v/>
      </c>
      <c r="N87" s="26" t="str">
        <f aca="false">IF(G87="","",G87-N(K87)-N(L87))</f>
        <v/>
      </c>
      <c r="O87" s="27" t="str">
        <f aca="false">IF(G87="","",IF(N(H87)&gt;=G87,"Pago",IF(N(H87)&gt;0,"Parcial","Pendente")))</f>
        <v/>
      </c>
      <c r="P87" s="24"/>
    </row>
    <row r="88" customFormat="false" ht="15" hidden="false" customHeight="false" outlineLevel="0" collapsed="false">
      <c r="A88" s="22"/>
      <c r="B88" s="23"/>
      <c r="C88" s="24"/>
      <c r="D88" s="24"/>
      <c r="E88" s="24"/>
      <c r="F88" s="24"/>
      <c r="G88" s="25"/>
      <c r="H88" s="25"/>
      <c r="I88" s="24"/>
      <c r="J88" s="24"/>
      <c r="K88" s="25"/>
      <c r="L88" s="25"/>
      <c r="M88" s="26" t="str">
        <f aca="false">IF(G88="","",G88-N(H88))</f>
        <v/>
      </c>
      <c r="N88" s="26" t="str">
        <f aca="false">IF(G88="","",G88-N(K88)-N(L88))</f>
        <v/>
      </c>
      <c r="O88" s="27" t="str">
        <f aca="false">IF(G88="","",IF(N(H88)&gt;=G88,"Pago",IF(N(H88)&gt;0,"Parcial","Pendente")))</f>
        <v/>
      </c>
      <c r="P88" s="24"/>
    </row>
    <row r="89" customFormat="false" ht="15" hidden="false" customHeight="false" outlineLevel="0" collapsed="false">
      <c r="A89" s="22"/>
      <c r="B89" s="23"/>
      <c r="C89" s="24"/>
      <c r="D89" s="24"/>
      <c r="E89" s="24"/>
      <c r="F89" s="24"/>
      <c r="G89" s="25"/>
      <c r="H89" s="25"/>
      <c r="I89" s="24"/>
      <c r="J89" s="24"/>
      <c r="K89" s="25"/>
      <c r="L89" s="25"/>
      <c r="M89" s="26" t="str">
        <f aca="false">IF(G89="","",G89-N(H89))</f>
        <v/>
      </c>
      <c r="N89" s="26" t="str">
        <f aca="false">IF(G89="","",G89-N(K89)-N(L89))</f>
        <v/>
      </c>
      <c r="O89" s="27" t="str">
        <f aca="false">IF(G89="","",IF(N(H89)&gt;=G89,"Pago",IF(N(H89)&gt;0,"Parcial","Pendente")))</f>
        <v/>
      </c>
      <c r="P89" s="24"/>
    </row>
    <row r="90" customFormat="false" ht="15" hidden="false" customHeight="false" outlineLevel="0" collapsed="false">
      <c r="A90" s="22"/>
      <c r="B90" s="23"/>
      <c r="C90" s="24"/>
      <c r="D90" s="24"/>
      <c r="E90" s="24"/>
      <c r="F90" s="24"/>
      <c r="G90" s="25"/>
      <c r="H90" s="25"/>
      <c r="I90" s="24"/>
      <c r="J90" s="24"/>
      <c r="K90" s="25"/>
      <c r="L90" s="25"/>
      <c r="M90" s="26" t="str">
        <f aca="false">IF(G90="","",G90-N(H90))</f>
        <v/>
      </c>
      <c r="N90" s="26" t="str">
        <f aca="false">IF(G90="","",G90-N(K90)-N(L90))</f>
        <v/>
      </c>
      <c r="O90" s="27" t="str">
        <f aca="false">IF(G90="","",IF(N(H90)&gt;=G90,"Pago",IF(N(H90)&gt;0,"Parcial","Pendente")))</f>
        <v/>
      </c>
      <c r="P90" s="24"/>
    </row>
    <row r="91" customFormat="false" ht="15" hidden="false" customHeight="false" outlineLevel="0" collapsed="false">
      <c r="A91" s="22"/>
      <c r="B91" s="23"/>
      <c r="C91" s="24"/>
      <c r="D91" s="24"/>
      <c r="E91" s="24"/>
      <c r="F91" s="24"/>
      <c r="G91" s="25"/>
      <c r="H91" s="25"/>
      <c r="I91" s="24"/>
      <c r="J91" s="24"/>
      <c r="K91" s="25"/>
      <c r="L91" s="25"/>
      <c r="M91" s="26" t="str">
        <f aca="false">IF(G91="","",G91-N(H91))</f>
        <v/>
      </c>
      <c r="N91" s="26" t="str">
        <f aca="false">IF(G91="","",G91-N(K91)-N(L91))</f>
        <v/>
      </c>
      <c r="O91" s="27" t="str">
        <f aca="false">IF(G91="","",IF(N(H91)&gt;=G91,"Pago",IF(N(H91)&gt;0,"Parcial","Pendente")))</f>
        <v/>
      </c>
      <c r="P91" s="24"/>
    </row>
    <row r="92" customFormat="false" ht="15" hidden="false" customHeight="false" outlineLevel="0" collapsed="false">
      <c r="A92" s="22"/>
      <c r="B92" s="23"/>
      <c r="C92" s="24"/>
      <c r="D92" s="24"/>
      <c r="E92" s="24"/>
      <c r="F92" s="24"/>
      <c r="G92" s="25"/>
      <c r="H92" s="25"/>
      <c r="I92" s="24"/>
      <c r="J92" s="24"/>
      <c r="K92" s="25"/>
      <c r="L92" s="25"/>
      <c r="M92" s="26" t="str">
        <f aca="false">IF(G92="","",G92-N(H92))</f>
        <v/>
      </c>
      <c r="N92" s="26" t="str">
        <f aca="false">IF(G92="","",G92-N(K92)-N(L92))</f>
        <v/>
      </c>
      <c r="O92" s="27" t="str">
        <f aca="false">IF(G92="","",IF(N(H92)&gt;=G92,"Pago",IF(N(H92)&gt;0,"Parcial","Pendente")))</f>
        <v/>
      </c>
      <c r="P92" s="24"/>
    </row>
    <row r="93" customFormat="false" ht="15" hidden="false" customHeight="false" outlineLevel="0" collapsed="false">
      <c r="A93" s="22"/>
      <c r="B93" s="23"/>
      <c r="C93" s="24"/>
      <c r="D93" s="24"/>
      <c r="E93" s="24"/>
      <c r="F93" s="24"/>
      <c r="G93" s="25"/>
      <c r="H93" s="25"/>
      <c r="I93" s="24"/>
      <c r="J93" s="24"/>
      <c r="K93" s="25"/>
      <c r="L93" s="25"/>
      <c r="M93" s="26" t="str">
        <f aca="false">IF(G93="","",G93-N(H93))</f>
        <v/>
      </c>
      <c r="N93" s="26" t="str">
        <f aca="false">IF(G93="","",G93-N(K93)-N(L93))</f>
        <v/>
      </c>
      <c r="O93" s="27" t="str">
        <f aca="false">IF(G93="","",IF(N(H93)&gt;=G93,"Pago",IF(N(H93)&gt;0,"Parcial","Pendente")))</f>
        <v/>
      </c>
      <c r="P93" s="24"/>
    </row>
    <row r="94" customFormat="false" ht="15" hidden="false" customHeight="false" outlineLevel="0" collapsed="false">
      <c r="A94" s="22"/>
      <c r="B94" s="23"/>
      <c r="C94" s="24"/>
      <c r="D94" s="24"/>
      <c r="E94" s="24"/>
      <c r="F94" s="24"/>
      <c r="G94" s="25"/>
      <c r="H94" s="25"/>
      <c r="I94" s="24"/>
      <c r="J94" s="24"/>
      <c r="K94" s="25"/>
      <c r="L94" s="25"/>
      <c r="M94" s="26" t="str">
        <f aca="false">IF(G94="","",G94-N(H94))</f>
        <v/>
      </c>
      <c r="N94" s="26" t="str">
        <f aca="false">IF(G94="","",G94-N(K94)-N(L94))</f>
        <v/>
      </c>
      <c r="O94" s="27" t="str">
        <f aca="false">IF(G94="","",IF(N(H94)&gt;=G94,"Pago",IF(N(H94)&gt;0,"Parcial","Pendente")))</f>
        <v/>
      </c>
      <c r="P94" s="24"/>
    </row>
    <row r="95" customFormat="false" ht="15" hidden="false" customHeight="false" outlineLevel="0" collapsed="false">
      <c r="A95" s="22"/>
      <c r="B95" s="23"/>
      <c r="C95" s="24"/>
      <c r="D95" s="24"/>
      <c r="E95" s="24"/>
      <c r="F95" s="24"/>
      <c r="G95" s="25"/>
      <c r="H95" s="25"/>
      <c r="I95" s="24"/>
      <c r="J95" s="24"/>
      <c r="K95" s="25"/>
      <c r="L95" s="25"/>
      <c r="M95" s="26" t="str">
        <f aca="false">IF(G95="","",G95-N(H95))</f>
        <v/>
      </c>
      <c r="N95" s="26" t="str">
        <f aca="false">IF(G95="","",G95-N(K95)-N(L95))</f>
        <v/>
      </c>
      <c r="O95" s="27" t="str">
        <f aca="false">IF(G95="","",IF(N(H95)&gt;=G95,"Pago",IF(N(H95)&gt;0,"Parcial","Pendente")))</f>
        <v/>
      </c>
      <c r="P95" s="24"/>
    </row>
    <row r="96" customFormat="false" ht="15" hidden="false" customHeight="false" outlineLevel="0" collapsed="false">
      <c r="A96" s="22"/>
      <c r="B96" s="23"/>
      <c r="C96" s="24"/>
      <c r="D96" s="24"/>
      <c r="E96" s="24"/>
      <c r="F96" s="24"/>
      <c r="G96" s="25"/>
      <c r="H96" s="25"/>
      <c r="I96" s="24"/>
      <c r="J96" s="24"/>
      <c r="K96" s="25"/>
      <c r="L96" s="25"/>
      <c r="M96" s="26" t="str">
        <f aca="false">IF(G96="","",G96-N(H96))</f>
        <v/>
      </c>
      <c r="N96" s="26" t="str">
        <f aca="false">IF(G96="","",G96-N(K96)-N(L96))</f>
        <v/>
      </c>
      <c r="O96" s="27" t="str">
        <f aca="false">IF(G96="","",IF(N(H96)&gt;=G96,"Pago",IF(N(H96)&gt;0,"Parcial","Pendente")))</f>
        <v/>
      </c>
      <c r="P96" s="24"/>
    </row>
    <row r="97" customFormat="false" ht="15" hidden="false" customHeight="false" outlineLevel="0" collapsed="false">
      <c r="A97" s="22"/>
      <c r="B97" s="23"/>
      <c r="C97" s="24"/>
      <c r="D97" s="24"/>
      <c r="E97" s="24"/>
      <c r="F97" s="24"/>
      <c r="G97" s="25"/>
      <c r="H97" s="25"/>
      <c r="I97" s="24"/>
      <c r="J97" s="24"/>
      <c r="K97" s="25"/>
      <c r="L97" s="25"/>
      <c r="M97" s="26" t="str">
        <f aca="false">IF(G97="","",G97-N(H97))</f>
        <v/>
      </c>
      <c r="N97" s="26" t="str">
        <f aca="false">IF(G97="","",G97-N(K97)-N(L97))</f>
        <v/>
      </c>
      <c r="O97" s="27" t="str">
        <f aca="false">IF(G97="","",IF(N(H97)&gt;=G97,"Pago",IF(N(H97)&gt;0,"Parcial","Pendente")))</f>
        <v/>
      </c>
      <c r="P97" s="24"/>
    </row>
    <row r="98" customFormat="false" ht="15" hidden="false" customHeight="false" outlineLevel="0" collapsed="false">
      <c r="A98" s="22"/>
      <c r="B98" s="23"/>
      <c r="C98" s="24"/>
      <c r="D98" s="24"/>
      <c r="E98" s="24"/>
      <c r="F98" s="24"/>
      <c r="G98" s="25"/>
      <c r="H98" s="25"/>
      <c r="I98" s="24"/>
      <c r="J98" s="24"/>
      <c r="K98" s="25"/>
      <c r="L98" s="25"/>
      <c r="M98" s="26" t="str">
        <f aca="false">IF(G98="","",G98-N(H98))</f>
        <v/>
      </c>
      <c r="N98" s="26" t="str">
        <f aca="false">IF(G98="","",G98-N(K98)-N(L98))</f>
        <v/>
      </c>
      <c r="O98" s="27" t="str">
        <f aca="false">IF(G98="","",IF(N(H98)&gt;=G98,"Pago",IF(N(H98)&gt;0,"Parcial","Pendente")))</f>
        <v/>
      </c>
      <c r="P98" s="24"/>
    </row>
    <row r="99" customFormat="false" ht="15" hidden="false" customHeight="false" outlineLevel="0" collapsed="false">
      <c r="A99" s="22"/>
      <c r="B99" s="23"/>
      <c r="C99" s="24"/>
      <c r="D99" s="24"/>
      <c r="E99" s="24"/>
      <c r="F99" s="24"/>
      <c r="G99" s="25"/>
      <c r="H99" s="25"/>
      <c r="I99" s="24"/>
      <c r="J99" s="24"/>
      <c r="K99" s="25"/>
      <c r="L99" s="25"/>
      <c r="M99" s="26" t="str">
        <f aca="false">IF(G99="","",G99-N(H99))</f>
        <v/>
      </c>
      <c r="N99" s="26" t="str">
        <f aca="false">IF(G99="","",G99-N(K99)-N(L99))</f>
        <v/>
      </c>
      <c r="O99" s="27" t="str">
        <f aca="false">IF(G99="","",IF(N(H99)&gt;=G99,"Pago",IF(N(H99)&gt;0,"Parcial","Pendente")))</f>
        <v/>
      </c>
      <c r="P99" s="24"/>
    </row>
    <row r="100" customFormat="false" ht="15" hidden="false" customHeight="false" outlineLevel="0" collapsed="false">
      <c r="A100" s="22"/>
      <c r="B100" s="23"/>
      <c r="C100" s="24"/>
      <c r="D100" s="24"/>
      <c r="E100" s="24"/>
      <c r="F100" s="24"/>
      <c r="G100" s="25"/>
      <c r="H100" s="25"/>
      <c r="I100" s="24"/>
      <c r="J100" s="24"/>
      <c r="K100" s="25"/>
      <c r="L100" s="25"/>
      <c r="M100" s="26" t="str">
        <f aca="false">IF(G100="","",G100-N(H100))</f>
        <v/>
      </c>
      <c r="N100" s="26" t="str">
        <f aca="false">IF(G100="","",G100-N(K100)-N(L100))</f>
        <v/>
      </c>
      <c r="O100" s="27" t="str">
        <f aca="false">IF(G100="","",IF(N(H100)&gt;=G100,"Pago",IF(N(H100)&gt;0,"Parcial","Pendente")))</f>
        <v/>
      </c>
      <c r="P100" s="24"/>
    </row>
    <row r="101" customFormat="false" ht="15" hidden="false" customHeight="false" outlineLevel="0" collapsed="false">
      <c r="A101" s="22"/>
      <c r="B101" s="23"/>
      <c r="C101" s="24"/>
      <c r="D101" s="24"/>
      <c r="E101" s="24"/>
      <c r="F101" s="24"/>
      <c r="G101" s="25"/>
      <c r="H101" s="25"/>
      <c r="I101" s="24"/>
      <c r="J101" s="24"/>
      <c r="K101" s="25"/>
      <c r="L101" s="25"/>
      <c r="M101" s="26" t="str">
        <f aca="false">IF(G101="","",G101-N(H101))</f>
        <v/>
      </c>
      <c r="N101" s="26" t="str">
        <f aca="false">IF(G101="","",G101-N(K101)-N(L101))</f>
        <v/>
      </c>
      <c r="O101" s="27" t="str">
        <f aca="false">IF(G101="","",IF(N(H101)&gt;=G101,"Pago",IF(N(H101)&gt;0,"Parcial","Pendente")))</f>
        <v/>
      </c>
      <c r="P101" s="24"/>
    </row>
    <row r="102" customFormat="false" ht="15" hidden="false" customHeight="false" outlineLevel="0" collapsed="false">
      <c r="A102" s="22"/>
      <c r="B102" s="23"/>
      <c r="C102" s="24"/>
      <c r="D102" s="24"/>
      <c r="E102" s="24"/>
      <c r="F102" s="24"/>
      <c r="G102" s="25"/>
      <c r="H102" s="25"/>
      <c r="I102" s="24"/>
      <c r="J102" s="24"/>
      <c r="K102" s="25"/>
      <c r="L102" s="25"/>
      <c r="M102" s="26" t="str">
        <f aca="false">IF(G102="","",G102-N(H102))</f>
        <v/>
      </c>
      <c r="N102" s="26" t="str">
        <f aca="false">IF(G102="","",G102-N(K102)-N(L102))</f>
        <v/>
      </c>
      <c r="O102" s="27" t="str">
        <f aca="false">IF(G102="","",IF(N(H102)&gt;=G102,"Pago",IF(N(H102)&gt;0,"Parcial","Pendente")))</f>
        <v/>
      </c>
      <c r="P102" s="24"/>
    </row>
    <row r="103" customFormat="false" ht="15" hidden="false" customHeight="false" outlineLevel="0" collapsed="false">
      <c r="A103" s="22"/>
      <c r="B103" s="23"/>
      <c r="C103" s="24"/>
      <c r="D103" s="24"/>
      <c r="E103" s="24"/>
      <c r="F103" s="24"/>
      <c r="G103" s="25"/>
      <c r="H103" s="25"/>
      <c r="I103" s="24"/>
      <c r="J103" s="24"/>
      <c r="K103" s="25"/>
      <c r="L103" s="25"/>
      <c r="M103" s="26" t="str">
        <f aca="false">IF(G103="","",G103-N(H103))</f>
        <v/>
      </c>
      <c r="N103" s="26" t="str">
        <f aca="false">IF(G103="","",G103-N(K103)-N(L103))</f>
        <v/>
      </c>
      <c r="O103" s="27" t="str">
        <f aca="false">IF(G103="","",IF(N(H103)&gt;=G103,"Pago",IF(N(H103)&gt;0,"Parcial","Pendente")))</f>
        <v/>
      </c>
      <c r="P103" s="24"/>
    </row>
    <row r="104" customFormat="false" ht="15" hidden="false" customHeight="false" outlineLevel="0" collapsed="false">
      <c r="A104" s="22"/>
      <c r="B104" s="23"/>
      <c r="C104" s="24"/>
      <c r="D104" s="24"/>
      <c r="E104" s="24"/>
      <c r="F104" s="24"/>
      <c r="G104" s="25"/>
      <c r="H104" s="25"/>
      <c r="I104" s="24"/>
      <c r="J104" s="24"/>
      <c r="K104" s="25"/>
      <c r="L104" s="25"/>
      <c r="M104" s="26" t="str">
        <f aca="false">IF(G104="","",G104-N(H104))</f>
        <v/>
      </c>
      <c r="N104" s="26" t="str">
        <f aca="false">IF(G104="","",G104-N(K104)-N(L104))</f>
        <v/>
      </c>
      <c r="O104" s="27" t="str">
        <f aca="false">IF(G104="","",IF(N(H104)&gt;=G104,"Pago",IF(N(H104)&gt;0,"Parcial","Pendente")))</f>
        <v/>
      </c>
      <c r="P104" s="24"/>
    </row>
    <row r="105" customFormat="false" ht="15" hidden="false" customHeight="false" outlineLevel="0" collapsed="false">
      <c r="A105" s="22"/>
      <c r="B105" s="23"/>
      <c r="C105" s="24"/>
      <c r="D105" s="24"/>
      <c r="E105" s="24"/>
      <c r="F105" s="24"/>
      <c r="G105" s="25"/>
      <c r="H105" s="25"/>
      <c r="I105" s="24"/>
      <c r="J105" s="24"/>
      <c r="K105" s="25"/>
      <c r="L105" s="25"/>
      <c r="M105" s="26" t="str">
        <f aca="false">IF(G105="","",G105-N(H105))</f>
        <v/>
      </c>
      <c r="N105" s="26" t="str">
        <f aca="false">IF(G105="","",G105-N(K105)-N(L105))</f>
        <v/>
      </c>
      <c r="O105" s="27" t="str">
        <f aca="false">IF(G105="","",IF(N(H105)&gt;=G105,"Pago",IF(N(H105)&gt;0,"Parcial","Pendente")))</f>
        <v/>
      </c>
      <c r="P105" s="24"/>
    </row>
    <row r="106" customFormat="false" ht="15" hidden="false" customHeight="false" outlineLevel="0" collapsed="false">
      <c r="A106" s="22"/>
      <c r="B106" s="23"/>
      <c r="C106" s="24"/>
      <c r="D106" s="24"/>
      <c r="E106" s="24"/>
      <c r="F106" s="24"/>
      <c r="G106" s="25"/>
      <c r="H106" s="25"/>
      <c r="I106" s="24"/>
      <c r="J106" s="24"/>
      <c r="K106" s="25"/>
      <c r="L106" s="25"/>
      <c r="M106" s="26" t="str">
        <f aca="false">IF(G106="","",G106-N(H106))</f>
        <v/>
      </c>
      <c r="N106" s="26" t="str">
        <f aca="false">IF(G106="","",G106-N(K106)-N(L106))</f>
        <v/>
      </c>
      <c r="O106" s="27" t="str">
        <f aca="false">IF(G106="","",IF(N(H106)&gt;=G106,"Pago",IF(N(H106)&gt;0,"Parcial","Pendente")))</f>
        <v/>
      </c>
      <c r="P106" s="24"/>
    </row>
    <row r="107" customFormat="false" ht="15" hidden="false" customHeight="false" outlineLevel="0" collapsed="false">
      <c r="A107" s="22"/>
      <c r="B107" s="23"/>
      <c r="C107" s="24"/>
      <c r="D107" s="24"/>
      <c r="E107" s="24"/>
      <c r="F107" s="24"/>
      <c r="G107" s="25"/>
      <c r="H107" s="25"/>
      <c r="I107" s="24"/>
      <c r="J107" s="24"/>
      <c r="K107" s="25"/>
      <c r="L107" s="25"/>
      <c r="M107" s="26" t="str">
        <f aca="false">IF(G107="","",G107-N(H107))</f>
        <v/>
      </c>
      <c r="N107" s="26" t="str">
        <f aca="false">IF(G107="","",G107-N(K107)-N(L107))</f>
        <v/>
      </c>
      <c r="O107" s="27" t="str">
        <f aca="false">IF(G107="","",IF(N(H107)&gt;=G107,"Pago",IF(N(H107)&gt;0,"Parcial","Pendente")))</f>
        <v/>
      </c>
      <c r="P107" s="24"/>
    </row>
    <row r="108" customFormat="false" ht="15" hidden="false" customHeight="false" outlineLevel="0" collapsed="false">
      <c r="A108" s="22"/>
      <c r="B108" s="23"/>
      <c r="C108" s="24"/>
      <c r="D108" s="24"/>
      <c r="E108" s="24"/>
      <c r="F108" s="24"/>
      <c r="G108" s="25"/>
      <c r="H108" s="25"/>
      <c r="I108" s="24"/>
      <c r="J108" s="24"/>
      <c r="K108" s="25"/>
      <c r="L108" s="25"/>
      <c r="M108" s="26" t="str">
        <f aca="false">IF(G108="","",G108-N(H108))</f>
        <v/>
      </c>
      <c r="N108" s="26" t="str">
        <f aca="false">IF(G108="","",G108-N(K108)-N(L108))</f>
        <v/>
      </c>
      <c r="O108" s="27" t="str">
        <f aca="false">IF(G108="","",IF(N(H108)&gt;=G108,"Pago",IF(N(H108)&gt;0,"Parcial","Pendente")))</f>
        <v/>
      </c>
      <c r="P108" s="24"/>
    </row>
    <row r="109" customFormat="false" ht="15" hidden="false" customHeight="false" outlineLevel="0" collapsed="false">
      <c r="A109" s="22"/>
      <c r="B109" s="23"/>
      <c r="C109" s="24"/>
      <c r="D109" s="24"/>
      <c r="E109" s="24"/>
      <c r="F109" s="24"/>
      <c r="G109" s="25"/>
      <c r="H109" s="25"/>
      <c r="I109" s="24"/>
      <c r="J109" s="24"/>
      <c r="K109" s="25"/>
      <c r="L109" s="25"/>
      <c r="M109" s="26" t="str">
        <f aca="false">IF(G109="","",G109-N(H109))</f>
        <v/>
      </c>
      <c r="N109" s="26" t="str">
        <f aca="false">IF(G109="","",G109-N(K109)-N(L109))</f>
        <v/>
      </c>
      <c r="O109" s="27" t="str">
        <f aca="false">IF(G109="","",IF(N(H109)&gt;=G109,"Pago",IF(N(H109)&gt;0,"Parcial","Pendente")))</f>
        <v/>
      </c>
      <c r="P109" s="24"/>
    </row>
    <row r="110" customFormat="false" ht="15" hidden="false" customHeight="false" outlineLevel="0" collapsed="false">
      <c r="A110" s="22"/>
      <c r="B110" s="23"/>
      <c r="C110" s="24"/>
      <c r="D110" s="24"/>
      <c r="E110" s="24"/>
      <c r="F110" s="24"/>
      <c r="G110" s="25"/>
      <c r="H110" s="25"/>
      <c r="I110" s="24"/>
      <c r="J110" s="24"/>
      <c r="K110" s="25"/>
      <c r="L110" s="25"/>
      <c r="M110" s="26" t="str">
        <f aca="false">IF(G110="","",G110-N(H110))</f>
        <v/>
      </c>
      <c r="N110" s="26" t="str">
        <f aca="false">IF(G110="","",G110-N(K110)-N(L110))</f>
        <v/>
      </c>
      <c r="O110" s="27" t="str">
        <f aca="false">IF(G110="","",IF(N(H110)&gt;=G110,"Pago",IF(N(H110)&gt;0,"Parcial","Pendente")))</f>
        <v/>
      </c>
      <c r="P110" s="24"/>
    </row>
    <row r="111" customFormat="false" ht="15" hidden="false" customHeight="false" outlineLevel="0" collapsed="false">
      <c r="A111" s="22"/>
      <c r="B111" s="23"/>
      <c r="C111" s="24"/>
      <c r="D111" s="24"/>
      <c r="E111" s="24"/>
      <c r="F111" s="24"/>
      <c r="G111" s="25"/>
      <c r="H111" s="25"/>
      <c r="I111" s="24"/>
      <c r="J111" s="24"/>
      <c r="K111" s="25"/>
      <c r="L111" s="25"/>
      <c r="M111" s="26" t="str">
        <f aca="false">IF(G111="","",G111-N(H111))</f>
        <v/>
      </c>
      <c r="N111" s="26" t="str">
        <f aca="false">IF(G111="","",G111-N(K111)-N(L111))</f>
        <v/>
      </c>
      <c r="O111" s="27" t="str">
        <f aca="false">IF(G111="","",IF(N(H111)&gt;=G111,"Pago",IF(N(H111)&gt;0,"Parcial","Pendente")))</f>
        <v/>
      </c>
      <c r="P111" s="24"/>
    </row>
    <row r="112" customFormat="false" ht="15" hidden="false" customHeight="false" outlineLevel="0" collapsed="false">
      <c r="A112" s="22"/>
      <c r="B112" s="23"/>
      <c r="C112" s="24"/>
      <c r="D112" s="24"/>
      <c r="E112" s="24"/>
      <c r="F112" s="24"/>
      <c r="G112" s="25"/>
      <c r="H112" s="25"/>
      <c r="I112" s="24"/>
      <c r="J112" s="24"/>
      <c r="K112" s="25"/>
      <c r="L112" s="25"/>
      <c r="M112" s="26" t="str">
        <f aca="false">IF(G112="","",G112-N(H112))</f>
        <v/>
      </c>
      <c r="N112" s="26" t="str">
        <f aca="false">IF(G112="","",G112-N(K112)-N(L112))</f>
        <v/>
      </c>
      <c r="O112" s="27" t="str">
        <f aca="false">IF(G112="","",IF(N(H112)&gt;=G112,"Pago",IF(N(H112)&gt;0,"Parcial","Pendente")))</f>
        <v/>
      </c>
      <c r="P112" s="24"/>
    </row>
    <row r="113" customFormat="false" ht="15" hidden="false" customHeight="false" outlineLevel="0" collapsed="false">
      <c r="A113" s="22"/>
      <c r="B113" s="23"/>
      <c r="C113" s="24"/>
      <c r="D113" s="24"/>
      <c r="E113" s="24"/>
      <c r="F113" s="24"/>
      <c r="G113" s="25"/>
      <c r="H113" s="25"/>
      <c r="I113" s="24"/>
      <c r="J113" s="24"/>
      <c r="K113" s="25"/>
      <c r="L113" s="25"/>
      <c r="M113" s="26" t="str">
        <f aca="false">IF(G113="","",G113-N(H113))</f>
        <v/>
      </c>
      <c r="N113" s="26" t="str">
        <f aca="false">IF(G113="","",G113-N(K113)-N(L113))</f>
        <v/>
      </c>
      <c r="O113" s="27" t="str">
        <f aca="false">IF(G113="","",IF(N(H113)&gt;=G113,"Pago",IF(N(H113)&gt;0,"Parcial","Pendente")))</f>
        <v/>
      </c>
      <c r="P113" s="24"/>
    </row>
    <row r="114" customFormat="false" ht="15" hidden="false" customHeight="false" outlineLevel="0" collapsed="false">
      <c r="A114" s="22"/>
      <c r="B114" s="23"/>
      <c r="C114" s="24"/>
      <c r="D114" s="24"/>
      <c r="E114" s="24"/>
      <c r="F114" s="24"/>
      <c r="G114" s="25"/>
      <c r="H114" s="25"/>
      <c r="I114" s="24"/>
      <c r="J114" s="24"/>
      <c r="K114" s="25"/>
      <c r="L114" s="25"/>
      <c r="M114" s="26" t="str">
        <f aca="false">IF(G114="","",G114-N(H114))</f>
        <v/>
      </c>
      <c r="N114" s="26" t="str">
        <f aca="false">IF(G114="","",G114-N(K114)-N(L114))</f>
        <v/>
      </c>
      <c r="O114" s="27" t="str">
        <f aca="false">IF(G114="","",IF(N(H114)&gt;=G114,"Pago",IF(N(H114)&gt;0,"Parcial","Pendente")))</f>
        <v/>
      </c>
      <c r="P114" s="24"/>
    </row>
    <row r="115" customFormat="false" ht="15" hidden="false" customHeight="false" outlineLevel="0" collapsed="false">
      <c r="A115" s="22"/>
      <c r="B115" s="23"/>
      <c r="C115" s="24"/>
      <c r="D115" s="24"/>
      <c r="E115" s="24"/>
      <c r="F115" s="24"/>
      <c r="G115" s="25"/>
      <c r="H115" s="25"/>
      <c r="I115" s="24"/>
      <c r="J115" s="24"/>
      <c r="K115" s="25"/>
      <c r="L115" s="25"/>
      <c r="M115" s="26" t="str">
        <f aca="false">IF(G115="","",G115-N(H115))</f>
        <v/>
      </c>
      <c r="N115" s="26" t="str">
        <f aca="false">IF(G115="","",G115-N(K115)-N(L115))</f>
        <v/>
      </c>
      <c r="O115" s="27" t="str">
        <f aca="false">IF(G115="","",IF(N(H115)&gt;=G115,"Pago",IF(N(H115)&gt;0,"Parcial","Pendente")))</f>
        <v/>
      </c>
      <c r="P115" s="24"/>
    </row>
    <row r="116" customFormat="false" ht="15" hidden="false" customHeight="false" outlineLevel="0" collapsed="false">
      <c r="A116" s="22"/>
      <c r="B116" s="23"/>
      <c r="C116" s="24"/>
      <c r="D116" s="24"/>
      <c r="E116" s="24"/>
      <c r="F116" s="24"/>
      <c r="G116" s="25"/>
      <c r="H116" s="25"/>
      <c r="I116" s="24"/>
      <c r="J116" s="24"/>
      <c r="K116" s="25"/>
      <c r="L116" s="25"/>
      <c r="M116" s="26" t="str">
        <f aca="false">IF(G116="","",G116-N(H116))</f>
        <v/>
      </c>
      <c r="N116" s="26" t="str">
        <f aca="false">IF(G116="","",G116-N(K116)-N(L116))</f>
        <v/>
      </c>
      <c r="O116" s="27" t="str">
        <f aca="false">IF(G116="","",IF(N(H116)&gt;=G116,"Pago",IF(N(H116)&gt;0,"Parcial","Pendente")))</f>
        <v/>
      </c>
      <c r="P116" s="24"/>
    </row>
    <row r="117" customFormat="false" ht="15" hidden="false" customHeight="false" outlineLevel="0" collapsed="false">
      <c r="A117" s="22"/>
      <c r="B117" s="23"/>
      <c r="C117" s="24"/>
      <c r="D117" s="24"/>
      <c r="E117" s="24"/>
      <c r="F117" s="24"/>
      <c r="G117" s="25"/>
      <c r="H117" s="25"/>
      <c r="I117" s="24"/>
      <c r="J117" s="24"/>
      <c r="K117" s="25"/>
      <c r="L117" s="25"/>
      <c r="M117" s="26" t="str">
        <f aca="false">IF(G117="","",G117-N(H117))</f>
        <v/>
      </c>
      <c r="N117" s="26" t="str">
        <f aca="false">IF(G117="","",G117-N(K117)-N(L117))</f>
        <v/>
      </c>
      <c r="O117" s="27" t="str">
        <f aca="false">IF(G117="","",IF(N(H117)&gt;=G117,"Pago",IF(N(H117)&gt;0,"Parcial","Pendente")))</f>
        <v/>
      </c>
      <c r="P117" s="24"/>
    </row>
    <row r="118" customFormat="false" ht="15" hidden="false" customHeight="false" outlineLevel="0" collapsed="false">
      <c r="A118" s="22"/>
      <c r="B118" s="23"/>
      <c r="C118" s="24"/>
      <c r="D118" s="24"/>
      <c r="E118" s="24"/>
      <c r="F118" s="24"/>
      <c r="G118" s="25"/>
      <c r="H118" s="25"/>
      <c r="I118" s="24"/>
      <c r="J118" s="24"/>
      <c r="K118" s="25"/>
      <c r="L118" s="25"/>
      <c r="M118" s="26" t="str">
        <f aca="false">IF(G118="","",G118-N(H118))</f>
        <v/>
      </c>
      <c r="N118" s="26" t="str">
        <f aca="false">IF(G118="","",G118-N(K118)-N(L118))</f>
        <v/>
      </c>
      <c r="O118" s="27" t="str">
        <f aca="false">IF(G118="","",IF(N(H118)&gt;=G118,"Pago",IF(N(H118)&gt;0,"Parcial","Pendente")))</f>
        <v/>
      </c>
      <c r="P118" s="24"/>
    </row>
    <row r="119" customFormat="false" ht="15" hidden="false" customHeight="false" outlineLevel="0" collapsed="false">
      <c r="A119" s="22"/>
      <c r="B119" s="23"/>
      <c r="C119" s="24"/>
      <c r="D119" s="24"/>
      <c r="E119" s="24"/>
      <c r="F119" s="24"/>
      <c r="G119" s="25"/>
      <c r="H119" s="25"/>
      <c r="I119" s="24"/>
      <c r="J119" s="24"/>
      <c r="K119" s="25"/>
      <c r="L119" s="25"/>
      <c r="M119" s="26" t="str">
        <f aca="false">IF(G119="","",G119-N(H119))</f>
        <v/>
      </c>
      <c r="N119" s="26" t="str">
        <f aca="false">IF(G119="","",G119-N(K119)-N(L119))</f>
        <v/>
      </c>
      <c r="O119" s="27" t="str">
        <f aca="false">IF(G119="","",IF(N(H119)&gt;=G119,"Pago",IF(N(H119)&gt;0,"Parcial","Pendente")))</f>
        <v/>
      </c>
      <c r="P119" s="24"/>
    </row>
    <row r="120" customFormat="false" ht="15" hidden="false" customHeight="false" outlineLevel="0" collapsed="false">
      <c r="A120" s="22"/>
      <c r="B120" s="23"/>
      <c r="C120" s="24"/>
      <c r="D120" s="24"/>
      <c r="E120" s="24"/>
      <c r="F120" s="24"/>
      <c r="G120" s="25"/>
      <c r="H120" s="25"/>
      <c r="I120" s="24"/>
      <c r="J120" s="24"/>
      <c r="K120" s="25"/>
      <c r="L120" s="25"/>
      <c r="M120" s="26" t="str">
        <f aca="false">IF(G120="","",G120-N(H120))</f>
        <v/>
      </c>
      <c r="N120" s="26" t="str">
        <f aca="false">IF(G120="","",G120-N(K120)-N(L120))</f>
        <v/>
      </c>
      <c r="O120" s="27" t="str">
        <f aca="false">IF(G120="","",IF(N(H120)&gt;=G120,"Pago",IF(N(H120)&gt;0,"Parcial","Pendente")))</f>
        <v/>
      </c>
      <c r="P120" s="24"/>
    </row>
    <row r="121" customFormat="false" ht="15" hidden="false" customHeight="false" outlineLevel="0" collapsed="false">
      <c r="A121" s="22"/>
      <c r="B121" s="23"/>
      <c r="C121" s="24"/>
      <c r="D121" s="24"/>
      <c r="E121" s="24"/>
      <c r="F121" s="24"/>
      <c r="G121" s="25"/>
      <c r="H121" s="25"/>
      <c r="I121" s="24"/>
      <c r="J121" s="24"/>
      <c r="K121" s="25"/>
      <c r="L121" s="25"/>
      <c r="M121" s="26" t="str">
        <f aca="false">IF(G121="","",G121-N(H121))</f>
        <v/>
      </c>
      <c r="N121" s="26" t="str">
        <f aca="false">IF(G121="","",G121-N(K121)-N(L121))</f>
        <v/>
      </c>
      <c r="O121" s="27" t="str">
        <f aca="false">IF(G121="","",IF(N(H121)&gt;=G121,"Pago",IF(N(H121)&gt;0,"Parcial","Pendente")))</f>
        <v/>
      </c>
      <c r="P121" s="24"/>
    </row>
    <row r="122" customFormat="false" ht="15" hidden="false" customHeight="false" outlineLevel="0" collapsed="false">
      <c r="A122" s="22"/>
      <c r="B122" s="23"/>
      <c r="C122" s="24"/>
      <c r="D122" s="24"/>
      <c r="E122" s="24"/>
      <c r="F122" s="24"/>
      <c r="G122" s="25"/>
      <c r="H122" s="25"/>
      <c r="I122" s="24"/>
      <c r="J122" s="24"/>
      <c r="K122" s="25"/>
      <c r="L122" s="25"/>
      <c r="M122" s="26" t="str">
        <f aca="false">IF(G122="","",G122-N(H122))</f>
        <v/>
      </c>
      <c r="N122" s="26" t="str">
        <f aca="false">IF(G122="","",G122-N(K122)-N(L122))</f>
        <v/>
      </c>
      <c r="O122" s="27" t="str">
        <f aca="false">IF(G122="","",IF(N(H122)&gt;=G122,"Pago",IF(N(H122)&gt;0,"Parcial","Pendente")))</f>
        <v/>
      </c>
      <c r="P122" s="24"/>
    </row>
    <row r="123" customFormat="false" ht="15" hidden="false" customHeight="false" outlineLevel="0" collapsed="false">
      <c r="A123" s="22"/>
      <c r="B123" s="23"/>
      <c r="C123" s="24"/>
      <c r="D123" s="24"/>
      <c r="E123" s="24"/>
      <c r="F123" s="24"/>
      <c r="G123" s="25"/>
      <c r="H123" s="25"/>
      <c r="I123" s="24"/>
      <c r="J123" s="24"/>
      <c r="K123" s="25"/>
      <c r="L123" s="25"/>
      <c r="M123" s="26" t="str">
        <f aca="false">IF(G123="","",G123-N(H123))</f>
        <v/>
      </c>
      <c r="N123" s="26" t="str">
        <f aca="false">IF(G123="","",G123-N(K123)-N(L123))</f>
        <v/>
      </c>
      <c r="O123" s="27" t="str">
        <f aca="false">IF(G123="","",IF(N(H123)&gt;=G123,"Pago",IF(N(H123)&gt;0,"Parcial","Pendente")))</f>
        <v/>
      </c>
      <c r="P123" s="24"/>
    </row>
    <row r="124" customFormat="false" ht="15" hidden="false" customHeight="false" outlineLevel="0" collapsed="false">
      <c r="A124" s="22"/>
      <c r="B124" s="23"/>
      <c r="C124" s="24"/>
      <c r="D124" s="24"/>
      <c r="E124" s="24"/>
      <c r="F124" s="24"/>
      <c r="G124" s="25"/>
      <c r="H124" s="25"/>
      <c r="I124" s="24"/>
      <c r="J124" s="24"/>
      <c r="K124" s="25"/>
      <c r="L124" s="25"/>
      <c r="M124" s="26" t="str">
        <f aca="false">IF(G124="","",G124-N(H124))</f>
        <v/>
      </c>
      <c r="N124" s="26" t="str">
        <f aca="false">IF(G124="","",G124-N(K124)-N(L124))</f>
        <v/>
      </c>
      <c r="O124" s="27" t="str">
        <f aca="false">IF(G124="","",IF(N(H124)&gt;=G124,"Pago",IF(N(H124)&gt;0,"Parcial","Pendente")))</f>
        <v/>
      </c>
      <c r="P124" s="24"/>
    </row>
    <row r="125" customFormat="false" ht="15" hidden="false" customHeight="false" outlineLevel="0" collapsed="false">
      <c r="A125" s="22"/>
      <c r="B125" s="23"/>
      <c r="C125" s="24"/>
      <c r="D125" s="24"/>
      <c r="E125" s="24"/>
      <c r="F125" s="24"/>
      <c r="G125" s="25"/>
      <c r="H125" s="25"/>
      <c r="I125" s="24"/>
      <c r="J125" s="24"/>
      <c r="K125" s="25"/>
      <c r="L125" s="25"/>
      <c r="M125" s="26" t="str">
        <f aca="false">IF(G125="","",G125-N(H125))</f>
        <v/>
      </c>
      <c r="N125" s="26" t="str">
        <f aca="false">IF(G125="","",G125-N(K125)-N(L125))</f>
        <v/>
      </c>
      <c r="O125" s="27" t="str">
        <f aca="false">IF(G125="","",IF(N(H125)&gt;=G125,"Pago",IF(N(H125)&gt;0,"Parcial","Pendente")))</f>
        <v/>
      </c>
      <c r="P125" s="24"/>
    </row>
    <row r="126" customFormat="false" ht="15" hidden="false" customHeight="false" outlineLevel="0" collapsed="false">
      <c r="A126" s="22"/>
      <c r="B126" s="23"/>
      <c r="C126" s="24"/>
      <c r="D126" s="24"/>
      <c r="E126" s="24"/>
      <c r="F126" s="24"/>
      <c r="G126" s="25"/>
      <c r="H126" s="25"/>
      <c r="I126" s="24"/>
      <c r="J126" s="24"/>
      <c r="K126" s="25"/>
      <c r="L126" s="25"/>
      <c r="M126" s="26" t="str">
        <f aca="false">IF(G126="","",G126-N(H126))</f>
        <v/>
      </c>
      <c r="N126" s="26" t="str">
        <f aca="false">IF(G126="","",G126-N(K126)-N(L126))</f>
        <v/>
      </c>
      <c r="O126" s="27" t="str">
        <f aca="false">IF(G126="","",IF(N(H126)&gt;=G126,"Pago",IF(N(H126)&gt;0,"Parcial","Pendente")))</f>
        <v/>
      </c>
      <c r="P126" s="24"/>
    </row>
    <row r="127" customFormat="false" ht="15" hidden="false" customHeight="false" outlineLevel="0" collapsed="false">
      <c r="A127" s="22"/>
      <c r="B127" s="23"/>
      <c r="C127" s="24"/>
      <c r="D127" s="24"/>
      <c r="E127" s="24"/>
      <c r="F127" s="24"/>
      <c r="G127" s="25"/>
      <c r="H127" s="25"/>
      <c r="I127" s="24"/>
      <c r="J127" s="24"/>
      <c r="K127" s="25"/>
      <c r="L127" s="25"/>
      <c r="M127" s="26" t="str">
        <f aca="false">IF(G127="","",G127-N(H127))</f>
        <v/>
      </c>
      <c r="N127" s="26" t="str">
        <f aca="false">IF(G127="","",G127-N(K127)-N(L127))</f>
        <v/>
      </c>
      <c r="O127" s="27" t="str">
        <f aca="false">IF(G127="","",IF(N(H127)&gt;=G127,"Pago",IF(N(H127)&gt;0,"Parcial","Pendente")))</f>
        <v/>
      </c>
      <c r="P127" s="24"/>
    </row>
    <row r="128" customFormat="false" ht="15" hidden="false" customHeight="false" outlineLevel="0" collapsed="false">
      <c r="A128" s="22"/>
      <c r="B128" s="23"/>
      <c r="C128" s="24"/>
      <c r="D128" s="24"/>
      <c r="E128" s="24"/>
      <c r="F128" s="24"/>
      <c r="G128" s="25"/>
      <c r="H128" s="25"/>
      <c r="I128" s="24"/>
      <c r="J128" s="24"/>
      <c r="K128" s="25"/>
      <c r="L128" s="25"/>
      <c r="M128" s="26" t="str">
        <f aca="false">IF(G128="","",G128-N(H128))</f>
        <v/>
      </c>
      <c r="N128" s="26" t="str">
        <f aca="false">IF(G128="","",G128-N(K128)-N(L128))</f>
        <v/>
      </c>
      <c r="O128" s="27" t="str">
        <f aca="false">IF(G128="","",IF(N(H128)&gt;=G128,"Pago",IF(N(H128)&gt;0,"Parcial","Pendente")))</f>
        <v/>
      </c>
      <c r="P128" s="24"/>
    </row>
    <row r="129" customFormat="false" ht="15" hidden="false" customHeight="false" outlineLevel="0" collapsed="false">
      <c r="A129" s="22"/>
      <c r="B129" s="23"/>
      <c r="C129" s="24"/>
      <c r="D129" s="24"/>
      <c r="E129" s="24"/>
      <c r="F129" s="24"/>
      <c r="G129" s="25"/>
      <c r="H129" s="25"/>
      <c r="I129" s="24"/>
      <c r="J129" s="24"/>
      <c r="K129" s="25"/>
      <c r="L129" s="25"/>
      <c r="M129" s="26" t="str">
        <f aca="false">IF(G129="","",G129-N(H129))</f>
        <v/>
      </c>
      <c r="N129" s="26" t="str">
        <f aca="false">IF(G129="","",G129-N(K129)-N(L129))</f>
        <v/>
      </c>
      <c r="O129" s="27" t="str">
        <f aca="false">IF(G129="","",IF(N(H129)&gt;=G129,"Pago",IF(N(H129)&gt;0,"Parcial","Pendente")))</f>
        <v/>
      </c>
      <c r="P129" s="24"/>
    </row>
    <row r="130" customFormat="false" ht="15" hidden="false" customHeight="false" outlineLevel="0" collapsed="false">
      <c r="A130" s="22"/>
      <c r="B130" s="23"/>
      <c r="C130" s="24"/>
      <c r="D130" s="24"/>
      <c r="E130" s="24"/>
      <c r="F130" s="24"/>
      <c r="G130" s="25"/>
      <c r="H130" s="25"/>
      <c r="I130" s="24"/>
      <c r="J130" s="24"/>
      <c r="K130" s="25"/>
      <c r="L130" s="25"/>
      <c r="M130" s="26" t="str">
        <f aca="false">IF(G130="","",G130-N(H130))</f>
        <v/>
      </c>
      <c r="N130" s="26" t="str">
        <f aca="false">IF(G130="","",G130-N(K130)-N(L130))</f>
        <v/>
      </c>
      <c r="O130" s="27" t="str">
        <f aca="false">IF(G130="","",IF(N(H130)&gt;=G130,"Pago",IF(N(H130)&gt;0,"Parcial","Pendente")))</f>
        <v/>
      </c>
      <c r="P130" s="24"/>
    </row>
    <row r="131" customFormat="false" ht="15" hidden="false" customHeight="false" outlineLevel="0" collapsed="false">
      <c r="A131" s="22"/>
      <c r="B131" s="23"/>
      <c r="C131" s="24"/>
      <c r="D131" s="24"/>
      <c r="E131" s="24"/>
      <c r="F131" s="24"/>
      <c r="G131" s="25"/>
      <c r="H131" s="25"/>
      <c r="I131" s="24"/>
      <c r="J131" s="24"/>
      <c r="K131" s="25"/>
      <c r="L131" s="25"/>
      <c r="M131" s="26" t="str">
        <f aca="false">IF(G131="","",G131-N(H131))</f>
        <v/>
      </c>
      <c r="N131" s="26" t="str">
        <f aca="false">IF(G131="","",G131-N(K131)-N(L131))</f>
        <v/>
      </c>
      <c r="O131" s="27" t="str">
        <f aca="false">IF(G131="","",IF(N(H131)&gt;=G131,"Pago",IF(N(H131)&gt;0,"Parcial","Pendente")))</f>
        <v/>
      </c>
      <c r="P131" s="24"/>
    </row>
    <row r="132" customFormat="false" ht="15" hidden="false" customHeight="false" outlineLevel="0" collapsed="false">
      <c r="A132" s="22"/>
      <c r="B132" s="23"/>
      <c r="C132" s="24"/>
      <c r="D132" s="24"/>
      <c r="E132" s="24"/>
      <c r="F132" s="24"/>
      <c r="G132" s="25"/>
      <c r="H132" s="25"/>
      <c r="I132" s="24"/>
      <c r="J132" s="24"/>
      <c r="K132" s="25"/>
      <c r="L132" s="25"/>
      <c r="M132" s="26" t="str">
        <f aca="false">IF(G132="","",G132-N(H132))</f>
        <v/>
      </c>
      <c r="N132" s="26" t="str">
        <f aca="false">IF(G132="","",G132-N(K132)-N(L132))</f>
        <v/>
      </c>
      <c r="O132" s="27" t="str">
        <f aca="false">IF(G132="","",IF(N(H132)&gt;=G132,"Pago",IF(N(H132)&gt;0,"Parcial","Pendente")))</f>
        <v/>
      </c>
      <c r="P132" s="24"/>
    </row>
    <row r="133" customFormat="false" ht="15" hidden="false" customHeight="false" outlineLevel="0" collapsed="false">
      <c r="A133" s="22"/>
      <c r="B133" s="23"/>
      <c r="C133" s="24"/>
      <c r="D133" s="24"/>
      <c r="E133" s="24"/>
      <c r="F133" s="24"/>
      <c r="G133" s="25"/>
      <c r="H133" s="25"/>
      <c r="I133" s="24"/>
      <c r="J133" s="24"/>
      <c r="K133" s="25"/>
      <c r="L133" s="25"/>
      <c r="M133" s="26" t="str">
        <f aca="false">IF(G133="","",G133-N(H133))</f>
        <v/>
      </c>
      <c r="N133" s="26" t="str">
        <f aca="false">IF(G133="","",G133-N(K133)-N(L133))</f>
        <v/>
      </c>
      <c r="O133" s="27" t="str">
        <f aca="false">IF(G133="","",IF(N(H133)&gt;=G133,"Pago",IF(N(H133)&gt;0,"Parcial","Pendente")))</f>
        <v/>
      </c>
      <c r="P133" s="24"/>
    </row>
    <row r="134" customFormat="false" ht="15" hidden="false" customHeight="false" outlineLevel="0" collapsed="false">
      <c r="A134" s="22"/>
      <c r="B134" s="23"/>
      <c r="C134" s="24"/>
      <c r="D134" s="24"/>
      <c r="E134" s="24"/>
      <c r="F134" s="24"/>
      <c r="G134" s="25"/>
      <c r="H134" s="25"/>
      <c r="I134" s="24"/>
      <c r="J134" s="24"/>
      <c r="K134" s="25"/>
      <c r="L134" s="25"/>
      <c r="M134" s="26" t="str">
        <f aca="false">IF(G134="","",G134-N(H134))</f>
        <v/>
      </c>
      <c r="N134" s="26" t="str">
        <f aca="false">IF(G134="","",G134-N(K134)-N(L134))</f>
        <v/>
      </c>
      <c r="O134" s="27" t="str">
        <f aca="false">IF(G134="","",IF(N(H134)&gt;=G134,"Pago",IF(N(H134)&gt;0,"Parcial","Pendente")))</f>
        <v/>
      </c>
      <c r="P134" s="24"/>
    </row>
    <row r="135" customFormat="false" ht="15" hidden="false" customHeight="false" outlineLevel="0" collapsed="false">
      <c r="A135" s="22"/>
      <c r="B135" s="23"/>
      <c r="C135" s="24"/>
      <c r="D135" s="24"/>
      <c r="E135" s="24"/>
      <c r="F135" s="24"/>
      <c r="G135" s="25"/>
      <c r="H135" s="25"/>
      <c r="I135" s="24"/>
      <c r="J135" s="24"/>
      <c r="K135" s="25"/>
      <c r="L135" s="25"/>
      <c r="M135" s="26" t="str">
        <f aca="false">IF(G135="","",G135-N(H135))</f>
        <v/>
      </c>
      <c r="N135" s="26" t="str">
        <f aca="false">IF(G135="","",G135-N(K135)-N(L135))</f>
        <v/>
      </c>
      <c r="O135" s="27" t="str">
        <f aca="false">IF(G135="","",IF(N(H135)&gt;=G135,"Pago",IF(N(H135)&gt;0,"Parcial","Pendente")))</f>
        <v/>
      </c>
      <c r="P135" s="24"/>
    </row>
    <row r="136" customFormat="false" ht="15" hidden="false" customHeight="false" outlineLevel="0" collapsed="false">
      <c r="A136" s="22"/>
      <c r="B136" s="23"/>
      <c r="C136" s="24"/>
      <c r="D136" s="24"/>
      <c r="E136" s="24"/>
      <c r="F136" s="24"/>
      <c r="G136" s="25"/>
      <c r="H136" s="25"/>
      <c r="I136" s="24"/>
      <c r="J136" s="24"/>
      <c r="K136" s="25"/>
      <c r="L136" s="25"/>
      <c r="M136" s="26" t="str">
        <f aca="false">IF(G136="","",G136-N(H136))</f>
        <v/>
      </c>
      <c r="N136" s="26" t="str">
        <f aca="false">IF(G136="","",G136-N(K136)-N(L136))</f>
        <v/>
      </c>
      <c r="O136" s="27" t="str">
        <f aca="false">IF(G136="","",IF(N(H136)&gt;=G136,"Pago",IF(N(H136)&gt;0,"Parcial","Pendente")))</f>
        <v/>
      </c>
      <c r="P136" s="24"/>
    </row>
    <row r="137" customFormat="false" ht="15" hidden="false" customHeight="false" outlineLevel="0" collapsed="false">
      <c r="A137" s="22"/>
      <c r="B137" s="23"/>
      <c r="C137" s="24"/>
      <c r="D137" s="24"/>
      <c r="E137" s="24"/>
      <c r="F137" s="24"/>
      <c r="G137" s="25"/>
      <c r="H137" s="25"/>
      <c r="I137" s="24"/>
      <c r="J137" s="24"/>
      <c r="K137" s="25"/>
      <c r="L137" s="25"/>
      <c r="M137" s="26" t="str">
        <f aca="false">IF(G137="","",G137-N(H137))</f>
        <v/>
      </c>
      <c r="N137" s="26" t="str">
        <f aca="false">IF(G137="","",G137-N(K137)-N(L137))</f>
        <v/>
      </c>
      <c r="O137" s="27" t="str">
        <f aca="false">IF(G137="","",IF(N(H137)&gt;=G137,"Pago",IF(N(H137)&gt;0,"Parcial","Pendente")))</f>
        <v/>
      </c>
      <c r="P137" s="24"/>
    </row>
    <row r="138" customFormat="false" ht="15" hidden="false" customHeight="false" outlineLevel="0" collapsed="false">
      <c r="A138" s="22"/>
      <c r="B138" s="23"/>
      <c r="C138" s="24"/>
      <c r="D138" s="24"/>
      <c r="E138" s="24"/>
      <c r="F138" s="24"/>
      <c r="G138" s="25"/>
      <c r="H138" s="25"/>
      <c r="I138" s="24"/>
      <c r="J138" s="24"/>
      <c r="K138" s="25"/>
      <c r="L138" s="25"/>
      <c r="M138" s="26" t="str">
        <f aca="false">IF(G138="","",G138-N(H138))</f>
        <v/>
      </c>
      <c r="N138" s="26" t="str">
        <f aca="false">IF(G138="","",G138-N(K138)-N(L138))</f>
        <v/>
      </c>
      <c r="O138" s="27" t="str">
        <f aca="false">IF(G138="","",IF(N(H138)&gt;=G138,"Pago",IF(N(H138)&gt;0,"Parcial","Pendente")))</f>
        <v/>
      </c>
      <c r="P138" s="24"/>
    </row>
    <row r="139" customFormat="false" ht="15" hidden="false" customHeight="false" outlineLevel="0" collapsed="false">
      <c r="A139" s="22"/>
      <c r="B139" s="23"/>
      <c r="C139" s="24"/>
      <c r="D139" s="24"/>
      <c r="E139" s="24"/>
      <c r="F139" s="24"/>
      <c r="G139" s="25"/>
      <c r="H139" s="25"/>
      <c r="I139" s="24"/>
      <c r="J139" s="24"/>
      <c r="K139" s="25"/>
      <c r="L139" s="25"/>
      <c r="M139" s="26" t="str">
        <f aca="false">IF(G139="","",G139-N(H139))</f>
        <v/>
      </c>
      <c r="N139" s="26" t="str">
        <f aca="false">IF(G139="","",G139-N(K139)-N(L139))</f>
        <v/>
      </c>
      <c r="O139" s="27" t="str">
        <f aca="false">IF(G139="","",IF(N(H139)&gt;=G139,"Pago",IF(N(H139)&gt;0,"Parcial","Pendente")))</f>
        <v/>
      </c>
      <c r="P139" s="24"/>
    </row>
    <row r="140" customFormat="false" ht="15" hidden="false" customHeight="false" outlineLevel="0" collapsed="false">
      <c r="A140" s="22"/>
      <c r="B140" s="23"/>
      <c r="C140" s="24"/>
      <c r="D140" s="24"/>
      <c r="E140" s="24"/>
      <c r="F140" s="24"/>
      <c r="G140" s="25"/>
      <c r="H140" s="25"/>
      <c r="I140" s="24"/>
      <c r="J140" s="24"/>
      <c r="K140" s="25"/>
      <c r="L140" s="25"/>
      <c r="M140" s="26" t="str">
        <f aca="false">IF(G140="","",G140-N(H140))</f>
        <v/>
      </c>
      <c r="N140" s="26" t="str">
        <f aca="false">IF(G140="","",G140-N(K140)-N(L140))</f>
        <v/>
      </c>
      <c r="O140" s="27" t="str">
        <f aca="false">IF(G140="","",IF(N(H140)&gt;=G140,"Pago",IF(N(H140)&gt;0,"Parcial","Pendente")))</f>
        <v/>
      </c>
      <c r="P140" s="24"/>
    </row>
    <row r="141" customFormat="false" ht="15" hidden="false" customHeight="false" outlineLevel="0" collapsed="false">
      <c r="A141" s="22"/>
      <c r="B141" s="23"/>
      <c r="C141" s="24"/>
      <c r="D141" s="24"/>
      <c r="E141" s="24"/>
      <c r="F141" s="24"/>
      <c r="G141" s="25"/>
      <c r="H141" s="25"/>
      <c r="I141" s="24"/>
      <c r="J141" s="24"/>
      <c r="K141" s="25"/>
      <c r="L141" s="25"/>
      <c r="M141" s="26" t="str">
        <f aca="false">IF(G141="","",G141-N(H141))</f>
        <v/>
      </c>
      <c r="N141" s="26" t="str">
        <f aca="false">IF(G141="","",G141-N(K141)-N(L141))</f>
        <v/>
      </c>
      <c r="O141" s="27" t="str">
        <f aca="false">IF(G141="","",IF(N(H141)&gt;=G141,"Pago",IF(N(H141)&gt;0,"Parcial","Pendente")))</f>
        <v/>
      </c>
      <c r="P141" s="24"/>
    </row>
    <row r="142" customFormat="false" ht="15" hidden="false" customHeight="false" outlineLevel="0" collapsed="false">
      <c r="A142" s="22"/>
      <c r="B142" s="23"/>
      <c r="C142" s="24"/>
      <c r="D142" s="24"/>
      <c r="E142" s="24"/>
      <c r="F142" s="24"/>
      <c r="G142" s="25"/>
      <c r="H142" s="25"/>
      <c r="I142" s="24"/>
      <c r="J142" s="24"/>
      <c r="K142" s="25"/>
      <c r="L142" s="25"/>
      <c r="M142" s="26" t="str">
        <f aca="false">IF(G142="","",G142-N(H142))</f>
        <v/>
      </c>
      <c r="N142" s="26" t="str">
        <f aca="false">IF(G142="","",G142-N(K142)-N(L142))</f>
        <v/>
      </c>
      <c r="O142" s="27" t="str">
        <f aca="false">IF(G142="","",IF(N(H142)&gt;=G142,"Pago",IF(N(H142)&gt;0,"Parcial","Pendente")))</f>
        <v/>
      </c>
      <c r="P142" s="24"/>
    </row>
    <row r="143" customFormat="false" ht="15" hidden="false" customHeight="false" outlineLevel="0" collapsed="false">
      <c r="A143" s="22"/>
      <c r="B143" s="23"/>
      <c r="C143" s="24"/>
      <c r="D143" s="24"/>
      <c r="E143" s="24"/>
      <c r="F143" s="24"/>
      <c r="G143" s="25"/>
      <c r="H143" s="25"/>
      <c r="I143" s="24"/>
      <c r="J143" s="24"/>
      <c r="K143" s="25"/>
      <c r="L143" s="25"/>
      <c r="M143" s="26" t="str">
        <f aca="false">IF(G143="","",G143-N(H143))</f>
        <v/>
      </c>
      <c r="N143" s="26" t="str">
        <f aca="false">IF(G143="","",G143-N(K143)-N(L143))</f>
        <v/>
      </c>
      <c r="O143" s="27" t="str">
        <f aca="false">IF(G143="","",IF(N(H143)&gt;=G143,"Pago",IF(N(H143)&gt;0,"Parcial","Pendente")))</f>
        <v/>
      </c>
      <c r="P143" s="24"/>
    </row>
    <row r="144" customFormat="false" ht="15" hidden="false" customHeight="false" outlineLevel="0" collapsed="false">
      <c r="A144" s="22"/>
      <c r="B144" s="23"/>
      <c r="C144" s="24"/>
      <c r="D144" s="24"/>
      <c r="E144" s="24"/>
      <c r="F144" s="24"/>
      <c r="G144" s="25"/>
      <c r="H144" s="25"/>
      <c r="I144" s="24"/>
      <c r="J144" s="24"/>
      <c r="K144" s="25"/>
      <c r="L144" s="25"/>
      <c r="M144" s="26" t="str">
        <f aca="false">IF(G144="","",G144-N(H144))</f>
        <v/>
      </c>
      <c r="N144" s="26" t="str">
        <f aca="false">IF(G144="","",G144-N(K144)-N(L144))</f>
        <v/>
      </c>
      <c r="O144" s="27" t="str">
        <f aca="false">IF(G144="","",IF(N(H144)&gt;=G144,"Pago",IF(N(H144)&gt;0,"Parcial","Pendente")))</f>
        <v/>
      </c>
      <c r="P144" s="24"/>
    </row>
    <row r="145" customFormat="false" ht="15" hidden="false" customHeight="false" outlineLevel="0" collapsed="false">
      <c r="A145" s="22"/>
      <c r="B145" s="23"/>
      <c r="C145" s="24"/>
      <c r="D145" s="24"/>
      <c r="E145" s="24"/>
      <c r="F145" s="24"/>
      <c r="G145" s="25"/>
      <c r="H145" s="25"/>
      <c r="I145" s="24"/>
      <c r="J145" s="24"/>
      <c r="K145" s="25"/>
      <c r="L145" s="25"/>
      <c r="M145" s="26" t="str">
        <f aca="false">IF(G145="","",G145-N(H145))</f>
        <v/>
      </c>
      <c r="N145" s="26" t="str">
        <f aca="false">IF(G145="","",G145-N(K145)-N(L145))</f>
        <v/>
      </c>
      <c r="O145" s="27" t="str">
        <f aca="false">IF(G145="","",IF(N(H145)&gt;=G145,"Pago",IF(N(H145)&gt;0,"Parcial","Pendente")))</f>
        <v/>
      </c>
      <c r="P145" s="24"/>
    </row>
    <row r="146" customFormat="false" ht="15" hidden="false" customHeight="false" outlineLevel="0" collapsed="false">
      <c r="A146" s="22"/>
      <c r="B146" s="23"/>
      <c r="C146" s="24"/>
      <c r="D146" s="24"/>
      <c r="E146" s="24"/>
      <c r="F146" s="24"/>
      <c r="G146" s="25"/>
      <c r="H146" s="25"/>
      <c r="I146" s="24"/>
      <c r="J146" s="24"/>
      <c r="K146" s="25"/>
      <c r="L146" s="25"/>
      <c r="M146" s="26" t="str">
        <f aca="false">IF(G146="","",G146-N(H146))</f>
        <v/>
      </c>
      <c r="N146" s="26" t="str">
        <f aca="false">IF(G146="","",G146-N(K146)-N(L146))</f>
        <v/>
      </c>
      <c r="O146" s="27" t="str">
        <f aca="false">IF(G146="","",IF(N(H146)&gt;=G146,"Pago",IF(N(H146)&gt;0,"Parcial","Pendente")))</f>
        <v/>
      </c>
      <c r="P146" s="24"/>
    </row>
    <row r="147" customFormat="false" ht="15" hidden="false" customHeight="false" outlineLevel="0" collapsed="false">
      <c r="A147" s="22"/>
      <c r="B147" s="23"/>
      <c r="C147" s="24"/>
      <c r="D147" s="24"/>
      <c r="E147" s="24"/>
      <c r="F147" s="24"/>
      <c r="G147" s="25"/>
      <c r="H147" s="25"/>
      <c r="I147" s="24"/>
      <c r="J147" s="24"/>
      <c r="K147" s="25"/>
      <c r="L147" s="25"/>
      <c r="M147" s="26" t="str">
        <f aca="false">IF(G147="","",G147-N(H147))</f>
        <v/>
      </c>
      <c r="N147" s="26" t="str">
        <f aca="false">IF(G147="","",G147-N(K147)-N(L147))</f>
        <v/>
      </c>
      <c r="O147" s="27" t="str">
        <f aca="false">IF(G147="","",IF(N(H147)&gt;=G147,"Pago",IF(N(H147)&gt;0,"Parcial","Pendente")))</f>
        <v/>
      </c>
      <c r="P147" s="24"/>
    </row>
    <row r="148" customFormat="false" ht="15" hidden="false" customHeight="false" outlineLevel="0" collapsed="false">
      <c r="A148" s="22"/>
      <c r="B148" s="23"/>
      <c r="C148" s="24"/>
      <c r="D148" s="24"/>
      <c r="E148" s="24"/>
      <c r="F148" s="24"/>
      <c r="G148" s="25"/>
      <c r="H148" s="25"/>
      <c r="I148" s="24"/>
      <c r="J148" s="24"/>
      <c r="K148" s="25"/>
      <c r="L148" s="25"/>
      <c r="M148" s="26" t="str">
        <f aca="false">IF(G148="","",G148-N(H148))</f>
        <v/>
      </c>
      <c r="N148" s="26" t="str">
        <f aca="false">IF(G148="","",G148-N(K148)-N(L148))</f>
        <v/>
      </c>
      <c r="O148" s="27" t="str">
        <f aca="false">IF(G148="","",IF(N(H148)&gt;=G148,"Pago",IF(N(H148)&gt;0,"Parcial","Pendente")))</f>
        <v/>
      </c>
      <c r="P148" s="24"/>
    </row>
    <row r="149" customFormat="false" ht="15" hidden="false" customHeight="false" outlineLevel="0" collapsed="false">
      <c r="A149" s="22"/>
      <c r="B149" s="23"/>
      <c r="C149" s="24"/>
      <c r="D149" s="24"/>
      <c r="E149" s="24"/>
      <c r="F149" s="24"/>
      <c r="G149" s="25"/>
      <c r="H149" s="25"/>
      <c r="I149" s="24"/>
      <c r="J149" s="24"/>
      <c r="K149" s="25"/>
      <c r="L149" s="25"/>
      <c r="M149" s="26" t="str">
        <f aca="false">IF(G149="","",G149-N(H149))</f>
        <v/>
      </c>
      <c r="N149" s="26" t="str">
        <f aca="false">IF(G149="","",G149-N(K149)-N(L149))</f>
        <v/>
      </c>
      <c r="O149" s="27" t="str">
        <f aca="false">IF(G149="","",IF(N(H149)&gt;=G149,"Pago",IF(N(H149)&gt;0,"Parcial","Pendente")))</f>
        <v/>
      </c>
      <c r="P149" s="24"/>
    </row>
    <row r="150" customFormat="false" ht="15" hidden="false" customHeight="false" outlineLevel="0" collapsed="false">
      <c r="A150" s="22"/>
      <c r="B150" s="23"/>
      <c r="C150" s="24"/>
      <c r="D150" s="24"/>
      <c r="E150" s="24"/>
      <c r="F150" s="24"/>
      <c r="G150" s="25"/>
      <c r="H150" s="25"/>
      <c r="I150" s="24"/>
      <c r="J150" s="24"/>
      <c r="K150" s="25"/>
      <c r="L150" s="25"/>
      <c r="M150" s="26" t="str">
        <f aca="false">IF(G150="","",G150-N(H150))</f>
        <v/>
      </c>
      <c r="N150" s="26" t="str">
        <f aca="false">IF(G150="","",G150-N(K150)-N(L150))</f>
        <v/>
      </c>
      <c r="O150" s="27" t="str">
        <f aca="false">IF(G150="","",IF(N(H150)&gt;=G150,"Pago",IF(N(H150)&gt;0,"Parcial","Pendente")))</f>
        <v/>
      </c>
      <c r="P150" s="24"/>
    </row>
    <row r="151" customFormat="false" ht="15" hidden="false" customHeight="false" outlineLevel="0" collapsed="false">
      <c r="A151" s="22"/>
      <c r="B151" s="23"/>
      <c r="C151" s="24"/>
      <c r="D151" s="24"/>
      <c r="E151" s="24"/>
      <c r="F151" s="24"/>
      <c r="G151" s="25"/>
      <c r="H151" s="25"/>
      <c r="I151" s="24"/>
      <c r="J151" s="24"/>
      <c r="K151" s="25"/>
      <c r="L151" s="25"/>
      <c r="M151" s="26" t="str">
        <f aca="false">IF(G151="","",G151-N(H151))</f>
        <v/>
      </c>
      <c r="N151" s="26" t="str">
        <f aca="false">IF(G151="","",G151-N(K151)-N(L151))</f>
        <v/>
      </c>
      <c r="O151" s="27" t="str">
        <f aca="false">IF(G151="","",IF(N(H151)&gt;=G151,"Pago",IF(N(H151)&gt;0,"Parcial","Pendente")))</f>
        <v/>
      </c>
      <c r="P151" s="24"/>
    </row>
    <row r="152" customFormat="false" ht="15" hidden="false" customHeight="false" outlineLevel="0" collapsed="false">
      <c r="A152" s="22"/>
      <c r="B152" s="23"/>
      <c r="C152" s="24"/>
      <c r="D152" s="24"/>
      <c r="E152" s="24"/>
      <c r="F152" s="24"/>
      <c r="G152" s="25"/>
      <c r="H152" s="25"/>
      <c r="I152" s="24"/>
      <c r="J152" s="24"/>
      <c r="K152" s="25"/>
      <c r="L152" s="25"/>
      <c r="M152" s="26" t="str">
        <f aca="false">IF(G152="","",G152-N(H152))</f>
        <v/>
      </c>
      <c r="N152" s="26" t="str">
        <f aca="false">IF(G152="","",G152-N(K152)-N(L152))</f>
        <v/>
      </c>
      <c r="O152" s="27" t="str">
        <f aca="false">IF(G152="","",IF(N(H152)&gt;=G152,"Pago",IF(N(H152)&gt;0,"Parcial","Pendente")))</f>
        <v/>
      </c>
      <c r="P152" s="24"/>
    </row>
    <row r="153" customFormat="false" ht="15" hidden="false" customHeight="false" outlineLevel="0" collapsed="false">
      <c r="A153" s="22"/>
      <c r="B153" s="23"/>
      <c r="C153" s="24"/>
      <c r="D153" s="24"/>
      <c r="E153" s="24"/>
      <c r="F153" s="24"/>
      <c r="G153" s="25"/>
      <c r="H153" s="25"/>
      <c r="I153" s="24"/>
      <c r="J153" s="24"/>
      <c r="K153" s="25"/>
      <c r="L153" s="25"/>
      <c r="M153" s="26" t="str">
        <f aca="false">IF(G153="","",G153-N(H153))</f>
        <v/>
      </c>
      <c r="N153" s="26" t="str">
        <f aca="false">IF(G153="","",G153-N(K153)-N(L153))</f>
        <v/>
      </c>
      <c r="O153" s="27" t="str">
        <f aca="false">IF(G153="","",IF(N(H153)&gt;=G153,"Pago",IF(N(H153)&gt;0,"Parcial","Pendente")))</f>
        <v/>
      </c>
      <c r="P153" s="24"/>
    </row>
    <row r="154" customFormat="false" ht="15" hidden="false" customHeight="false" outlineLevel="0" collapsed="false">
      <c r="A154" s="22"/>
      <c r="B154" s="23"/>
      <c r="C154" s="24"/>
      <c r="D154" s="24"/>
      <c r="E154" s="24"/>
      <c r="F154" s="24"/>
      <c r="G154" s="25"/>
      <c r="H154" s="25"/>
      <c r="I154" s="24"/>
      <c r="J154" s="24"/>
      <c r="K154" s="25"/>
      <c r="L154" s="25"/>
      <c r="M154" s="26" t="str">
        <f aca="false">IF(G154="","",G154-N(H154))</f>
        <v/>
      </c>
      <c r="N154" s="26" t="str">
        <f aca="false">IF(G154="","",G154-N(K154)-N(L154))</f>
        <v/>
      </c>
      <c r="O154" s="27" t="str">
        <f aca="false">IF(G154="","",IF(N(H154)&gt;=G154,"Pago",IF(N(H154)&gt;0,"Parcial","Pendente")))</f>
        <v/>
      </c>
      <c r="P154" s="24"/>
    </row>
    <row r="155" customFormat="false" ht="15" hidden="false" customHeight="false" outlineLevel="0" collapsed="false">
      <c r="A155" s="22"/>
      <c r="B155" s="23"/>
      <c r="C155" s="24"/>
      <c r="D155" s="24"/>
      <c r="E155" s="24"/>
      <c r="F155" s="24"/>
      <c r="G155" s="25"/>
      <c r="H155" s="25"/>
      <c r="I155" s="24"/>
      <c r="J155" s="24"/>
      <c r="K155" s="25"/>
      <c r="L155" s="25"/>
      <c r="M155" s="26" t="str">
        <f aca="false">IF(G155="","",G155-N(H155))</f>
        <v/>
      </c>
      <c r="N155" s="26" t="str">
        <f aca="false">IF(G155="","",G155-N(K155)-N(L155))</f>
        <v/>
      </c>
      <c r="O155" s="27" t="str">
        <f aca="false">IF(G155="","",IF(N(H155)&gt;=G155,"Pago",IF(N(H155)&gt;0,"Parcial","Pendente")))</f>
        <v/>
      </c>
      <c r="P155" s="24"/>
    </row>
    <row r="156" customFormat="false" ht="15" hidden="false" customHeight="false" outlineLevel="0" collapsed="false">
      <c r="A156" s="22"/>
      <c r="B156" s="23"/>
      <c r="C156" s="24"/>
      <c r="D156" s="24"/>
      <c r="E156" s="24"/>
      <c r="F156" s="24"/>
      <c r="G156" s="25"/>
      <c r="H156" s="25"/>
      <c r="I156" s="24"/>
      <c r="J156" s="24"/>
      <c r="K156" s="25"/>
      <c r="L156" s="25"/>
      <c r="M156" s="26" t="str">
        <f aca="false">IF(G156="","",G156-N(H156))</f>
        <v/>
      </c>
      <c r="N156" s="26" t="str">
        <f aca="false">IF(G156="","",G156-N(K156)-N(L156))</f>
        <v/>
      </c>
      <c r="O156" s="27" t="str">
        <f aca="false">IF(G156="","",IF(N(H156)&gt;=G156,"Pago",IF(N(H156)&gt;0,"Parcial","Pendente")))</f>
        <v/>
      </c>
      <c r="P156" s="24"/>
    </row>
    <row r="157" customFormat="false" ht="15" hidden="false" customHeight="false" outlineLevel="0" collapsed="false">
      <c r="A157" s="22"/>
      <c r="B157" s="23"/>
      <c r="C157" s="24"/>
      <c r="D157" s="24"/>
      <c r="E157" s="24"/>
      <c r="F157" s="24"/>
      <c r="G157" s="25"/>
      <c r="H157" s="25"/>
      <c r="I157" s="24"/>
      <c r="J157" s="24"/>
      <c r="K157" s="25"/>
      <c r="L157" s="25"/>
      <c r="M157" s="26" t="str">
        <f aca="false">IF(G157="","",G157-N(H157))</f>
        <v/>
      </c>
      <c r="N157" s="26" t="str">
        <f aca="false">IF(G157="","",G157-N(K157)-N(L157))</f>
        <v/>
      </c>
      <c r="O157" s="27" t="str">
        <f aca="false">IF(G157="","",IF(N(H157)&gt;=G157,"Pago",IF(N(H157)&gt;0,"Parcial","Pendente")))</f>
        <v/>
      </c>
      <c r="P157" s="24"/>
    </row>
    <row r="158" customFormat="false" ht="15" hidden="false" customHeight="false" outlineLevel="0" collapsed="false">
      <c r="A158" s="22"/>
      <c r="B158" s="23"/>
      <c r="C158" s="24"/>
      <c r="D158" s="24"/>
      <c r="E158" s="24"/>
      <c r="F158" s="24"/>
      <c r="G158" s="25"/>
      <c r="H158" s="25"/>
      <c r="I158" s="24"/>
      <c r="J158" s="24"/>
      <c r="K158" s="25"/>
      <c r="L158" s="25"/>
      <c r="M158" s="26" t="str">
        <f aca="false">IF(G158="","",G158-N(H158))</f>
        <v/>
      </c>
      <c r="N158" s="26" t="str">
        <f aca="false">IF(G158="","",G158-N(K158)-N(L158))</f>
        <v/>
      </c>
      <c r="O158" s="27" t="str">
        <f aca="false">IF(G158="","",IF(N(H158)&gt;=G158,"Pago",IF(N(H158)&gt;0,"Parcial","Pendente")))</f>
        <v/>
      </c>
      <c r="P158" s="24"/>
    </row>
    <row r="159" customFormat="false" ht="15" hidden="false" customHeight="false" outlineLevel="0" collapsed="false">
      <c r="A159" s="22"/>
      <c r="B159" s="23"/>
      <c r="C159" s="24"/>
      <c r="D159" s="24"/>
      <c r="E159" s="24"/>
      <c r="F159" s="24"/>
      <c r="G159" s="25"/>
      <c r="H159" s="25"/>
      <c r="I159" s="24"/>
      <c r="J159" s="24"/>
      <c r="K159" s="25"/>
      <c r="L159" s="25"/>
      <c r="M159" s="26" t="str">
        <f aca="false">IF(G159="","",G159-N(H159))</f>
        <v/>
      </c>
      <c r="N159" s="26" t="str">
        <f aca="false">IF(G159="","",G159-N(K159)-N(L159))</f>
        <v/>
      </c>
      <c r="O159" s="27" t="str">
        <f aca="false">IF(G159="","",IF(N(H159)&gt;=G159,"Pago",IF(N(H159)&gt;0,"Parcial","Pendente")))</f>
        <v/>
      </c>
      <c r="P159" s="24"/>
    </row>
    <row r="160" customFormat="false" ht="15" hidden="false" customHeight="false" outlineLevel="0" collapsed="false">
      <c r="A160" s="22"/>
      <c r="B160" s="23"/>
      <c r="C160" s="24"/>
      <c r="D160" s="24"/>
      <c r="E160" s="24"/>
      <c r="F160" s="24"/>
      <c r="G160" s="25"/>
      <c r="H160" s="25"/>
      <c r="I160" s="24"/>
      <c r="J160" s="24"/>
      <c r="K160" s="25"/>
      <c r="L160" s="25"/>
      <c r="M160" s="26" t="str">
        <f aca="false">IF(G160="","",G160-N(H160))</f>
        <v/>
      </c>
      <c r="N160" s="26" t="str">
        <f aca="false">IF(G160="","",G160-N(K160)-N(L160))</f>
        <v/>
      </c>
      <c r="O160" s="27" t="str">
        <f aca="false">IF(G160="","",IF(N(H160)&gt;=G160,"Pago",IF(N(H160)&gt;0,"Parcial","Pendente")))</f>
        <v/>
      </c>
      <c r="P160" s="24"/>
    </row>
    <row r="161" customFormat="false" ht="15" hidden="false" customHeight="false" outlineLevel="0" collapsed="false">
      <c r="A161" s="22"/>
      <c r="B161" s="23"/>
      <c r="C161" s="24"/>
      <c r="D161" s="24"/>
      <c r="E161" s="24"/>
      <c r="F161" s="24"/>
      <c r="G161" s="25"/>
      <c r="H161" s="25"/>
      <c r="I161" s="24"/>
      <c r="J161" s="24"/>
      <c r="K161" s="25"/>
      <c r="L161" s="25"/>
      <c r="M161" s="26" t="str">
        <f aca="false">IF(G161="","",G161-N(H161))</f>
        <v/>
      </c>
      <c r="N161" s="26" t="str">
        <f aca="false">IF(G161="","",G161-N(K161)-N(L161))</f>
        <v/>
      </c>
      <c r="O161" s="27" t="str">
        <f aca="false">IF(G161="","",IF(N(H161)&gt;=G161,"Pago",IF(N(H161)&gt;0,"Parcial","Pendente")))</f>
        <v/>
      </c>
      <c r="P161" s="24"/>
    </row>
    <row r="162" customFormat="false" ht="15" hidden="false" customHeight="false" outlineLevel="0" collapsed="false">
      <c r="A162" s="22"/>
      <c r="B162" s="23"/>
      <c r="C162" s="24"/>
      <c r="D162" s="24"/>
      <c r="E162" s="24"/>
      <c r="F162" s="24"/>
      <c r="G162" s="25"/>
      <c r="H162" s="25"/>
      <c r="I162" s="24"/>
      <c r="J162" s="24"/>
      <c r="K162" s="25"/>
      <c r="L162" s="25"/>
      <c r="M162" s="26" t="str">
        <f aca="false">IF(G162="","",G162-N(H162))</f>
        <v/>
      </c>
      <c r="N162" s="26" t="str">
        <f aca="false">IF(G162="","",G162-N(K162)-N(L162))</f>
        <v/>
      </c>
      <c r="O162" s="27" t="str">
        <f aca="false">IF(G162="","",IF(N(H162)&gt;=G162,"Pago",IF(N(H162)&gt;0,"Parcial","Pendente")))</f>
        <v/>
      </c>
      <c r="P162" s="24"/>
    </row>
    <row r="163" customFormat="false" ht="15" hidden="false" customHeight="false" outlineLevel="0" collapsed="false">
      <c r="A163" s="22"/>
      <c r="B163" s="23"/>
      <c r="C163" s="24"/>
      <c r="D163" s="24"/>
      <c r="E163" s="24"/>
      <c r="F163" s="24"/>
      <c r="G163" s="25"/>
      <c r="H163" s="25"/>
      <c r="I163" s="24"/>
      <c r="J163" s="24"/>
      <c r="K163" s="25"/>
      <c r="L163" s="25"/>
      <c r="M163" s="26" t="str">
        <f aca="false">IF(G163="","",G163-N(H163))</f>
        <v/>
      </c>
      <c r="N163" s="26" t="str">
        <f aca="false">IF(G163="","",G163-N(K163)-N(L163))</f>
        <v/>
      </c>
      <c r="O163" s="27" t="str">
        <f aca="false">IF(G163="","",IF(N(H163)&gt;=G163,"Pago",IF(N(H163)&gt;0,"Parcial","Pendente")))</f>
        <v/>
      </c>
      <c r="P163" s="24"/>
    </row>
    <row r="164" customFormat="false" ht="15" hidden="false" customHeight="false" outlineLevel="0" collapsed="false">
      <c r="A164" s="22"/>
      <c r="B164" s="23"/>
      <c r="C164" s="24"/>
      <c r="D164" s="24"/>
      <c r="E164" s="24"/>
      <c r="F164" s="24"/>
      <c r="G164" s="25"/>
      <c r="H164" s="25"/>
      <c r="I164" s="24"/>
      <c r="J164" s="24"/>
      <c r="K164" s="25"/>
      <c r="L164" s="25"/>
      <c r="M164" s="26" t="str">
        <f aca="false">IF(G164="","",G164-N(H164))</f>
        <v/>
      </c>
      <c r="N164" s="26" t="str">
        <f aca="false">IF(G164="","",G164-N(K164)-N(L164))</f>
        <v/>
      </c>
      <c r="O164" s="27" t="str">
        <f aca="false">IF(G164="","",IF(N(H164)&gt;=G164,"Pago",IF(N(H164)&gt;0,"Parcial","Pendente")))</f>
        <v/>
      </c>
      <c r="P164" s="24"/>
    </row>
    <row r="165" customFormat="false" ht="15" hidden="false" customHeight="false" outlineLevel="0" collapsed="false">
      <c r="A165" s="22"/>
      <c r="B165" s="23"/>
      <c r="C165" s="24"/>
      <c r="D165" s="24"/>
      <c r="E165" s="24"/>
      <c r="F165" s="24"/>
      <c r="G165" s="25"/>
      <c r="H165" s="25"/>
      <c r="I165" s="24"/>
      <c r="J165" s="24"/>
      <c r="K165" s="25"/>
      <c r="L165" s="25"/>
      <c r="M165" s="26" t="str">
        <f aca="false">IF(G165="","",G165-N(H165))</f>
        <v/>
      </c>
      <c r="N165" s="26" t="str">
        <f aca="false">IF(G165="","",G165-N(K165)-N(L165))</f>
        <v/>
      </c>
      <c r="O165" s="27" t="str">
        <f aca="false">IF(G165="","",IF(N(H165)&gt;=G165,"Pago",IF(N(H165)&gt;0,"Parcial","Pendente")))</f>
        <v/>
      </c>
      <c r="P165" s="24"/>
    </row>
    <row r="166" customFormat="false" ht="15" hidden="false" customHeight="false" outlineLevel="0" collapsed="false">
      <c r="A166" s="22"/>
      <c r="B166" s="23"/>
      <c r="C166" s="24"/>
      <c r="D166" s="24"/>
      <c r="E166" s="24"/>
      <c r="F166" s="24"/>
      <c r="G166" s="25"/>
      <c r="H166" s="25"/>
      <c r="I166" s="24"/>
      <c r="J166" s="24"/>
      <c r="K166" s="25"/>
      <c r="L166" s="25"/>
      <c r="M166" s="26" t="str">
        <f aca="false">IF(G166="","",G166-N(H166))</f>
        <v/>
      </c>
      <c r="N166" s="26" t="str">
        <f aca="false">IF(G166="","",G166-N(K166)-N(L166))</f>
        <v/>
      </c>
      <c r="O166" s="27" t="str">
        <f aca="false">IF(G166="","",IF(N(H166)&gt;=G166,"Pago",IF(N(H166)&gt;0,"Parcial","Pendente")))</f>
        <v/>
      </c>
      <c r="P166" s="24"/>
    </row>
    <row r="167" customFormat="false" ht="15" hidden="false" customHeight="false" outlineLevel="0" collapsed="false">
      <c r="A167" s="22"/>
      <c r="B167" s="23"/>
      <c r="C167" s="24"/>
      <c r="D167" s="24"/>
      <c r="E167" s="24"/>
      <c r="F167" s="24"/>
      <c r="G167" s="25"/>
      <c r="H167" s="25"/>
      <c r="I167" s="24"/>
      <c r="J167" s="24"/>
      <c r="K167" s="25"/>
      <c r="L167" s="25"/>
      <c r="M167" s="26" t="str">
        <f aca="false">IF(G167="","",G167-N(H167))</f>
        <v/>
      </c>
      <c r="N167" s="26" t="str">
        <f aca="false">IF(G167="","",G167-N(K167)-N(L167))</f>
        <v/>
      </c>
      <c r="O167" s="27" t="str">
        <f aca="false">IF(G167="","",IF(N(H167)&gt;=G167,"Pago",IF(N(H167)&gt;0,"Parcial","Pendente")))</f>
        <v/>
      </c>
      <c r="P167" s="24"/>
    </row>
    <row r="168" customFormat="false" ht="15" hidden="false" customHeight="false" outlineLevel="0" collapsed="false">
      <c r="A168" s="22"/>
      <c r="B168" s="23"/>
      <c r="C168" s="24"/>
      <c r="D168" s="24"/>
      <c r="E168" s="24"/>
      <c r="F168" s="24"/>
      <c r="G168" s="25"/>
      <c r="H168" s="25"/>
      <c r="I168" s="24"/>
      <c r="J168" s="24"/>
      <c r="K168" s="25"/>
      <c r="L168" s="25"/>
      <c r="M168" s="26" t="str">
        <f aca="false">IF(G168="","",G168-N(H168))</f>
        <v/>
      </c>
      <c r="N168" s="26" t="str">
        <f aca="false">IF(G168="","",G168-N(K168)-N(L168))</f>
        <v/>
      </c>
      <c r="O168" s="27" t="str">
        <f aca="false">IF(G168="","",IF(N(H168)&gt;=G168,"Pago",IF(N(H168)&gt;0,"Parcial","Pendente")))</f>
        <v/>
      </c>
      <c r="P168" s="24"/>
    </row>
    <row r="169" customFormat="false" ht="15" hidden="false" customHeight="false" outlineLevel="0" collapsed="false">
      <c r="A169" s="22"/>
      <c r="B169" s="23"/>
      <c r="C169" s="24"/>
      <c r="D169" s="24"/>
      <c r="E169" s="24"/>
      <c r="F169" s="24"/>
      <c r="G169" s="25"/>
      <c r="H169" s="25"/>
      <c r="I169" s="24"/>
      <c r="J169" s="24"/>
      <c r="K169" s="25"/>
      <c r="L169" s="25"/>
      <c r="M169" s="26" t="str">
        <f aca="false">IF(G169="","",G169-N(H169))</f>
        <v/>
      </c>
      <c r="N169" s="26" t="str">
        <f aca="false">IF(G169="","",G169-N(K169)-N(L169))</f>
        <v/>
      </c>
      <c r="O169" s="27" t="str">
        <f aca="false">IF(G169="","",IF(N(H169)&gt;=G169,"Pago",IF(N(H169)&gt;0,"Parcial","Pendente")))</f>
        <v/>
      </c>
      <c r="P169" s="24"/>
    </row>
    <row r="170" customFormat="false" ht="15" hidden="false" customHeight="false" outlineLevel="0" collapsed="false">
      <c r="A170" s="22"/>
      <c r="B170" s="23"/>
      <c r="C170" s="24"/>
      <c r="D170" s="24"/>
      <c r="E170" s="24"/>
      <c r="F170" s="24"/>
      <c r="G170" s="25"/>
      <c r="H170" s="25"/>
      <c r="I170" s="24"/>
      <c r="J170" s="24"/>
      <c r="K170" s="25"/>
      <c r="L170" s="25"/>
      <c r="M170" s="26" t="str">
        <f aca="false">IF(G170="","",G170-N(H170))</f>
        <v/>
      </c>
      <c r="N170" s="26" t="str">
        <f aca="false">IF(G170="","",G170-N(K170)-N(L170))</f>
        <v/>
      </c>
      <c r="O170" s="27" t="str">
        <f aca="false">IF(G170="","",IF(N(H170)&gt;=G170,"Pago",IF(N(H170)&gt;0,"Parcial","Pendente")))</f>
        <v/>
      </c>
      <c r="P170" s="24"/>
    </row>
    <row r="171" customFormat="false" ht="15" hidden="false" customHeight="false" outlineLevel="0" collapsed="false">
      <c r="A171" s="22"/>
      <c r="B171" s="23"/>
      <c r="C171" s="24"/>
      <c r="D171" s="24"/>
      <c r="E171" s="24"/>
      <c r="F171" s="24"/>
      <c r="G171" s="25"/>
      <c r="H171" s="25"/>
      <c r="I171" s="24"/>
      <c r="J171" s="24"/>
      <c r="K171" s="25"/>
      <c r="L171" s="25"/>
      <c r="M171" s="26" t="str">
        <f aca="false">IF(G171="","",G171-N(H171))</f>
        <v/>
      </c>
      <c r="N171" s="26" t="str">
        <f aca="false">IF(G171="","",G171-N(K171)-N(L171))</f>
        <v/>
      </c>
      <c r="O171" s="27" t="str">
        <f aca="false">IF(G171="","",IF(N(H171)&gt;=G171,"Pago",IF(N(H171)&gt;0,"Parcial","Pendente")))</f>
        <v/>
      </c>
      <c r="P171" s="24"/>
    </row>
    <row r="172" customFormat="false" ht="15" hidden="false" customHeight="false" outlineLevel="0" collapsed="false">
      <c r="A172" s="22"/>
      <c r="B172" s="23"/>
      <c r="C172" s="24"/>
      <c r="D172" s="24"/>
      <c r="E172" s="24"/>
      <c r="F172" s="24"/>
      <c r="G172" s="25"/>
      <c r="H172" s="25"/>
      <c r="I172" s="24"/>
      <c r="J172" s="24"/>
      <c r="K172" s="25"/>
      <c r="L172" s="25"/>
      <c r="M172" s="26" t="str">
        <f aca="false">IF(G172="","",G172-N(H172))</f>
        <v/>
      </c>
      <c r="N172" s="26" t="str">
        <f aca="false">IF(G172="","",G172-N(K172)-N(L172))</f>
        <v/>
      </c>
      <c r="O172" s="27" t="str">
        <f aca="false">IF(G172="","",IF(N(H172)&gt;=G172,"Pago",IF(N(H172)&gt;0,"Parcial","Pendente")))</f>
        <v/>
      </c>
      <c r="P172" s="24"/>
    </row>
    <row r="173" customFormat="false" ht="15" hidden="false" customHeight="false" outlineLevel="0" collapsed="false">
      <c r="A173" s="22"/>
      <c r="B173" s="23"/>
      <c r="C173" s="24"/>
      <c r="D173" s="24"/>
      <c r="E173" s="24"/>
      <c r="F173" s="24"/>
      <c r="G173" s="25"/>
      <c r="H173" s="25"/>
      <c r="I173" s="24"/>
      <c r="J173" s="24"/>
      <c r="K173" s="25"/>
      <c r="L173" s="25"/>
      <c r="M173" s="26" t="str">
        <f aca="false">IF(G173="","",G173-N(H173))</f>
        <v/>
      </c>
      <c r="N173" s="26" t="str">
        <f aca="false">IF(G173="","",G173-N(K173)-N(L173))</f>
        <v/>
      </c>
      <c r="O173" s="27" t="str">
        <f aca="false">IF(G173="","",IF(N(H173)&gt;=G173,"Pago",IF(N(H173)&gt;0,"Parcial","Pendente")))</f>
        <v/>
      </c>
      <c r="P173" s="24"/>
    </row>
    <row r="174" customFormat="false" ht="15" hidden="false" customHeight="false" outlineLevel="0" collapsed="false">
      <c r="A174" s="22"/>
      <c r="B174" s="23"/>
      <c r="C174" s="24"/>
      <c r="D174" s="24"/>
      <c r="E174" s="24"/>
      <c r="F174" s="24"/>
      <c r="G174" s="25"/>
      <c r="H174" s="25"/>
      <c r="I174" s="24"/>
      <c r="J174" s="24"/>
      <c r="K174" s="25"/>
      <c r="L174" s="25"/>
      <c r="M174" s="26" t="str">
        <f aca="false">IF(G174="","",G174-N(H174))</f>
        <v/>
      </c>
      <c r="N174" s="26" t="str">
        <f aca="false">IF(G174="","",G174-N(K174)-N(L174))</f>
        <v/>
      </c>
      <c r="O174" s="27" t="str">
        <f aca="false">IF(G174="","",IF(N(H174)&gt;=G174,"Pago",IF(N(H174)&gt;0,"Parcial","Pendente")))</f>
        <v/>
      </c>
      <c r="P174" s="24"/>
    </row>
    <row r="175" customFormat="false" ht="15" hidden="false" customHeight="false" outlineLevel="0" collapsed="false">
      <c r="A175" s="22"/>
      <c r="B175" s="23"/>
      <c r="C175" s="24"/>
      <c r="D175" s="24"/>
      <c r="E175" s="24"/>
      <c r="F175" s="24"/>
      <c r="G175" s="25"/>
      <c r="H175" s="25"/>
      <c r="I175" s="24"/>
      <c r="J175" s="24"/>
      <c r="K175" s="25"/>
      <c r="L175" s="25"/>
      <c r="M175" s="26" t="str">
        <f aca="false">IF(G175="","",G175-N(H175))</f>
        <v/>
      </c>
      <c r="N175" s="26" t="str">
        <f aca="false">IF(G175="","",G175-N(K175)-N(L175))</f>
        <v/>
      </c>
      <c r="O175" s="27" t="str">
        <f aca="false">IF(G175="","",IF(N(H175)&gt;=G175,"Pago",IF(N(H175)&gt;0,"Parcial","Pendente")))</f>
        <v/>
      </c>
      <c r="P175" s="24"/>
    </row>
    <row r="176" customFormat="false" ht="15" hidden="false" customHeight="false" outlineLevel="0" collapsed="false">
      <c r="A176" s="22"/>
      <c r="B176" s="23"/>
      <c r="C176" s="24"/>
      <c r="D176" s="24"/>
      <c r="E176" s="24"/>
      <c r="F176" s="24"/>
      <c r="G176" s="25"/>
      <c r="H176" s="25"/>
      <c r="I176" s="24"/>
      <c r="J176" s="24"/>
      <c r="K176" s="25"/>
      <c r="L176" s="25"/>
      <c r="M176" s="26" t="str">
        <f aca="false">IF(G176="","",G176-N(H176))</f>
        <v/>
      </c>
      <c r="N176" s="26" t="str">
        <f aca="false">IF(G176="","",G176-N(K176)-N(L176))</f>
        <v/>
      </c>
      <c r="O176" s="27" t="str">
        <f aca="false">IF(G176="","",IF(N(H176)&gt;=G176,"Pago",IF(N(H176)&gt;0,"Parcial","Pendente")))</f>
        <v/>
      </c>
      <c r="P176" s="24"/>
    </row>
    <row r="177" customFormat="false" ht="15" hidden="false" customHeight="false" outlineLevel="0" collapsed="false">
      <c r="A177" s="22"/>
      <c r="B177" s="23"/>
      <c r="C177" s="24"/>
      <c r="D177" s="24"/>
      <c r="E177" s="24"/>
      <c r="F177" s="24"/>
      <c r="G177" s="25"/>
      <c r="H177" s="25"/>
      <c r="I177" s="24"/>
      <c r="J177" s="24"/>
      <c r="K177" s="25"/>
      <c r="L177" s="25"/>
      <c r="M177" s="26" t="str">
        <f aca="false">IF(G177="","",G177-N(H177))</f>
        <v/>
      </c>
      <c r="N177" s="26" t="str">
        <f aca="false">IF(G177="","",G177-N(K177)-N(L177))</f>
        <v/>
      </c>
      <c r="O177" s="27" t="str">
        <f aca="false">IF(G177="","",IF(N(H177)&gt;=G177,"Pago",IF(N(H177)&gt;0,"Parcial","Pendente")))</f>
        <v/>
      </c>
      <c r="P177" s="24"/>
    </row>
    <row r="178" customFormat="false" ht="15" hidden="false" customHeight="false" outlineLevel="0" collapsed="false">
      <c r="A178" s="22"/>
      <c r="B178" s="23"/>
      <c r="C178" s="24"/>
      <c r="D178" s="24"/>
      <c r="E178" s="24"/>
      <c r="F178" s="24"/>
      <c r="G178" s="25"/>
      <c r="H178" s="25"/>
      <c r="I178" s="24"/>
      <c r="J178" s="24"/>
      <c r="K178" s="25"/>
      <c r="L178" s="25"/>
      <c r="M178" s="26" t="str">
        <f aca="false">IF(G178="","",G178-N(H178))</f>
        <v/>
      </c>
      <c r="N178" s="26" t="str">
        <f aca="false">IF(G178="","",G178-N(K178)-N(L178))</f>
        <v/>
      </c>
      <c r="O178" s="27" t="str">
        <f aca="false">IF(G178="","",IF(N(H178)&gt;=G178,"Pago",IF(N(H178)&gt;0,"Parcial","Pendente")))</f>
        <v/>
      </c>
      <c r="P178" s="24"/>
    </row>
    <row r="179" customFormat="false" ht="15" hidden="false" customHeight="false" outlineLevel="0" collapsed="false">
      <c r="A179" s="22"/>
      <c r="B179" s="23"/>
      <c r="C179" s="24"/>
      <c r="D179" s="24"/>
      <c r="E179" s="24"/>
      <c r="F179" s="24"/>
      <c r="G179" s="25"/>
      <c r="H179" s="25"/>
      <c r="I179" s="24"/>
      <c r="J179" s="24"/>
      <c r="K179" s="25"/>
      <c r="L179" s="25"/>
      <c r="M179" s="26" t="str">
        <f aca="false">IF(G179="","",G179-N(H179))</f>
        <v/>
      </c>
      <c r="N179" s="26" t="str">
        <f aca="false">IF(G179="","",G179-N(K179)-N(L179))</f>
        <v/>
      </c>
      <c r="O179" s="27" t="str">
        <f aca="false">IF(G179="","",IF(N(H179)&gt;=G179,"Pago",IF(N(H179)&gt;0,"Parcial","Pendente")))</f>
        <v/>
      </c>
      <c r="P179" s="24"/>
    </row>
    <row r="180" customFormat="false" ht="15" hidden="false" customHeight="false" outlineLevel="0" collapsed="false">
      <c r="A180" s="22"/>
      <c r="B180" s="23"/>
      <c r="C180" s="24"/>
      <c r="D180" s="24"/>
      <c r="E180" s="24"/>
      <c r="F180" s="24"/>
      <c r="G180" s="25"/>
      <c r="H180" s="25"/>
      <c r="I180" s="24"/>
      <c r="J180" s="24"/>
      <c r="K180" s="25"/>
      <c r="L180" s="25"/>
      <c r="M180" s="26" t="str">
        <f aca="false">IF(G180="","",G180-N(H180))</f>
        <v/>
      </c>
      <c r="N180" s="26" t="str">
        <f aca="false">IF(G180="","",G180-N(K180)-N(L180))</f>
        <v/>
      </c>
      <c r="O180" s="27" t="str">
        <f aca="false">IF(G180="","",IF(N(H180)&gt;=G180,"Pago",IF(N(H180)&gt;0,"Parcial","Pendente")))</f>
        <v/>
      </c>
      <c r="P180" s="24"/>
    </row>
    <row r="181" customFormat="false" ht="15" hidden="false" customHeight="false" outlineLevel="0" collapsed="false">
      <c r="A181" s="22"/>
      <c r="B181" s="23"/>
      <c r="C181" s="24"/>
      <c r="D181" s="24"/>
      <c r="E181" s="24"/>
      <c r="F181" s="24"/>
      <c r="G181" s="25"/>
      <c r="H181" s="25"/>
      <c r="I181" s="24"/>
      <c r="J181" s="24"/>
      <c r="K181" s="25"/>
      <c r="L181" s="25"/>
      <c r="M181" s="26" t="str">
        <f aca="false">IF(G181="","",G181-N(H181))</f>
        <v/>
      </c>
      <c r="N181" s="26" t="str">
        <f aca="false">IF(G181="","",G181-N(K181)-N(L181))</f>
        <v/>
      </c>
      <c r="O181" s="27" t="str">
        <f aca="false">IF(G181="","",IF(N(H181)&gt;=G181,"Pago",IF(N(H181)&gt;0,"Parcial","Pendente")))</f>
        <v/>
      </c>
      <c r="P181" s="24"/>
    </row>
    <row r="182" customFormat="false" ht="15" hidden="false" customHeight="false" outlineLevel="0" collapsed="false">
      <c r="A182" s="22"/>
      <c r="B182" s="23"/>
      <c r="C182" s="24"/>
      <c r="D182" s="24"/>
      <c r="E182" s="24"/>
      <c r="F182" s="24"/>
      <c r="G182" s="25"/>
      <c r="H182" s="25"/>
      <c r="I182" s="24"/>
      <c r="J182" s="24"/>
      <c r="K182" s="25"/>
      <c r="L182" s="25"/>
      <c r="M182" s="26" t="str">
        <f aca="false">IF(G182="","",G182-N(H182))</f>
        <v/>
      </c>
      <c r="N182" s="26" t="str">
        <f aca="false">IF(G182="","",G182-N(K182)-N(L182))</f>
        <v/>
      </c>
      <c r="O182" s="27" t="str">
        <f aca="false">IF(G182="","",IF(N(H182)&gt;=G182,"Pago",IF(N(H182)&gt;0,"Parcial","Pendente")))</f>
        <v/>
      </c>
      <c r="P182" s="24"/>
    </row>
    <row r="183" customFormat="false" ht="15" hidden="false" customHeight="false" outlineLevel="0" collapsed="false">
      <c r="A183" s="22"/>
      <c r="B183" s="23"/>
      <c r="C183" s="24"/>
      <c r="D183" s="24"/>
      <c r="E183" s="24"/>
      <c r="F183" s="24"/>
      <c r="G183" s="25"/>
      <c r="H183" s="25"/>
      <c r="I183" s="24"/>
      <c r="J183" s="24"/>
      <c r="K183" s="25"/>
      <c r="L183" s="25"/>
      <c r="M183" s="26" t="str">
        <f aca="false">IF(G183="","",G183-N(H183))</f>
        <v/>
      </c>
      <c r="N183" s="26" t="str">
        <f aca="false">IF(G183="","",G183-N(K183)-N(L183))</f>
        <v/>
      </c>
      <c r="O183" s="27" t="str">
        <f aca="false">IF(G183="","",IF(N(H183)&gt;=G183,"Pago",IF(N(H183)&gt;0,"Parcial","Pendente")))</f>
        <v/>
      </c>
      <c r="P183" s="24"/>
    </row>
    <row r="184" customFormat="false" ht="15" hidden="false" customHeight="false" outlineLevel="0" collapsed="false">
      <c r="A184" s="22"/>
      <c r="B184" s="23"/>
      <c r="C184" s="24"/>
      <c r="D184" s="24"/>
      <c r="E184" s="24"/>
      <c r="F184" s="24"/>
      <c r="G184" s="25"/>
      <c r="H184" s="25"/>
      <c r="I184" s="24"/>
      <c r="J184" s="24"/>
      <c r="K184" s="25"/>
      <c r="L184" s="25"/>
      <c r="M184" s="26" t="str">
        <f aca="false">IF(G184="","",G184-N(H184))</f>
        <v/>
      </c>
      <c r="N184" s="26" t="str">
        <f aca="false">IF(G184="","",G184-N(K184)-N(L184))</f>
        <v/>
      </c>
      <c r="O184" s="27" t="str">
        <f aca="false">IF(G184="","",IF(N(H184)&gt;=G184,"Pago",IF(N(H184)&gt;0,"Parcial","Pendente")))</f>
        <v/>
      </c>
      <c r="P184" s="24"/>
    </row>
    <row r="185" customFormat="false" ht="15" hidden="false" customHeight="false" outlineLevel="0" collapsed="false">
      <c r="A185" s="22"/>
      <c r="B185" s="23"/>
      <c r="C185" s="24"/>
      <c r="D185" s="24"/>
      <c r="E185" s="24"/>
      <c r="F185" s="24"/>
      <c r="G185" s="25"/>
      <c r="H185" s="25"/>
      <c r="I185" s="24"/>
      <c r="J185" s="24"/>
      <c r="K185" s="25"/>
      <c r="L185" s="25"/>
      <c r="M185" s="26" t="str">
        <f aca="false">IF(G185="","",G185-N(H185))</f>
        <v/>
      </c>
      <c r="N185" s="26" t="str">
        <f aca="false">IF(G185="","",G185-N(K185)-N(L185))</f>
        <v/>
      </c>
      <c r="O185" s="27" t="str">
        <f aca="false">IF(G185="","",IF(N(H185)&gt;=G185,"Pago",IF(N(H185)&gt;0,"Parcial","Pendente")))</f>
        <v/>
      </c>
      <c r="P185" s="24"/>
    </row>
    <row r="186" customFormat="false" ht="15" hidden="false" customHeight="false" outlineLevel="0" collapsed="false">
      <c r="A186" s="22"/>
      <c r="B186" s="23"/>
      <c r="C186" s="24"/>
      <c r="D186" s="24"/>
      <c r="E186" s="24"/>
      <c r="F186" s="24"/>
      <c r="G186" s="25"/>
      <c r="H186" s="25"/>
      <c r="I186" s="24"/>
      <c r="J186" s="24"/>
      <c r="K186" s="25"/>
      <c r="L186" s="25"/>
      <c r="M186" s="26" t="str">
        <f aca="false">IF(G186="","",G186-N(H186))</f>
        <v/>
      </c>
      <c r="N186" s="26" t="str">
        <f aca="false">IF(G186="","",G186-N(K186)-N(L186))</f>
        <v/>
      </c>
      <c r="O186" s="27" t="str">
        <f aca="false">IF(G186="","",IF(N(H186)&gt;=G186,"Pago",IF(N(H186)&gt;0,"Parcial","Pendente")))</f>
        <v/>
      </c>
      <c r="P186" s="24"/>
    </row>
    <row r="187" customFormat="false" ht="15" hidden="false" customHeight="false" outlineLevel="0" collapsed="false">
      <c r="A187" s="22"/>
      <c r="B187" s="23"/>
      <c r="C187" s="24"/>
      <c r="D187" s="24"/>
      <c r="E187" s="24"/>
      <c r="F187" s="24"/>
      <c r="G187" s="25"/>
      <c r="H187" s="25"/>
      <c r="I187" s="24"/>
      <c r="J187" s="24"/>
      <c r="K187" s="25"/>
      <c r="L187" s="25"/>
      <c r="M187" s="26" t="str">
        <f aca="false">IF(G187="","",G187-N(H187))</f>
        <v/>
      </c>
      <c r="N187" s="26" t="str">
        <f aca="false">IF(G187="","",G187-N(K187)-N(L187))</f>
        <v/>
      </c>
      <c r="O187" s="27" t="str">
        <f aca="false">IF(G187="","",IF(N(H187)&gt;=G187,"Pago",IF(N(H187)&gt;0,"Parcial","Pendente")))</f>
        <v/>
      </c>
      <c r="P187" s="24"/>
    </row>
    <row r="188" customFormat="false" ht="15" hidden="false" customHeight="false" outlineLevel="0" collapsed="false">
      <c r="A188" s="22"/>
      <c r="B188" s="23"/>
      <c r="C188" s="24"/>
      <c r="D188" s="24"/>
      <c r="E188" s="24"/>
      <c r="F188" s="24"/>
      <c r="G188" s="25"/>
      <c r="H188" s="25"/>
      <c r="I188" s="24"/>
      <c r="J188" s="24"/>
      <c r="K188" s="25"/>
      <c r="L188" s="25"/>
      <c r="M188" s="26" t="str">
        <f aca="false">IF(G188="","",G188-N(H188))</f>
        <v/>
      </c>
      <c r="N188" s="26" t="str">
        <f aca="false">IF(G188="","",G188-N(K188)-N(L188))</f>
        <v/>
      </c>
      <c r="O188" s="27" t="str">
        <f aca="false">IF(G188="","",IF(N(H188)&gt;=G188,"Pago",IF(N(H188)&gt;0,"Parcial","Pendente")))</f>
        <v/>
      </c>
      <c r="P188" s="24"/>
    </row>
    <row r="189" customFormat="false" ht="15" hidden="false" customHeight="false" outlineLevel="0" collapsed="false">
      <c r="A189" s="22"/>
      <c r="B189" s="23"/>
      <c r="C189" s="24"/>
      <c r="D189" s="24"/>
      <c r="E189" s="24"/>
      <c r="F189" s="24"/>
      <c r="G189" s="25"/>
      <c r="H189" s="25"/>
      <c r="I189" s="24"/>
      <c r="J189" s="24"/>
      <c r="K189" s="25"/>
      <c r="L189" s="25"/>
      <c r="M189" s="26" t="str">
        <f aca="false">IF(G189="","",G189-N(H189))</f>
        <v/>
      </c>
      <c r="N189" s="26" t="str">
        <f aca="false">IF(G189="","",G189-N(K189)-N(L189))</f>
        <v/>
      </c>
      <c r="O189" s="27" t="str">
        <f aca="false">IF(G189="","",IF(N(H189)&gt;=G189,"Pago",IF(N(H189)&gt;0,"Parcial","Pendente")))</f>
        <v/>
      </c>
      <c r="P189" s="24"/>
    </row>
    <row r="190" customFormat="false" ht="15" hidden="false" customHeight="false" outlineLevel="0" collapsed="false">
      <c r="A190" s="22"/>
      <c r="B190" s="23"/>
      <c r="C190" s="24"/>
      <c r="D190" s="24"/>
      <c r="E190" s="24"/>
      <c r="F190" s="24"/>
      <c r="G190" s="25"/>
      <c r="H190" s="25"/>
      <c r="I190" s="24"/>
      <c r="J190" s="24"/>
      <c r="K190" s="25"/>
      <c r="L190" s="25"/>
      <c r="M190" s="26" t="str">
        <f aca="false">IF(G190="","",G190-N(H190))</f>
        <v/>
      </c>
      <c r="N190" s="26" t="str">
        <f aca="false">IF(G190="","",G190-N(K190)-N(L190))</f>
        <v/>
      </c>
      <c r="O190" s="27" t="str">
        <f aca="false">IF(G190="","",IF(N(H190)&gt;=G190,"Pago",IF(N(H190)&gt;0,"Parcial","Pendente")))</f>
        <v/>
      </c>
      <c r="P190" s="24"/>
    </row>
    <row r="191" customFormat="false" ht="15" hidden="false" customHeight="false" outlineLevel="0" collapsed="false">
      <c r="A191" s="22"/>
      <c r="B191" s="23"/>
      <c r="C191" s="24"/>
      <c r="D191" s="24"/>
      <c r="E191" s="24"/>
      <c r="F191" s="24"/>
      <c r="G191" s="25"/>
      <c r="H191" s="25"/>
      <c r="I191" s="24"/>
      <c r="J191" s="24"/>
      <c r="K191" s="25"/>
      <c r="L191" s="25"/>
      <c r="M191" s="26" t="str">
        <f aca="false">IF(G191="","",G191-N(H191))</f>
        <v/>
      </c>
      <c r="N191" s="26" t="str">
        <f aca="false">IF(G191="","",G191-N(K191)-N(L191))</f>
        <v/>
      </c>
      <c r="O191" s="27" t="str">
        <f aca="false">IF(G191="","",IF(N(H191)&gt;=G191,"Pago",IF(N(H191)&gt;0,"Parcial","Pendente")))</f>
        <v/>
      </c>
      <c r="P191" s="24"/>
    </row>
    <row r="192" customFormat="false" ht="15" hidden="false" customHeight="false" outlineLevel="0" collapsed="false">
      <c r="A192" s="22"/>
      <c r="B192" s="23"/>
      <c r="C192" s="24"/>
      <c r="D192" s="24"/>
      <c r="E192" s="24"/>
      <c r="F192" s="24"/>
      <c r="G192" s="25"/>
      <c r="H192" s="25"/>
      <c r="I192" s="24"/>
      <c r="J192" s="24"/>
      <c r="K192" s="25"/>
      <c r="L192" s="25"/>
      <c r="M192" s="26" t="str">
        <f aca="false">IF(G192="","",G192-N(H192))</f>
        <v/>
      </c>
      <c r="N192" s="26" t="str">
        <f aca="false">IF(G192="","",G192-N(K192)-N(L192))</f>
        <v/>
      </c>
      <c r="O192" s="27" t="str">
        <f aca="false">IF(G192="","",IF(N(H192)&gt;=G192,"Pago",IF(N(H192)&gt;0,"Parcial","Pendente")))</f>
        <v/>
      </c>
      <c r="P192" s="24"/>
    </row>
    <row r="193" customFormat="false" ht="15" hidden="false" customHeight="false" outlineLevel="0" collapsed="false">
      <c r="A193" s="22"/>
      <c r="B193" s="23"/>
      <c r="C193" s="24"/>
      <c r="D193" s="24"/>
      <c r="E193" s="24"/>
      <c r="F193" s="24"/>
      <c r="G193" s="25"/>
      <c r="H193" s="25"/>
      <c r="I193" s="24"/>
      <c r="J193" s="24"/>
      <c r="K193" s="25"/>
      <c r="L193" s="25"/>
      <c r="M193" s="26" t="str">
        <f aca="false">IF(G193="","",G193-N(H193))</f>
        <v/>
      </c>
      <c r="N193" s="26" t="str">
        <f aca="false">IF(G193="","",G193-N(K193)-N(L193))</f>
        <v/>
      </c>
      <c r="O193" s="27" t="str">
        <f aca="false">IF(G193="","",IF(N(H193)&gt;=G193,"Pago",IF(N(H193)&gt;0,"Parcial","Pendente")))</f>
        <v/>
      </c>
      <c r="P193" s="24"/>
    </row>
    <row r="194" customFormat="false" ht="15" hidden="false" customHeight="false" outlineLevel="0" collapsed="false">
      <c r="A194" s="22"/>
      <c r="B194" s="23"/>
      <c r="C194" s="24"/>
      <c r="D194" s="24"/>
      <c r="E194" s="24"/>
      <c r="F194" s="24"/>
      <c r="G194" s="25"/>
      <c r="H194" s="25"/>
      <c r="I194" s="24"/>
      <c r="J194" s="24"/>
      <c r="K194" s="25"/>
      <c r="L194" s="25"/>
      <c r="M194" s="26" t="str">
        <f aca="false">IF(G194="","",G194-N(H194))</f>
        <v/>
      </c>
      <c r="N194" s="26" t="str">
        <f aca="false">IF(G194="","",G194-N(K194)-N(L194))</f>
        <v/>
      </c>
      <c r="O194" s="27" t="str">
        <f aca="false">IF(G194="","",IF(N(H194)&gt;=G194,"Pago",IF(N(H194)&gt;0,"Parcial","Pendente")))</f>
        <v/>
      </c>
      <c r="P194" s="24"/>
    </row>
    <row r="195" customFormat="false" ht="15" hidden="false" customHeight="false" outlineLevel="0" collapsed="false">
      <c r="A195" s="22"/>
      <c r="B195" s="23"/>
      <c r="C195" s="24"/>
      <c r="D195" s="24"/>
      <c r="E195" s="24"/>
      <c r="F195" s="24"/>
      <c r="G195" s="25"/>
      <c r="H195" s="25"/>
      <c r="I195" s="24"/>
      <c r="J195" s="24"/>
      <c r="K195" s="25"/>
      <c r="L195" s="25"/>
      <c r="M195" s="26" t="str">
        <f aca="false">IF(G195="","",G195-N(H195))</f>
        <v/>
      </c>
      <c r="N195" s="26" t="str">
        <f aca="false">IF(G195="","",G195-N(K195)-N(L195))</f>
        <v/>
      </c>
      <c r="O195" s="27" t="str">
        <f aca="false">IF(G195="","",IF(N(H195)&gt;=G195,"Pago",IF(N(H195)&gt;0,"Parcial","Pendente")))</f>
        <v/>
      </c>
      <c r="P195" s="24"/>
    </row>
    <row r="196" customFormat="false" ht="15" hidden="false" customHeight="false" outlineLevel="0" collapsed="false">
      <c r="A196" s="22"/>
      <c r="B196" s="23"/>
      <c r="C196" s="24"/>
      <c r="D196" s="24"/>
      <c r="E196" s="24"/>
      <c r="F196" s="24"/>
      <c r="G196" s="25"/>
      <c r="H196" s="25"/>
      <c r="I196" s="24"/>
      <c r="J196" s="24"/>
      <c r="K196" s="25"/>
      <c r="L196" s="25"/>
      <c r="M196" s="26" t="str">
        <f aca="false">IF(G196="","",G196-N(H196))</f>
        <v/>
      </c>
      <c r="N196" s="26" t="str">
        <f aca="false">IF(G196="","",G196-N(K196)-N(L196))</f>
        <v/>
      </c>
      <c r="O196" s="27" t="str">
        <f aca="false">IF(G196="","",IF(N(H196)&gt;=G196,"Pago",IF(N(H196)&gt;0,"Parcial","Pendente")))</f>
        <v/>
      </c>
      <c r="P196" s="24"/>
    </row>
    <row r="197" customFormat="false" ht="15" hidden="false" customHeight="false" outlineLevel="0" collapsed="false">
      <c r="A197" s="22"/>
      <c r="B197" s="23"/>
      <c r="C197" s="24"/>
      <c r="D197" s="24"/>
      <c r="E197" s="24"/>
      <c r="F197" s="24"/>
      <c r="G197" s="25"/>
      <c r="H197" s="25"/>
      <c r="I197" s="24"/>
      <c r="J197" s="24"/>
      <c r="K197" s="25"/>
      <c r="L197" s="25"/>
      <c r="M197" s="26" t="str">
        <f aca="false">IF(G197="","",G197-N(H197))</f>
        <v/>
      </c>
      <c r="N197" s="26" t="str">
        <f aca="false">IF(G197="","",G197-N(K197)-N(L197))</f>
        <v/>
      </c>
      <c r="O197" s="27" t="str">
        <f aca="false">IF(G197="","",IF(N(H197)&gt;=G197,"Pago",IF(N(H197)&gt;0,"Parcial","Pendente")))</f>
        <v/>
      </c>
      <c r="P197" s="24"/>
    </row>
    <row r="198" customFormat="false" ht="15" hidden="false" customHeight="false" outlineLevel="0" collapsed="false">
      <c r="A198" s="22"/>
      <c r="B198" s="23"/>
      <c r="C198" s="24"/>
      <c r="D198" s="24"/>
      <c r="E198" s="24"/>
      <c r="F198" s="24"/>
      <c r="G198" s="25"/>
      <c r="H198" s="25"/>
      <c r="I198" s="24"/>
      <c r="J198" s="24"/>
      <c r="K198" s="25"/>
      <c r="L198" s="25"/>
      <c r="M198" s="26" t="str">
        <f aca="false">IF(G198="","",G198-N(H198))</f>
        <v/>
      </c>
      <c r="N198" s="26" t="str">
        <f aca="false">IF(G198="","",G198-N(K198)-N(L198))</f>
        <v/>
      </c>
      <c r="O198" s="27" t="str">
        <f aca="false">IF(G198="","",IF(N(H198)&gt;=G198,"Pago",IF(N(H198)&gt;0,"Parcial","Pendente")))</f>
        <v/>
      </c>
      <c r="P198" s="24"/>
    </row>
    <row r="199" customFormat="false" ht="15" hidden="false" customHeight="false" outlineLevel="0" collapsed="false">
      <c r="A199" s="22"/>
      <c r="B199" s="23"/>
      <c r="C199" s="24"/>
      <c r="D199" s="24"/>
      <c r="E199" s="24"/>
      <c r="F199" s="24"/>
      <c r="G199" s="25"/>
      <c r="H199" s="25"/>
      <c r="I199" s="24"/>
      <c r="J199" s="24"/>
      <c r="K199" s="25"/>
      <c r="L199" s="25"/>
      <c r="M199" s="26" t="str">
        <f aca="false">IF(G199="","",G199-N(H199))</f>
        <v/>
      </c>
      <c r="N199" s="26" t="str">
        <f aca="false">IF(G199="","",G199-N(K199)-N(L199))</f>
        <v/>
      </c>
      <c r="O199" s="27" t="str">
        <f aca="false">IF(G199="","",IF(N(H199)&gt;=G199,"Pago",IF(N(H199)&gt;0,"Parcial","Pendente")))</f>
        <v/>
      </c>
      <c r="P199" s="24"/>
    </row>
    <row r="200" customFormat="false" ht="15" hidden="false" customHeight="false" outlineLevel="0" collapsed="false">
      <c r="A200" s="22"/>
      <c r="B200" s="23"/>
      <c r="C200" s="24"/>
      <c r="D200" s="24"/>
      <c r="E200" s="24"/>
      <c r="F200" s="24"/>
      <c r="G200" s="25"/>
      <c r="H200" s="25"/>
      <c r="I200" s="24"/>
      <c r="J200" s="24"/>
      <c r="K200" s="25"/>
      <c r="L200" s="25"/>
      <c r="M200" s="26" t="str">
        <f aca="false">IF(G200="","",G200-N(H200))</f>
        <v/>
      </c>
      <c r="N200" s="26" t="str">
        <f aca="false">IF(G200="","",G200-N(K200)-N(L200))</f>
        <v/>
      </c>
      <c r="O200" s="27" t="str">
        <f aca="false">IF(G200="","",IF(N(H200)&gt;=G200,"Pago",IF(N(H200)&gt;0,"Parcial","Pendente")))</f>
        <v/>
      </c>
      <c r="P200" s="24"/>
    </row>
    <row r="201" customFormat="false" ht="15" hidden="false" customHeight="false" outlineLevel="0" collapsed="false">
      <c r="A201" s="22"/>
      <c r="B201" s="23"/>
      <c r="C201" s="24"/>
      <c r="D201" s="24"/>
      <c r="E201" s="24"/>
      <c r="F201" s="24"/>
      <c r="G201" s="25"/>
      <c r="H201" s="25"/>
      <c r="I201" s="24"/>
      <c r="J201" s="24"/>
      <c r="K201" s="25"/>
      <c r="L201" s="25"/>
      <c r="M201" s="26" t="str">
        <f aca="false">IF(G201="","",G201-N(H201))</f>
        <v/>
      </c>
      <c r="N201" s="26" t="str">
        <f aca="false">IF(G201="","",G201-N(K201)-N(L201))</f>
        <v/>
      </c>
      <c r="O201" s="27" t="str">
        <f aca="false">IF(G201="","",IF(N(H201)&gt;=G201,"Pago",IF(N(H201)&gt;0,"Parcial","Pendente")))</f>
        <v/>
      </c>
      <c r="P201" s="24"/>
    </row>
    <row r="202" customFormat="false" ht="15" hidden="false" customHeight="false" outlineLevel="0" collapsed="false">
      <c r="A202" s="22"/>
      <c r="B202" s="23"/>
      <c r="C202" s="24"/>
      <c r="D202" s="24"/>
      <c r="E202" s="24"/>
      <c r="F202" s="24"/>
      <c r="G202" s="25"/>
      <c r="H202" s="25"/>
      <c r="I202" s="24"/>
      <c r="J202" s="24"/>
      <c r="K202" s="25"/>
      <c r="L202" s="25"/>
      <c r="M202" s="26" t="str">
        <f aca="false">IF(G202="","",G202-N(H202))</f>
        <v/>
      </c>
      <c r="N202" s="26" t="str">
        <f aca="false">IF(G202="","",G202-N(K202)-N(L202))</f>
        <v/>
      </c>
      <c r="O202" s="27" t="str">
        <f aca="false">IF(G202="","",IF(N(H202)&gt;=G202,"Pago",IF(N(H202)&gt;0,"Parcial","Pendente")))</f>
        <v/>
      </c>
      <c r="P202" s="24"/>
    </row>
    <row r="203" customFormat="false" ht="15" hidden="false" customHeight="false" outlineLevel="0" collapsed="false">
      <c r="A203" s="22"/>
      <c r="B203" s="23"/>
      <c r="C203" s="24"/>
      <c r="D203" s="24"/>
      <c r="E203" s="24"/>
      <c r="F203" s="24"/>
      <c r="G203" s="25"/>
      <c r="H203" s="25"/>
      <c r="I203" s="24"/>
      <c r="J203" s="24"/>
      <c r="K203" s="25"/>
      <c r="L203" s="25"/>
      <c r="M203" s="26" t="str">
        <f aca="false">IF(G203="","",G203-N(H203))</f>
        <v/>
      </c>
      <c r="N203" s="26" t="str">
        <f aca="false">IF(G203="","",G203-N(K203)-N(L203))</f>
        <v/>
      </c>
      <c r="O203" s="27" t="str">
        <f aca="false">IF(G203="","",IF(N(H203)&gt;=G203,"Pago",IF(N(H203)&gt;0,"Parcial","Pendente")))</f>
        <v/>
      </c>
      <c r="P203" s="24"/>
    </row>
    <row r="204" customFormat="false" ht="15" hidden="false" customHeight="false" outlineLevel="0" collapsed="false">
      <c r="A204" s="22"/>
      <c r="B204" s="23"/>
      <c r="C204" s="24"/>
      <c r="D204" s="24"/>
      <c r="E204" s="24"/>
      <c r="F204" s="24"/>
      <c r="G204" s="25"/>
      <c r="H204" s="25"/>
      <c r="I204" s="24"/>
      <c r="J204" s="24"/>
      <c r="K204" s="25"/>
      <c r="L204" s="25"/>
      <c r="M204" s="26" t="str">
        <f aca="false">IF(G204="","",G204-N(H204))</f>
        <v/>
      </c>
      <c r="N204" s="26" t="str">
        <f aca="false">IF(G204="","",G204-N(K204)-N(L204))</f>
        <v/>
      </c>
      <c r="O204" s="27" t="str">
        <f aca="false">IF(G204="","",IF(N(H204)&gt;=G204,"Pago",IF(N(H204)&gt;0,"Parcial","Pendente")))</f>
        <v/>
      </c>
      <c r="P204" s="24"/>
    </row>
    <row r="205" customFormat="false" ht="15" hidden="false" customHeight="false" outlineLevel="0" collapsed="false">
      <c r="A205" s="22"/>
      <c r="B205" s="23"/>
      <c r="C205" s="24"/>
      <c r="D205" s="24"/>
      <c r="E205" s="24"/>
      <c r="F205" s="24"/>
      <c r="G205" s="25"/>
      <c r="H205" s="25"/>
      <c r="I205" s="24"/>
      <c r="J205" s="24"/>
      <c r="K205" s="25"/>
      <c r="L205" s="25"/>
      <c r="M205" s="26" t="str">
        <f aca="false">IF(G205="","",G205-N(H205))</f>
        <v/>
      </c>
      <c r="N205" s="26" t="str">
        <f aca="false">IF(G205="","",G205-N(K205)-N(L205))</f>
        <v/>
      </c>
      <c r="O205" s="27" t="str">
        <f aca="false">IF(G205="","",IF(N(H205)&gt;=G205,"Pago",IF(N(H205)&gt;0,"Parcial","Pendente")))</f>
        <v/>
      </c>
      <c r="P205" s="24"/>
    </row>
    <row r="206" customFormat="false" ht="15" hidden="false" customHeight="false" outlineLevel="0" collapsed="false">
      <c r="A206" s="22"/>
      <c r="B206" s="23"/>
      <c r="C206" s="24"/>
      <c r="D206" s="24"/>
      <c r="E206" s="24"/>
      <c r="F206" s="24"/>
      <c r="G206" s="25"/>
      <c r="H206" s="25"/>
      <c r="I206" s="24"/>
      <c r="J206" s="24"/>
      <c r="K206" s="25"/>
      <c r="L206" s="25"/>
      <c r="M206" s="26" t="str">
        <f aca="false">IF(G206="","",G206-N(H206))</f>
        <v/>
      </c>
      <c r="N206" s="26" t="str">
        <f aca="false">IF(G206="","",G206-N(K206)-N(L206))</f>
        <v/>
      </c>
      <c r="O206" s="27" t="str">
        <f aca="false">IF(G206="","",IF(N(H206)&gt;=G206,"Pago",IF(N(H206)&gt;0,"Parcial","Pendente")))</f>
        <v/>
      </c>
      <c r="P206" s="24"/>
    </row>
    <row r="207" customFormat="false" ht="15" hidden="false" customHeight="false" outlineLevel="0" collapsed="false">
      <c r="A207" s="22"/>
      <c r="B207" s="23"/>
      <c r="C207" s="24"/>
      <c r="D207" s="24"/>
      <c r="E207" s="24"/>
      <c r="F207" s="24"/>
      <c r="G207" s="25"/>
      <c r="H207" s="25"/>
      <c r="I207" s="24"/>
      <c r="J207" s="24"/>
      <c r="K207" s="25"/>
      <c r="L207" s="25"/>
      <c r="M207" s="26" t="str">
        <f aca="false">IF(G207="","",G207-N(H207))</f>
        <v/>
      </c>
      <c r="N207" s="26" t="str">
        <f aca="false">IF(G207="","",G207-N(K207)-N(L207))</f>
        <v/>
      </c>
      <c r="O207" s="27" t="str">
        <f aca="false">IF(G207="","",IF(N(H207)&gt;=G207,"Pago",IF(N(H207)&gt;0,"Parcial","Pendente")))</f>
        <v/>
      </c>
      <c r="P207" s="24"/>
    </row>
    <row r="208" customFormat="false" ht="15" hidden="false" customHeight="false" outlineLevel="0" collapsed="false">
      <c r="A208" s="22"/>
      <c r="B208" s="23"/>
      <c r="C208" s="24"/>
      <c r="D208" s="24"/>
      <c r="E208" s="24"/>
      <c r="F208" s="24"/>
      <c r="G208" s="25"/>
      <c r="H208" s="25"/>
      <c r="I208" s="24"/>
      <c r="J208" s="24"/>
      <c r="K208" s="25"/>
      <c r="L208" s="25"/>
      <c r="M208" s="26" t="str">
        <f aca="false">IF(G208="","",G208-N(H208))</f>
        <v/>
      </c>
      <c r="N208" s="26" t="str">
        <f aca="false">IF(G208="","",G208-N(K208)-N(L208))</f>
        <v/>
      </c>
      <c r="O208" s="27" t="str">
        <f aca="false">IF(G208="","",IF(N(H208)&gt;=G208,"Pago",IF(N(H208)&gt;0,"Parcial","Pendente")))</f>
        <v/>
      </c>
      <c r="P208" s="24"/>
    </row>
    <row r="209" customFormat="false" ht="15" hidden="false" customHeight="false" outlineLevel="0" collapsed="false">
      <c r="A209" s="22"/>
      <c r="B209" s="23"/>
      <c r="C209" s="24"/>
      <c r="D209" s="24"/>
      <c r="E209" s="24"/>
      <c r="F209" s="24"/>
      <c r="G209" s="25"/>
      <c r="H209" s="25"/>
      <c r="I209" s="24"/>
      <c r="J209" s="24"/>
      <c r="K209" s="25"/>
      <c r="L209" s="25"/>
      <c r="M209" s="26" t="str">
        <f aca="false">IF(G209="","",G209-N(H209))</f>
        <v/>
      </c>
      <c r="N209" s="26" t="str">
        <f aca="false">IF(G209="","",G209-N(K209)-N(L209))</f>
        <v/>
      </c>
      <c r="O209" s="27" t="str">
        <f aca="false">IF(G209="","",IF(N(H209)&gt;=G209,"Pago",IF(N(H209)&gt;0,"Parcial","Pendente")))</f>
        <v/>
      </c>
      <c r="P209" s="24"/>
    </row>
    <row r="210" customFormat="false" ht="15" hidden="false" customHeight="false" outlineLevel="0" collapsed="false">
      <c r="A210" s="22"/>
      <c r="B210" s="23"/>
      <c r="C210" s="24"/>
      <c r="D210" s="24"/>
      <c r="E210" s="24"/>
      <c r="F210" s="24"/>
      <c r="G210" s="25"/>
      <c r="H210" s="25"/>
      <c r="I210" s="24"/>
      <c r="J210" s="24"/>
      <c r="K210" s="25"/>
      <c r="L210" s="25"/>
      <c r="M210" s="26" t="str">
        <f aca="false">IF(G210="","",G210-N(H210))</f>
        <v/>
      </c>
      <c r="N210" s="26" t="str">
        <f aca="false">IF(G210="","",G210-N(K210)-N(L210))</f>
        <v/>
      </c>
      <c r="O210" s="27" t="str">
        <f aca="false">IF(G210="","",IF(N(H210)&gt;=G210,"Pago",IF(N(H210)&gt;0,"Parcial","Pendente")))</f>
        <v/>
      </c>
      <c r="P210" s="24"/>
    </row>
    <row r="211" customFormat="false" ht="15" hidden="false" customHeight="false" outlineLevel="0" collapsed="false">
      <c r="A211" s="22"/>
      <c r="B211" s="23"/>
      <c r="C211" s="24"/>
      <c r="D211" s="24"/>
      <c r="E211" s="24"/>
      <c r="F211" s="24"/>
      <c r="G211" s="25"/>
      <c r="H211" s="25"/>
      <c r="I211" s="24"/>
      <c r="J211" s="24"/>
      <c r="K211" s="25"/>
      <c r="L211" s="25"/>
      <c r="M211" s="26" t="str">
        <f aca="false">IF(G211="","",G211-N(H211))</f>
        <v/>
      </c>
      <c r="N211" s="26" t="str">
        <f aca="false">IF(G211="","",G211-N(K211)-N(L211))</f>
        <v/>
      </c>
      <c r="O211" s="27" t="str">
        <f aca="false">IF(G211="","",IF(N(H211)&gt;=G211,"Pago",IF(N(H211)&gt;0,"Parcial","Pendente")))</f>
        <v/>
      </c>
      <c r="P211" s="24"/>
    </row>
    <row r="212" customFormat="false" ht="15" hidden="false" customHeight="false" outlineLevel="0" collapsed="false">
      <c r="A212" s="22"/>
      <c r="B212" s="23"/>
      <c r="C212" s="24"/>
      <c r="D212" s="24"/>
      <c r="E212" s="24"/>
      <c r="F212" s="24"/>
      <c r="G212" s="25"/>
      <c r="H212" s="25"/>
      <c r="I212" s="24"/>
      <c r="J212" s="24"/>
      <c r="K212" s="25"/>
      <c r="L212" s="25"/>
      <c r="M212" s="26" t="str">
        <f aca="false">IF(G212="","",G212-N(H212))</f>
        <v/>
      </c>
      <c r="N212" s="26" t="str">
        <f aca="false">IF(G212="","",G212-N(K212)-N(L212))</f>
        <v/>
      </c>
      <c r="O212" s="27" t="str">
        <f aca="false">IF(G212="","",IF(N(H212)&gt;=G212,"Pago",IF(N(H212)&gt;0,"Parcial","Pendente")))</f>
        <v/>
      </c>
      <c r="P212" s="24"/>
    </row>
    <row r="213" customFormat="false" ht="15" hidden="false" customHeight="false" outlineLevel="0" collapsed="false">
      <c r="A213" s="22"/>
      <c r="B213" s="23"/>
      <c r="C213" s="24"/>
      <c r="D213" s="24"/>
      <c r="E213" s="24"/>
      <c r="F213" s="24"/>
      <c r="G213" s="25"/>
      <c r="H213" s="25"/>
      <c r="I213" s="24"/>
      <c r="J213" s="24"/>
      <c r="K213" s="25"/>
      <c r="L213" s="25"/>
      <c r="M213" s="26" t="str">
        <f aca="false">IF(G213="","",G213-N(H213))</f>
        <v/>
      </c>
      <c r="N213" s="26" t="str">
        <f aca="false">IF(G213="","",G213-N(K213)-N(L213))</f>
        <v/>
      </c>
      <c r="O213" s="27" t="str">
        <f aca="false">IF(G213="","",IF(N(H213)&gt;=G213,"Pago",IF(N(H213)&gt;0,"Parcial","Pendente")))</f>
        <v/>
      </c>
      <c r="P213" s="24"/>
    </row>
    <row r="214" customFormat="false" ht="15" hidden="false" customHeight="false" outlineLevel="0" collapsed="false">
      <c r="A214" s="22"/>
      <c r="B214" s="23"/>
      <c r="C214" s="24"/>
      <c r="D214" s="24"/>
      <c r="E214" s="24"/>
      <c r="F214" s="24"/>
      <c r="G214" s="25"/>
      <c r="H214" s="25"/>
      <c r="I214" s="24"/>
      <c r="J214" s="24"/>
      <c r="K214" s="25"/>
      <c r="L214" s="25"/>
      <c r="M214" s="26" t="str">
        <f aca="false">IF(G214="","",G214-N(H214))</f>
        <v/>
      </c>
      <c r="N214" s="26" t="str">
        <f aca="false">IF(G214="","",G214-N(K214)-N(L214))</f>
        <v/>
      </c>
      <c r="O214" s="27" t="str">
        <f aca="false">IF(G214="","",IF(N(H214)&gt;=G214,"Pago",IF(N(H214)&gt;0,"Parcial","Pendente")))</f>
        <v/>
      </c>
      <c r="P214" s="24"/>
    </row>
    <row r="215" customFormat="false" ht="15" hidden="false" customHeight="false" outlineLevel="0" collapsed="false">
      <c r="A215" s="22"/>
      <c r="B215" s="23"/>
      <c r="C215" s="24"/>
      <c r="D215" s="24"/>
      <c r="E215" s="24"/>
      <c r="F215" s="24"/>
      <c r="G215" s="25"/>
      <c r="H215" s="25"/>
      <c r="I215" s="24"/>
      <c r="J215" s="24"/>
      <c r="K215" s="25"/>
      <c r="L215" s="25"/>
      <c r="M215" s="26" t="str">
        <f aca="false">IF(G215="","",G215-N(H215))</f>
        <v/>
      </c>
      <c r="N215" s="26" t="str">
        <f aca="false">IF(G215="","",G215-N(K215)-N(L215))</f>
        <v/>
      </c>
      <c r="O215" s="27" t="str">
        <f aca="false">IF(G215="","",IF(N(H215)&gt;=G215,"Pago",IF(N(H215)&gt;0,"Parcial","Pendente")))</f>
        <v/>
      </c>
      <c r="P215" s="24"/>
    </row>
    <row r="216" customFormat="false" ht="15" hidden="false" customHeight="false" outlineLevel="0" collapsed="false">
      <c r="A216" s="22"/>
      <c r="B216" s="23"/>
      <c r="C216" s="24"/>
      <c r="D216" s="24"/>
      <c r="E216" s="24"/>
      <c r="F216" s="24"/>
      <c r="G216" s="25"/>
      <c r="H216" s="25"/>
      <c r="I216" s="24"/>
      <c r="J216" s="24"/>
      <c r="K216" s="25"/>
      <c r="L216" s="25"/>
      <c r="M216" s="26" t="str">
        <f aca="false">IF(G216="","",G216-N(H216))</f>
        <v/>
      </c>
      <c r="N216" s="26" t="str">
        <f aca="false">IF(G216="","",G216-N(K216)-N(L216))</f>
        <v/>
      </c>
      <c r="O216" s="27" t="str">
        <f aca="false">IF(G216="","",IF(N(H216)&gt;=G216,"Pago",IF(N(H216)&gt;0,"Parcial","Pendente")))</f>
        <v/>
      </c>
      <c r="P216" s="24"/>
    </row>
    <row r="217" customFormat="false" ht="15" hidden="false" customHeight="false" outlineLevel="0" collapsed="false">
      <c r="A217" s="22"/>
      <c r="B217" s="23"/>
      <c r="C217" s="24"/>
      <c r="D217" s="24"/>
      <c r="E217" s="24"/>
      <c r="F217" s="24"/>
      <c r="G217" s="25"/>
      <c r="H217" s="25"/>
      <c r="I217" s="24"/>
      <c r="J217" s="24"/>
      <c r="K217" s="25"/>
      <c r="L217" s="25"/>
      <c r="M217" s="26" t="str">
        <f aca="false">IF(G217="","",G217-N(H217))</f>
        <v/>
      </c>
      <c r="N217" s="26" t="str">
        <f aca="false">IF(G217="","",G217-N(K217)-N(L217))</f>
        <v/>
      </c>
      <c r="O217" s="27" t="str">
        <f aca="false">IF(G217="","",IF(N(H217)&gt;=G217,"Pago",IF(N(H217)&gt;0,"Parcial","Pendente")))</f>
        <v/>
      </c>
      <c r="P217" s="24"/>
    </row>
    <row r="218" customFormat="false" ht="15" hidden="false" customHeight="false" outlineLevel="0" collapsed="false">
      <c r="A218" s="22"/>
      <c r="B218" s="23"/>
      <c r="C218" s="24"/>
      <c r="D218" s="24"/>
      <c r="E218" s="24"/>
      <c r="F218" s="24"/>
      <c r="G218" s="25"/>
      <c r="H218" s="25"/>
      <c r="I218" s="24"/>
      <c r="J218" s="24"/>
      <c r="K218" s="25"/>
      <c r="L218" s="25"/>
      <c r="M218" s="26" t="str">
        <f aca="false">IF(G218="","",G218-N(H218))</f>
        <v/>
      </c>
      <c r="N218" s="26" t="str">
        <f aca="false">IF(G218="","",G218-N(K218)-N(L218))</f>
        <v/>
      </c>
      <c r="O218" s="27" t="str">
        <f aca="false">IF(G218="","",IF(N(H218)&gt;=G218,"Pago",IF(N(H218)&gt;0,"Parcial","Pendente")))</f>
        <v/>
      </c>
      <c r="P218" s="24"/>
    </row>
    <row r="219" customFormat="false" ht="15" hidden="false" customHeight="false" outlineLevel="0" collapsed="false">
      <c r="A219" s="22"/>
      <c r="B219" s="23"/>
      <c r="C219" s="24"/>
      <c r="D219" s="24"/>
      <c r="E219" s="24"/>
      <c r="F219" s="24"/>
      <c r="G219" s="25"/>
      <c r="H219" s="25"/>
      <c r="I219" s="24"/>
      <c r="J219" s="24"/>
      <c r="K219" s="25"/>
      <c r="L219" s="25"/>
      <c r="M219" s="26" t="str">
        <f aca="false">IF(G219="","",G219-N(H219))</f>
        <v/>
      </c>
      <c r="N219" s="26" t="str">
        <f aca="false">IF(G219="","",G219-N(K219)-N(L219))</f>
        <v/>
      </c>
      <c r="O219" s="27" t="str">
        <f aca="false">IF(G219="","",IF(N(H219)&gt;=G219,"Pago",IF(N(H219)&gt;0,"Parcial","Pendente")))</f>
        <v/>
      </c>
      <c r="P219" s="24"/>
    </row>
    <row r="220" customFormat="false" ht="15" hidden="false" customHeight="false" outlineLevel="0" collapsed="false">
      <c r="A220" s="22"/>
      <c r="B220" s="23"/>
      <c r="C220" s="24"/>
      <c r="D220" s="24"/>
      <c r="E220" s="24"/>
      <c r="F220" s="24"/>
      <c r="G220" s="25"/>
      <c r="H220" s="25"/>
      <c r="I220" s="24"/>
      <c r="J220" s="24"/>
      <c r="K220" s="25"/>
      <c r="L220" s="25"/>
      <c r="M220" s="26" t="str">
        <f aca="false">IF(G220="","",G220-N(H220))</f>
        <v/>
      </c>
      <c r="N220" s="26" t="str">
        <f aca="false">IF(G220="","",G220-N(K220)-N(L220))</f>
        <v/>
      </c>
      <c r="O220" s="27" t="str">
        <f aca="false">IF(G220="","",IF(N(H220)&gt;=G220,"Pago",IF(N(H220)&gt;0,"Parcial","Pendente")))</f>
        <v/>
      </c>
      <c r="P220" s="24"/>
    </row>
    <row r="221" customFormat="false" ht="15" hidden="false" customHeight="false" outlineLevel="0" collapsed="false">
      <c r="A221" s="22"/>
      <c r="B221" s="23"/>
      <c r="C221" s="24"/>
      <c r="D221" s="24"/>
      <c r="E221" s="24"/>
      <c r="F221" s="24"/>
      <c r="G221" s="25"/>
      <c r="H221" s="25"/>
      <c r="I221" s="24"/>
      <c r="J221" s="24"/>
      <c r="K221" s="25"/>
      <c r="L221" s="25"/>
      <c r="M221" s="26" t="str">
        <f aca="false">IF(G221="","",G221-N(H221))</f>
        <v/>
      </c>
      <c r="N221" s="26" t="str">
        <f aca="false">IF(G221="","",G221-N(K221)-N(L221))</f>
        <v/>
      </c>
      <c r="O221" s="27" t="str">
        <f aca="false">IF(G221="","",IF(N(H221)&gt;=G221,"Pago",IF(N(H221)&gt;0,"Parcial","Pendente")))</f>
        <v/>
      </c>
      <c r="P221" s="24"/>
    </row>
    <row r="222" customFormat="false" ht="15" hidden="false" customHeight="false" outlineLevel="0" collapsed="false">
      <c r="A222" s="22"/>
      <c r="B222" s="23"/>
      <c r="C222" s="24"/>
      <c r="D222" s="24"/>
      <c r="E222" s="24"/>
      <c r="F222" s="24"/>
      <c r="G222" s="25"/>
      <c r="H222" s="25"/>
      <c r="I222" s="24"/>
      <c r="J222" s="24"/>
      <c r="K222" s="25"/>
      <c r="L222" s="25"/>
      <c r="M222" s="26" t="str">
        <f aca="false">IF(G222="","",G222-N(H222))</f>
        <v/>
      </c>
      <c r="N222" s="26" t="str">
        <f aca="false">IF(G222="","",G222-N(K222)-N(L222))</f>
        <v/>
      </c>
      <c r="O222" s="27" t="str">
        <f aca="false">IF(G222="","",IF(N(H222)&gt;=G222,"Pago",IF(N(H222)&gt;0,"Parcial","Pendente")))</f>
        <v/>
      </c>
      <c r="P222" s="24"/>
    </row>
    <row r="223" customFormat="false" ht="15" hidden="false" customHeight="false" outlineLevel="0" collapsed="false">
      <c r="A223" s="22"/>
      <c r="B223" s="23"/>
      <c r="C223" s="24"/>
      <c r="D223" s="24"/>
      <c r="E223" s="24"/>
      <c r="F223" s="24"/>
      <c r="G223" s="25"/>
      <c r="H223" s="25"/>
      <c r="I223" s="24"/>
      <c r="J223" s="24"/>
      <c r="K223" s="25"/>
      <c r="L223" s="25"/>
      <c r="M223" s="26" t="str">
        <f aca="false">IF(G223="","",G223-N(H223))</f>
        <v/>
      </c>
      <c r="N223" s="26" t="str">
        <f aca="false">IF(G223="","",G223-N(K223)-N(L223))</f>
        <v/>
      </c>
      <c r="O223" s="27" t="str">
        <f aca="false">IF(G223="","",IF(N(H223)&gt;=G223,"Pago",IF(N(H223)&gt;0,"Parcial","Pendente")))</f>
        <v/>
      </c>
      <c r="P223" s="24"/>
    </row>
    <row r="224" customFormat="false" ht="15" hidden="false" customHeight="false" outlineLevel="0" collapsed="false">
      <c r="A224" s="22"/>
      <c r="B224" s="23"/>
      <c r="C224" s="24"/>
      <c r="D224" s="24"/>
      <c r="E224" s="24"/>
      <c r="F224" s="24"/>
      <c r="G224" s="25"/>
      <c r="H224" s="25"/>
      <c r="I224" s="24"/>
      <c r="J224" s="24"/>
      <c r="K224" s="25"/>
      <c r="L224" s="25"/>
      <c r="M224" s="26" t="str">
        <f aca="false">IF(G224="","",G224-N(H224))</f>
        <v/>
      </c>
      <c r="N224" s="26" t="str">
        <f aca="false">IF(G224="","",G224-N(K224)-N(L224))</f>
        <v/>
      </c>
      <c r="O224" s="27" t="str">
        <f aca="false">IF(G224="","",IF(N(H224)&gt;=G224,"Pago",IF(N(H224)&gt;0,"Parcial","Pendente")))</f>
        <v/>
      </c>
      <c r="P224" s="24"/>
    </row>
    <row r="225" customFormat="false" ht="15" hidden="false" customHeight="false" outlineLevel="0" collapsed="false">
      <c r="A225" s="22"/>
      <c r="B225" s="23"/>
      <c r="C225" s="24"/>
      <c r="D225" s="24"/>
      <c r="E225" s="24"/>
      <c r="F225" s="24"/>
      <c r="G225" s="25"/>
      <c r="H225" s="25"/>
      <c r="I225" s="24"/>
      <c r="J225" s="24"/>
      <c r="K225" s="25"/>
      <c r="L225" s="25"/>
      <c r="M225" s="26" t="str">
        <f aca="false">IF(G225="","",G225-N(H225))</f>
        <v/>
      </c>
      <c r="N225" s="26" t="str">
        <f aca="false">IF(G225="","",G225-N(K225)-N(L225))</f>
        <v/>
      </c>
      <c r="O225" s="27" t="str">
        <f aca="false">IF(G225="","",IF(N(H225)&gt;=G225,"Pago",IF(N(H225)&gt;0,"Parcial","Pendente")))</f>
        <v/>
      </c>
      <c r="P225" s="24"/>
    </row>
    <row r="226" customFormat="false" ht="15" hidden="false" customHeight="false" outlineLevel="0" collapsed="false">
      <c r="A226" s="22"/>
      <c r="B226" s="23"/>
      <c r="C226" s="24"/>
      <c r="D226" s="24"/>
      <c r="E226" s="24"/>
      <c r="F226" s="24"/>
      <c r="G226" s="25"/>
      <c r="H226" s="25"/>
      <c r="I226" s="24"/>
      <c r="J226" s="24"/>
      <c r="K226" s="25"/>
      <c r="L226" s="25"/>
      <c r="M226" s="26" t="str">
        <f aca="false">IF(G226="","",G226-N(H226))</f>
        <v/>
      </c>
      <c r="N226" s="26" t="str">
        <f aca="false">IF(G226="","",G226-N(K226)-N(L226))</f>
        <v/>
      </c>
      <c r="O226" s="27" t="str">
        <f aca="false">IF(G226="","",IF(N(H226)&gt;=G226,"Pago",IF(N(H226)&gt;0,"Parcial","Pendente")))</f>
        <v/>
      </c>
      <c r="P226" s="24"/>
    </row>
    <row r="227" customFormat="false" ht="15" hidden="false" customHeight="false" outlineLevel="0" collapsed="false">
      <c r="A227" s="22"/>
      <c r="B227" s="23"/>
      <c r="C227" s="24"/>
      <c r="D227" s="24"/>
      <c r="E227" s="24"/>
      <c r="F227" s="24"/>
      <c r="G227" s="25"/>
      <c r="H227" s="25"/>
      <c r="I227" s="24"/>
      <c r="J227" s="24"/>
      <c r="K227" s="25"/>
      <c r="L227" s="25"/>
      <c r="M227" s="26" t="str">
        <f aca="false">IF(G227="","",G227-N(H227))</f>
        <v/>
      </c>
      <c r="N227" s="26" t="str">
        <f aca="false">IF(G227="","",G227-N(K227)-N(L227))</f>
        <v/>
      </c>
      <c r="O227" s="27" t="str">
        <f aca="false">IF(G227="","",IF(N(H227)&gt;=G227,"Pago",IF(N(H227)&gt;0,"Parcial","Pendente")))</f>
        <v/>
      </c>
      <c r="P227" s="24"/>
    </row>
    <row r="228" customFormat="false" ht="15" hidden="false" customHeight="false" outlineLevel="0" collapsed="false">
      <c r="A228" s="22"/>
      <c r="B228" s="23"/>
      <c r="C228" s="24"/>
      <c r="D228" s="24"/>
      <c r="E228" s="24"/>
      <c r="F228" s="24"/>
      <c r="G228" s="25"/>
      <c r="H228" s="25"/>
      <c r="I228" s="24"/>
      <c r="J228" s="24"/>
      <c r="K228" s="25"/>
      <c r="L228" s="25"/>
      <c r="M228" s="26" t="str">
        <f aca="false">IF(G228="","",G228-N(H228))</f>
        <v/>
      </c>
      <c r="N228" s="26" t="str">
        <f aca="false">IF(G228="","",G228-N(K228)-N(L228))</f>
        <v/>
      </c>
      <c r="O228" s="27" t="str">
        <f aca="false">IF(G228="","",IF(N(H228)&gt;=G228,"Pago",IF(N(H228)&gt;0,"Parcial","Pendente")))</f>
        <v/>
      </c>
      <c r="P228" s="24"/>
    </row>
    <row r="229" customFormat="false" ht="15" hidden="false" customHeight="false" outlineLevel="0" collapsed="false">
      <c r="A229" s="22"/>
      <c r="B229" s="23"/>
      <c r="C229" s="24"/>
      <c r="D229" s="24"/>
      <c r="E229" s="24"/>
      <c r="F229" s="24"/>
      <c r="G229" s="25"/>
      <c r="H229" s="25"/>
      <c r="I229" s="24"/>
      <c r="J229" s="24"/>
      <c r="K229" s="25"/>
      <c r="L229" s="25"/>
      <c r="M229" s="26" t="str">
        <f aca="false">IF(G229="","",G229-N(H229))</f>
        <v/>
      </c>
      <c r="N229" s="26" t="str">
        <f aca="false">IF(G229="","",G229-N(K229)-N(L229))</f>
        <v/>
      </c>
      <c r="O229" s="27" t="str">
        <f aca="false">IF(G229="","",IF(N(H229)&gt;=G229,"Pago",IF(N(H229)&gt;0,"Parcial","Pendente")))</f>
        <v/>
      </c>
      <c r="P229" s="24"/>
    </row>
    <row r="230" customFormat="false" ht="15" hidden="false" customHeight="false" outlineLevel="0" collapsed="false">
      <c r="A230" s="22"/>
      <c r="B230" s="23"/>
      <c r="C230" s="24"/>
      <c r="D230" s="24"/>
      <c r="E230" s="24"/>
      <c r="F230" s="24"/>
      <c r="G230" s="25"/>
      <c r="H230" s="25"/>
      <c r="I230" s="24"/>
      <c r="J230" s="24"/>
      <c r="K230" s="25"/>
      <c r="L230" s="25"/>
      <c r="M230" s="26" t="str">
        <f aca="false">IF(G230="","",G230-N(H230))</f>
        <v/>
      </c>
      <c r="N230" s="26" t="str">
        <f aca="false">IF(G230="","",G230-N(K230)-N(L230))</f>
        <v/>
      </c>
      <c r="O230" s="27" t="str">
        <f aca="false">IF(G230="","",IF(N(H230)&gt;=G230,"Pago",IF(N(H230)&gt;0,"Parcial","Pendente")))</f>
        <v/>
      </c>
      <c r="P230" s="24"/>
    </row>
    <row r="231" customFormat="false" ht="15" hidden="false" customHeight="false" outlineLevel="0" collapsed="false">
      <c r="A231" s="22"/>
      <c r="B231" s="23"/>
      <c r="C231" s="24"/>
      <c r="D231" s="24"/>
      <c r="E231" s="24"/>
      <c r="F231" s="24"/>
      <c r="G231" s="25"/>
      <c r="H231" s="25"/>
      <c r="I231" s="24"/>
      <c r="J231" s="24"/>
      <c r="K231" s="25"/>
      <c r="L231" s="25"/>
      <c r="M231" s="26" t="str">
        <f aca="false">IF(G231="","",G231-N(H231))</f>
        <v/>
      </c>
      <c r="N231" s="26" t="str">
        <f aca="false">IF(G231="","",G231-N(K231)-N(L231))</f>
        <v/>
      </c>
      <c r="O231" s="27" t="str">
        <f aca="false">IF(G231="","",IF(N(H231)&gt;=G231,"Pago",IF(N(H231)&gt;0,"Parcial","Pendente")))</f>
        <v/>
      </c>
      <c r="P231" s="24"/>
    </row>
    <row r="232" customFormat="false" ht="15" hidden="false" customHeight="false" outlineLevel="0" collapsed="false">
      <c r="A232" s="22"/>
      <c r="B232" s="23"/>
      <c r="C232" s="24"/>
      <c r="D232" s="24"/>
      <c r="E232" s="24"/>
      <c r="F232" s="24"/>
      <c r="G232" s="25"/>
      <c r="H232" s="25"/>
      <c r="I232" s="24"/>
      <c r="J232" s="24"/>
      <c r="K232" s="25"/>
      <c r="L232" s="25"/>
      <c r="M232" s="26" t="str">
        <f aca="false">IF(G232="","",G232-N(H232))</f>
        <v/>
      </c>
      <c r="N232" s="26" t="str">
        <f aca="false">IF(G232="","",G232-N(K232)-N(L232))</f>
        <v/>
      </c>
      <c r="O232" s="27" t="str">
        <f aca="false">IF(G232="","",IF(N(H232)&gt;=G232,"Pago",IF(N(H232)&gt;0,"Parcial","Pendente")))</f>
        <v/>
      </c>
      <c r="P232" s="24"/>
    </row>
    <row r="233" customFormat="false" ht="15" hidden="false" customHeight="false" outlineLevel="0" collapsed="false">
      <c r="A233" s="22"/>
      <c r="B233" s="23"/>
      <c r="C233" s="24"/>
      <c r="D233" s="24"/>
      <c r="E233" s="24"/>
      <c r="F233" s="24"/>
      <c r="G233" s="25"/>
      <c r="H233" s="25"/>
      <c r="I233" s="24"/>
      <c r="J233" s="24"/>
      <c r="K233" s="25"/>
      <c r="L233" s="25"/>
      <c r="M233" s="26" t="str">
        <f aca="false">IF(G233="","",G233-N(H233))</f>
        <v/>
      </c>
      <c r="N233" s="26" t="str">
        <f aca="false">IF(G233="","",G233-N(K233)-N(L233))</f>
        <v/>
      </c>
      <c r="O233" s="27" t="str">
        <f aca="false">IF(G233="","",IF(N(H233)&gt;=G233,"Pago",IF(N(H233)&gt;0,"Parcial","Pendente")))</f>
        <v/>
      </c>
      <c r="P233" s="24"/>
    </row>
    <row r="234" customFormat="false" ht="15" hidden="false" customHeight="false" outlineLevel="0" collapsed="false">
      <c r="A234" s="22"/>
      <c r="B234" s="23"/>
      <c r="C234" s="24"/>
      <c r="D234" s="24"/>
      <c r="E234" s="24"/>
      <c r="F234" s="24"/>
      <c r="G234" s="25"/>
      <c r="H234" s="25"/>
      <c r="I234" s="24"/>
      <c r="J234" s="24"/>
      <c r="K234" s="25"/>
      <c r="L234" s="25"/>
      <c r="M234" s="26" t="str">
        <f aca="false">IF(G234="","",G234-N(H234))</f>
        <v/>
      </c>
      <c r="N234" s="26" t="str">
        <f aca="false">IF(G234="","",G234-N(K234)-N(L234))</f>
        <v/>
      </c>
      <c r="O234" s="27" t="str">
        <f aca="false">IF(G234="","",IF(N(H234)&gt;=G234,"Pago",IF(N(H234)&gt;0,"Parcial","Pendente")))</f>
        <v/>
      </c>
      <c r="P234" s="24"/>
    </row>
    <row r="235" customFormat="false" ht="15" hidden="false" customHeight="false" outlineLevel="0" collapsed="false">
      <c r="A235" s="22"/>
      <c r="B235" s="23"/>
      <c r="C235" s="24"/>
      <c r="D235" s="24"/>
      <c r="E235" s="24"/>
      <c r="F235" s="24"/>
      <c r="G235" s="25"/>
      <c r="H235" s="25"/>
      <c r="I235" s="24"/>
      <c r="J235" s="24"/>
      <c r="K235" s="25"/>
      <c r="L235" s="25"/>
      <c r="M235" s="26" t="str">
        <f aca="false">IF(G235="","",G235-N(H235))</f>
        <v/>
      </c>
      <c r="N235" s="26" t="str">
        <f aca="false">IF(G235="","",G235-N(K235)-N(L235))</f>
        <v/>
      </c>
      <c r="O235" s="27" t="str">
        <f aca="false">IF(G235="","",IF(N(H235)&gt;=G235,"Pago",IF(N(H235)&gt;0,"Parcial","Pendente")))</f>
        <v/>
      </c>
      <c r="P235" s="24"/>
    </row>
    <row r="236" customFormat="false" ht="15" hidden="false" customHeight="false" outlineLevel="0" collapsed="false">
      <c r="A236" s="22"/>
      <c r="B236" s="23"/>
      <c r="C236" s="24"/>
      <c r="D236" s="24"/>
      <c r="E236" s="24"/>
      <c r="F236" s="24"/>
      <c r="G236" s="25"/>
      <c r="H236" s="25"/>
      <c r="I236" s="24"/>
      <c r="J236" s="24"/>
      <c r="K236" s="25"/>
      <c r="L236" s="25"/>
      <c r="M236" s="26" t="str">
        <f aca="false">IF(G236="","",G236-N(H236))</f>
        <v/>
      </c>
      <c r="N236" s="26" t="str">
        <f aca="false">IF(G236="","",G236-N(K236)-N(L236))</f>
        <v/>
      </c>
      <c r="O236" s="27" t="str">
        <f aca="false">IF(G236="","",IF(N(H236)&gt;=G236,"Pago",IF(N(H236)&gt;0,"Parcial","Pendente")))</f>
        <v/>
      </c>
      <c r="P236" s="24"/>
    </row>
    <row r="237" customFormat="false" ht="15" hidden="false" customHeight="false" outlineLevel="0" collapsed="false">
      <c r="A237" s="22"/>
      <c r="B237" s="23"/>
      <c r="C237" s="24"/>
      <c r="D237" s="24"/>
      <c r="E237" s="24"/>
      <c r="F237" s="24"/>
      <c r="G237" s="25"/>
      <c r="H237" s="25"/>
      <c r="I237" s="24"/>
      <c r="J237" s="24"/>
      <c r="K237" s="25"/>
      <c r="L237" s="25"/>
      <c r="M237" s="26" t="str">
        <f aca="false">IF(G237="","",G237-N(H237))</f>
        <v/>
      </c>
      <c r="N237" s="26" t="str">
        <f aca="false">IF(G237="","",G237-N(K237)-N(L237))</f>
        <v/>
      </c>
      <c r="O237" s="27" t="str">
        <f aca="false">IF(G237="","",IF(N(H237)&gt;=G237,"Pago",IF(N(H237)&gt;0,"Parcial","Pendente")))</f>
        <v/>
      </c>
      <c r="P237" s="24"/>
    </row>
    <row r="238" customFormat="false" ht="15" hidden="false" customHeight="false" outlineLevel="0" collapsed="false">
      <c r="A238" s="22"/>
      <c r="B238" s="23"/>
      <c r="C238" s="24"/>
      <c r="D238" s="24"/>
      <c r="E238" s="24"/>
      <c r="F238" s="24"/>
      <c r="G238" s="25"/>
      <c r="H238" s="25"/>
      <c r="I238" s="24"/>
      <c r="J238" s="24"/>
      <c r="K238" s="25"/>
      <c r="L238" s="25"/>
      <c r="M238" s="26" t="str">
        <f aca="false">IF(G238="","",G238-N(H238))</f>
        <v/>
      </c>
      <c r="N238" s="26" t="str">
        <f aca="false">IF(G238="","",G238-N(K238)-N(L238))</f>
        <v/>
      </c>
      <c r="O238" s="27" t="str">
        <f aca="false">IF(G238="","",IF(N(H238)&gt;=G238,"Pago",IF(N(H238)&gt;0,"Parcial","Pendente")))</f>
        <v/>
      </c>
      <c r="P238" s="24"/>
    </row>
    <row r="239" customFormat="false" ht="15" hidden="false" customHeight="false" outlineLevel="0" collapsed="false">
      <c r="A239" s="22"/>
      <c r="B239" s="23"/>
      <c r="C239" s="24"/>
      <c r="D239" s="24"/>
      <c r="E239" s="24"/>
      <c r="F239" s="24"/>
      <c r="G239" s="25"/>
      <c r="H239" s="25"/>
      <c r="I239" s="24"/>
      <c r="J239" s="24"/>
      <c r="K239" s="25"/>
      <c r="L239" s="25"/>
      <c r="M239" s="26" t="str">
        <f aca="false">IF(G239="","",G239-N(H239))</f>
        <v/>
      </c>
      <c r="N239" s="26" t="str">
        <f aca="false">IF(G239="","",G239-N(K239)-N(L239))</f>
        <v/>
      </c>
      <c r="O239" s="27" t="str">
        <f aca="false">IF(G239="","",IF(N(H239)&gt;=G239,"Pago",IF(N(H239)&gt;0,"Parcial","Pendente")))</f>
        <v/>
      </c>
      <c r="P239" s="24"/>
    </row>
    <row r="240" customFormat="false" ht="15" hidden="false" customHeight="false" outlineLevel="0" collapsed="false">
      <c r="A240" s="22"/>
      <c r="B240" s="23"/>
      <c r="C240" s="24"/>
      <c r="D240" s="24"/>
      <c r="E240" s="24"/>
      <c r="F240" s="24"/>
      <c r="G240" s="25"/>
      <c r="H240" s="25"/>
      <c r="I240" s="24"/>
      <c r="J240" s="24"/>
      <c r="K240" s="25"/>
      <c r="L240" s="25"/>
      <c r="M240" s="26" t="str">
        <f aca="false">IF(G240="","",G240-N(H240))</f>
        <v/>
      </c>
      <c r="N240" s="26" t="str">
        <f aca="false">IF(G240="","",G240-N(K240)-N(L240))</f>
        <v/>
      </c>
      <c r="O240" s="27" t="str">
        <f aca="false">IF(G240="","",IF(N(H240)&gt;=G240,"Pago",IF(N(H240)&gt;0,"Parcial","Pendente")))</f>
        <v/>
      </c>
      <c r="P240" s="24"/>
    </row>
    <row r="241" customFormat="false" ht="15" hidden="false" customHeight="false" outlineLevel="0" collapsed="false">
      <c r="A241" s="22"/>
      <c r="B241" s="23"/>
      <c r="C241" s="24"/>
      <c r="D241" s="24"/>
      <c r="E241" s="24"/>
      <c r="F241" s="24"/>
      <c r="G241" s="25"/>
      <c r="H241" s="25"/>
      <c r="I241" s="24"/>
      <c r="J241" s="24"/>
      <c r="K241" s="25"/>
      <c r="L241" s="25"/>
      <c r="M241" s="26" t="str">
        <f aca="false">IF(G241="","",G241-N(H241))</f>
        <v/>
      </c>
      <c r="N241" s="26" t="str">
        <f aca="false">IF(G241="","",G241-N(K241)-N(L241))</f>
        <v/>
      </c>
      <c r="O241" s="27" t="str">
        <f aca="false">IF(G241="","",IF(N(H241)&gt;=G241,"Pago",IF(N(H241)&gt;0,"Parcial","Pendente")))</f>
        <v/>
      </c>
      <c r="P241" s="24"/>
    </row>
    <row r="242" customFormat="false" ht="15" hidden="false" customHeight="false" outlineLevel="0" collapsed="false">
      <c r="A242" s="22"/>
      <c r="B242" s="23"/>
      <c r="C242" s="24"/>
      <c r="D242" s="24"/>
      <c r="E242" s="24"/>
      <c r="F242" s="24"/>
      <c r="G242" s="25"/>
      <c r="H242" s="25"/>
      <c r="I242" s="24"/>
      <c r="J242" s="24"/>
      <c r="K242" s="25"/>
      <c r="L242" s="25"/>
      <c r="M242" s="26" t="str">
        <f aca="false">IF(G242="","",G242-N(H242))</f>
        <v/>
      </c>
      <c r="N242" s="26" t="str">
        <f aca="false">IF(G242="","",G242-N(K242)-N(L242))</f>
        <v/>
      </c>
      <c r="O242" s="27" t="str">
        <f aca="false">IF(G242="","",IF(N(H242)&gt;=G242,"Pago",IF(N(H242)&gt;0,"Parcial","Pendente")))</f>
        <v/>
      </c>
      <c r="P242" s="24"/>
    </row>
    <row r="243" customFormat="false" ht="15" hidden="false" customHeight="false" outlineLevel="0" collapsed="false">
      <c r="A243" s="22"/>
      <c r="B243" s="23"/>
      <c r="C243" s="24"/>
      <c r="D243" s="24"/>
      <c r="E243" s="24"/>
      <c r="F243" s="24"/>
      <c r="G243" s="25"/>
      <c r="H243" s="25"/>
      <c r="I243" s="24"/>
      <c r="J243" s="24"/>
      <c r="K243" s="25"/>
      <c r="L243" s="25"/>
      <c r="M243" s="26" t="str">
        <f aca="false">IF(G243="","",G243-N(H243))</f>
        <v/>
      </c>
      <c r="N243" s="26" t="str">
        <f aca="false">IF(G243="","",G243-N(K243)-N(L243))</f>
        <v/>
      </c>
      <c r="O243" s="27" t="str">
        <f aca="false">IF(G243="","",IF(N(H243)&gt;=G243,"Pago",IF(N(H243)&gt;0,"Parcial","Pendente")))</f>
        <v/>
      </c>
      <c r="P243" s="24"/>
    </row>
    <row r="244" customFormat="false" ht="15" hidden="false" customHeight="false" outlineLevel="0" collapsed="false">
      <c r="A244" s="22"/>
      <c r="B244" s="23"/>
      <c r="C244" s="24"/>
      <c r="D244" s="24"/>
      <c r="E244" s="24"/>
      <c r="F244" s="24"/>
      <c r="G244" s="25"/>
      <c r="H244" s="25"/>
      <c r="I244" s="24"/>
      <c r="J244" s="24"/>
      <c r="K244" s="25"/>
      <c r="L244" s="25"/>
      <c r="M244" s="26" t="str">
        <f aca="false">IF(G244="","",G244-N(H244))</f>
        <v/>
      </c>
      <c r="N244" s="26" t="str">
        <f aca="false">IF(G244="","",G244-N(K244)-N(L244))</f>
        <v/>
      </c>
      <c r="O244" s="27" t="str">
        <f aca="false">IF(G244="","",IF(N(H244)&gt;=G244,"Pago",IF(N(H244)&gt;0,"Parcial","Pendente")))</f>
        <v/>
      </c>
      <c r="P244" s="24"/>
    </row>
    <row r="245" customFormat="false" ht="15" hidden="false" customHeight="false" outlineLevel="0" collapsed="false">
      <c r="A245" s="22"/>
      <c r="B245" s="23"/>
      <c r="C245" s="24"/>
      <c r="D245" s="24"/>
      <c r="E245" s="24"/>
      <c r="F245" s="24"/>
      <c r="G245" s="25"/>
      <c r="H245" s="25"/>
      <c r="I245" s="24"/>
      <c r="J245" s="24"/>
      <c r="K245" s="25"/>
      <c r="L245" s="25"/>
      <c r="M245" s="26" t="str">
        <f aca="false">IF(G245="","",G245-N(H245))</f>
        <v/>
      </c>
      <c r="N245" s="26" t="str">
        <f aca="false">IF(G245="","",G245-N(K245)-N(L245))</f>
        <v/>
      </c>
      <c r="O245" s="27" t="str">
        <f aca="false">IF(G245="","",IF(N(H245)&gt;=G245,"Pago",IF(N(H245)&gt;0,"Parcial","Pendente")))</f>
        <v/>
      </c>
      <c r="P245" s="24"/>
    </row>
    <row r="246" customFormat="false" ht="15" hidden="false" customHeight="false" outlineLevel="0" collapsed="false">
      <c r="A246" s="22"/>
      <c r="B246" s="23"/>
      <c r="C246" s="24"/>
      <c r="D246" s="24"/>
      <c r="E246" s="24"/>
      <c r="F246" s="24"/>
      <c r="G246" s="25"/>
      <c r="H246" s="25"/>
      <c r="I246" s="24"/>
      <c r="J246" s="24"/>
      <c r="K246" s="25"/>
      <c r="L246" s="25"/>
      <c r="M246" s="26" t="str">
        <f aca="false">IF(G246="","",G246-N(H246))</f>
        <v/>
      </c>
      <c r="N246" s="26" t="str">
        <f aca="false">IF(G246="","",G246-N(K246)-N(L246))</f>
        <v/>
      </c>
      <c r="O246" s="27" t="str">
        <f aca="false">IF(G246="","",IF(N(H246)&gt;=G246,"Pago",IF(N(H246)&gt;0,"Parcial","Pendente")))</f>
        <v/>
      </c>
      <c r="P246" s="24"/>
    </row>
    <row r="247" customFormat="false" ht="15" hidden="false" customHeight="false" outlineLevel="0" collapsed="false">
      <c r="A247" s="22"/>
      <c r="B247" s="23"/>
      <c r="C247" s="24"/>
      <c r="D247" s="24"/>
      <c r="E247" s="24"/>
      <c r="F247" s="24"/>
      <c r="G247" s="25"/>
      <c r="H247" s="25"/>
      <c r="I247" s="24"/>
      <c r="J247" s="24"/>
      <c r="K247" s="25"/>
      <c r="L247" s="25"/>
      <c r="M247" s="26" t="str">
        <f aca="false">IF(G247="","",G247-N(H247))</f>
        <v/>
      </c>
      <c r="N247" s="26" t="str">
        <f aca="false">IF(G247="","",G247-N(K247)-N(L247))</f>
        <v/>
      </c>
      <c r="O247" s="27" t="str">
        <f aca="false">IF(G247="","",IF(N(H247)&gt;=G247,"Pago",IF(N(H247)&gt;0,"Parcial","Pendente")))</f>
        <v/>
      </c>
      <c r="P247" s="24"/>
    </row>
    <row r="248" customFormat="false" ht="15" hidden="false" customHeight="false" outlineLevel="0" collapsed="false">
      <c r="A248" s="22"/>
      <c r="B248" s="23"/>
      <c r="C248" s="24"/>
      <c r="D248" s="24"/>
      <c r="E248" s="24"/>
      <c r="F248" s="24"/>
      <c r="G248" s="25"/>
      <c r="H248" s="25"/>
      <c r="I248" s="24"/>
      <c r="J248" s="24"/>
      <c r="K248" s="25"/>
      <c r="L248" s="25"/>
      <c r="M248" s="26" t="str">
        <f aca="false">IF(G248="","",G248-N(H248))</f>
        <v/>
      </c>
      <c r="N248" s="26" t="str">
        <f aca="false">IF(G248="","",G248-N(K248)-N(L248))</f>
        <v/>
      </c>
      <c r="O248" s="27" t="str">
        <f aca="false">IF(G248="","",IF(N(H248)&gt;=G248,"Pago",IF(N(H248)&gt;0,"Parcial","Pendente")))</f>
        <v/>
      </c>
      <c r="P248" s="24"/>
    </row>
    <row r="249" customFormat="false" ht="15" hidden="false" customHeight="false" outlineLevel="0" collapsed="false">
      <c r="A249" s="22"/>
      <c r="B249" s="23"/>
      <c r="C249" s="24"/>
      <c r="D249" s="24"/>
      <c r="E249" s="24"/>
      <c r="F249" s="24"/>
      <c r="G249" s="25"/>
      <c r="H249" s="25"/>
      <c r="I249" s="24"/>
      <c r="J249" s="24"/>
      <c r="K249" s="25"/>
      <c r="L249" s="25"/>
      <c r="M249" s="26" t="str">
        <f aca="false">IF(G249="","",G249-N(H249))</f>
        <v/>
      </c>
      <c r="N249" s="26" t="str">
        <f aca="false">IF(G249="","",G249-N(K249)-N(L249))</f>
        <v/>
      </c>
      <c r="O249" s="27" t="str">
        <f aca="false">IF(G249="","",IF(N(H249)&gt;=G249,"Pago",IF(N(H249)&gt;0,"Parcial","Pendente")))</f>
        <v/>
      </c>
      <c r="P249" s="24"/>
    </row>
    <row r="250" customFormat="false" ht="15" hidden="false" customHeight="false" outlineLevel="0" collapsed="false">
      <c r="A250" s="22"/>
      <c r="B250" s="23"/>
      <c r="C250" s="24"/>
      <c r="D250" s="24"/>
      <c r="E250" s="24"/>
      <c r="F250" s="24"/>
      <c r="G250" s="25"/>
      <c r="H250" s="25"/>
      <c r="I250" s="24"/>
      <c r="J250" s="24"/>
      <c r="K250" s="25"/>
      <c r="L250" s="25"/>
      <c r="M250" s="26" t="str">
        <f aca="false">IF(G250="","",G250-N(H250))</f>
        <v/>
      </c>
      <c r="N250" s="26" t="str">
        <f aca="false">IF(G250="","",G250-N(K250)-N(L250))</f>
        <v/>
      </c>
      <c r="O250" s="27" t="str">
        <f aca="false">IF(G250="","",IF(N(H250)&gt;=G250,"Pago",IF(N(H250)&gt;0,"Parcial","Pendente")))</f>
        <v/>
      </c>
      <c r="P250" s="24"/>
    </row>
    <row r="251" customFormat="false" ht="15" hidden="false" customHeight="false" outlineLevel="0" collapsed="false">
      <c r="A251" s="22"/>
      <c r="B251" s="23"/>
      <c r="C251" s="24"/>
      <c r="D251" s="24"/>
      <c r="E251" s="24"/>
      <c r="F251" s="24"/>
      <c r="G251" s="25"/>
      <c r="H251" s="25"/>
      <c r="I251" s="24"/>
      <c r="J251" s="24"/>
      <c r="K251" s="25"/>
      <c r="L251" s="25"/>
      <c r="M251" s="26" t="str">
        <f aca="false">IF(G251="","",G251-N(H251))</f>
        <v/>
      </c>
      <c r="N251" s="26" t="str">
        <f aca="false">IF(G251="","",G251-N(K251)-N(L251))</f>
        <v/>
      </c>
      <c r="O251" s="27" t="str">
        <f aca="false">IF(G251="","",IF(N(H251)&gt;=G251,"Pago",IF(N(H251)&gt;0,"Parcial","Pendente")))</f>
        <v/>
      </c>
      <c r="P251" s="24"/>
    </row>
    <row r="252" customFormat="false" ht="15" hidden="false" customHeight="false" outlineLevel="0" collapsed="false">
      <c r="A252" s="22"/>
      <c r="B252" s="23"/>
      <c r="C252" s="24"/>
      <c r="D252" s="24"/>
      <c r="E252" s="24"/>
      <c r="F252" s="24"/>
      <c r="G252" s="25"/>
      <c r="H252" s="25"/>
      <c r="I252" s="24"/>
      <c r="J252" s="24"/>
      <c r="K252" s="25"/>
      <c r="L252" s="25"/>
      <c r="M252" s="26" t="str">
        <f aca="false">IF(G252="","",G252-N(H252))</f>
        <v/>
      </c>
      <c r="N252" s="26" t="str">
        <f aca="false">IF(G252="","",G252-N(K252)-N(L252))</f>
        <v/>
      </c>
      <c r="O252" s="27" t="str">
        <f aca="false">IF(G252="","",IF(N(H252)&gt;=G252,"Pago",IF(N(H252)&gt;0,"Parcial","Pendente")))</f>
        <v/>
      </c>
      <c r="P252" s="24"/>
    </row>
    <row r="253" customFormat="false" ht="15" hidden="false" customHeight="false" outlineLevel="0" collapsed="false">
      <c r="A253" s="22"/>
      <c r="B253" s="23"/>
      <c r="C253" s="24"/>
      <c r="D253" s="24"/>
      <c r="E253" s="24"/>
      <c r="F253" s="24"/>
      <c r="G253" s="25"/>
      <c r="H253" s="25"/>
      <c r="I253" s="24"/>
      <c r="J253" s="24"/>
      <c r="K253" s="25"/>
      <c r="L253" s="25"/>
      <c r="M253" s="26" t="str">
        <f aca="false">IF(G253="","",G253-N(H253))</f>
        <v/>
      </c>
      <c r="N253" s="26" t="str">
        <f aca="false">IF(G253="","",G253-N(K253)-N(L253))</f>
        <v/>
      </c>
      <c r="O253" s="27" t="str">
        <f aca="false">IF(G253="","",IF(N(H253)&gt;=G253,"Pago",IF(N(H253)&gt;0,"Parcial","Pendente")))</f>
        <v/>
      </c>
      <c r="P253" s="24"/>
    </row>
    <row r="254" customFormat="false" ht="15" hidden="false" customHeight="false" outlineLevel="0" collapsed="false">
      <c r="A254" s="22"/>
      <c r="B254" s="23"/>
      <c r="C254" s="24"/>
      <c r="D254" s="24"/>
      <c r="E254" s="24"/>
      <c r="F254" s="24"/>
      <c r="G254" s="25"/>
      <c r="H254" s="25"/>
      <c r="I254" s="24"/>
      <c r="J254" s="24"/>
      <c r="K254" s="25"/>
      <c r="L254" s="25"/>
      <c r="M254" s="26" t="str">
        <f aca="false">IF(G254="","",G254-N(H254))</f>
        <v/>
      </c>
      <c r="N254" s="26" t="str">
        <f aca="false">IF(G254="","",G254-N(K254)-N(L254))</f>
        <v/>
      </c>
      <c r="O254" s="27" t="str">
        <f aca="false">IF(G254="","",IF(N(H254)&gt;=G254,"Pago",IF(N(H254)&gt;0,"Parcial","Pendente")))</f>
        <v/>
      </c>
      <c r="P254" s="24"/>
    </row>
    <row r="255" customFormat="false" ht="15" hidden="false" customHeight="false" outlineLevel="0" collapsed="false">
      <c r="A255" s="22"/>
      <c r="B255" s="23"/>
      <c r="C255" s="24"/>
      <c r="D255" s="24"/>
      <c r="E255" s="24"/>
      <c r="F255" s="24"/>
      <c r="G255" s="25"/>
      <c r="H255" s="25"/>
      <c r="I255" s="24"/>
      <c r="J255" s="24"/>
      <c r="K255" s="25"/>
      <c r="L255" s="25"/>
      <c r="M255" s="26" t="str">
        <f aca="false">IF(G255="","",G255-N(H255))</f>
        <v/>
      </c>
      <c r="N255" s="26" t="str">
        <f aca="false">IF(G255="","",G255-N(K255)-N(L255))</f>
        <v/>
      </c>
      <c r="O255" s="27" t="str">
        <f aca="false">IF(G255="","",IF(N(H255)&gt;=G255,"Pago",IF(N(H255)&gt;0,"Parcial","Pendente")))</f>
        <v/>
      </c>
      <c r="P255" s="24"/>
    </row>
    <row r="256" customFormat="false" ht="15" hidden="false" customHeight="false" outlineLevel="0" collapsed="false">
      <c r="A256" s="22"/>
      <c r="B256" s="23"/>
      <c r="C256" s="24"/>
      <c r="D256" s="24"/>
      <c r="E256" s="24"/>
      <c r="F256" s="24"/>
      <c r="G256" s="25"/>
      <c r="H256" s="25"/>
      <c r="I256" s="24"/>
      <c r="J256" s="24"/>
      <c r="K256" s="25"/>
      <c r="L256" s="25"/>
      <c r="M256" s="26" t="str">
        <f aca="false">IF(G256="","",G256-N(H256))</f>
        <v/>
      </c>
      <c r="N256" s="26" t="str">
        <f aca="false">IF(G256="","",G256-N(K256)-N(L256))</f>
        <v/>
      </c>
      <c r="O256" s="27" t="str">
        <f aca="false">IF(G256="","",IF(N(H256)&gt;=G256,"Pago",IF(N(H256)&gt;0,"Parcial","Pendente")))</f>
        <v/>
      </c>
      <c r="P256" s="24"/>
    </row>
    <row r="257" customFormat="false" ht="15" hidden="false" customHeight="false" outlineLevel="0" collapsed="false">
      <c r="A257" s="22"/>
      <c r="B257" s="23"/>
      <c r="C257" s="24"/>
      <c r="D257" s="24"/>
      <c r="E257" s="24"/>
      <c r="F257" s="24"/>
      <c r="G257" s="25"/>
      <c r="H257" s="25"/>
      <c r="I257" s="24"/>
      <c r="J257" s="24"/>
      <c r="K257" s="25"/>
      <c r="L257" s="25"/>
      <c r="M257" s="26" t="str">
        <f aca="false">IF(G257="","",G257-N(H257))</f>
        <v/>
      </c>
      <c r="N257" s="26" t="str">
        <f aca="false">IF(G257="","",G257-N(K257)-N(L257))</f>
        <v/>
      </c>
      <c r="O257" s="27" t="str">
        <f aca="false">IF(G257="","",IF(N(H257)&gt;=G257,"Pago",IF(N(H257)&gt;0,"Parcial","Pendente")))</f>
        <v/>
      </c>
      <c r="P257" s="24"/>
    </row>
    <row r="258" customFormat="false" ht="15" hidden="false" customHeight="false" outlineLevel="0" collapsed="false">
      <c r="A258" s="22"/>
      <c r="B258" s="23"/>
      <c r="C258" s="24"/>
      <c r="D258" s="24"/>
      <c r="E258" s="24"/>
      <c r="F258" s="24"/>
      <c r="G258" s="25"/>
      <c r="H258" s="25"/>
      <c r="I258" s="24"/>
      <c r="J258" s="24"/>
      <c r="K258" s="25"/>
      <c r="L258" s="25"/>
      <c r="M258" s="26" t="str">
        <f aca="false">IF(G258="","",G258-N(H258))</f>
        <v/>
      </c>
      <c r="N258" s="26" t="str">
        <f aca="false">IF(G258="","",G258-N(K258)-N(L258))</f>
        <v/>
      </c>
      <c r="O258" s="27" t="str">
        <f aca="false">IF(G258="","",IF(N(H258)&gt;=G258,"Pago",IF(N(H258)&gt;0,"Parcial","Pendente")))</f>
        <v/>
      </c>
      <c r="P258" s="24"/>
    </row>
    <row r="259" customFormat="false" ht="15" hidden="false" customHeight="false" outlineLevel="0" collapsed="false">
      <c r="A259" s="22"/>
      <c r="B259" s="23"/>
      <c r="C259" s="24"/>
      <c r="D259" s="24"/>
      <c r="E259" s="24"/>
      <c r="F259" s="24"/>
      <c r="G259" s="25"/>
      <c r="H259" s="25"/>
      <c r="I259" s="24"/>
      <c r="J259" s="24"/>
      <c r="K259" s="25"/>
      <c r="L259" s="25"/>
      <c r="M259" s="26" t="str">
        <f aca="false">IF(G259="","",G259-N(H259))</f>
        <v/>
      </c>
      <c r="N259" s="26" t="str">
        <f aca="false">IF(G259="","",G259-N(K259)-N(L259))</f>
        <v/>
      </c>
      <c r="O259" s="27" t="str">
        <f aca="false">IF(G259="","",IF(N(H259)&gt;=G259,"Pago",IF(N(H259)&gt;0,"Parcial","Pendente")))</f>
        <v/>
      </c>
      <c r="P259" s="24"/>
    </row>
    <row r="260" customFormat="false" ht="15" hidden="false" customHeight="false" outlineLevel="0" collapsed="false">
      <c r="A260" s="22"/>
      <c r="B260" s="23"/>
      <c r="C260" s="24"/>
      <c r="D260" s="24"/>
      <c r="E260" s="24"/>
      <c r="F260" s="24"/>
      <c r="G260" s="25"/>
      <c r="H260" s="25"/>
      <c r="I260" s="24"/>
      <c r="J260" s="24"/>
      <c r="K260" s="25"/>
      <c r="L260" s="25"/>
      <c r="M260" s="26" t="str">
        <f aca="false">IF(G260="","",G260-N(H260))</f>
        <v/>
      </c>
      <c r="N260" s="26" t="str">
        <f aca="false">IF(G260="","",G260-N(K260)-N(L260))</f>
        <v/>
      </c>
      <c r="O260" s="27" t="str">
        <f aca="false">IF(G260="","",IF(N(H260)&gt;=G260,"Pago",IF(N(H260)&gt;0,"Parcial","Pendente")))</f>
        <v/>
      </c>
      <c r="P260" s="24"/>
    </row>
    <row r="261" customFormat="false" ht="15" hidden="false" customHeight="false" outlineLevel="0" collapsed="false">
      <c r="A261" s="22"/>
      <c r="B261" s="23"/>
      <c r="C261" s="24"/>
      <c r="D261" s="24"/>
      <c r="E261" s="24"/>
      <c r="F261" s="24"/>
      <c r="G261" s="25"/>
      <c r="H261" s="25"/>
      <c r="I261" s="24"/>
      <c r="J261" s="24"/>
      <c r="K261" s="25"/>
      <c r="L261" s="25"/>
      <c r="M261" s="26" t="str">
        <f aca="false">IF(G261="","",G261-N(H261))</f>
        <v/>
      </c>
      <c r="N261" s="26" t="str">
        <f aca="false">IF(G261="","",G261-N(K261)-N(L261))</f>
        <v/>
      </c>
      <c r="O261" s="27" t="str">
        <f aca="false">IF(G261="","",IF(N(H261)&gt;=G261,"Pago",IF(N(H261)&gt;0,"Parcial","Pendente")))</f>
        <v/>
      </c>
      <c r="P261" s="24"/>
    </row>
    <row r="262" customFormat="false" ht="15" hidden="false" customHeight="false" outlineLevel="0" collapsed="false">
      <c r="A262" s="22"/>
      <c r="B262" s="23"/>
      <c r="C262" s="24"/>
      <c r="D262" s="24"/>
      <c r="E262" s="24"/>
      <c r="F262" s="24"/>
      <c r="G262" s="25"/>
      <c r="H262" s="25"/>
      <c r="I262" s="24"/>
      <c r="J262" s="24"/>
      <c r="K262" s="25"/>
      <c r="L262" s="25"/>
      <c r="M262" s="26" t="str">
        <f aca="false">IF(G262="","",G262-N(H262))</f>
        <v/>
      </c>
      <c r="N262" s="26" t="str">
        <f aca="false">IF(G262="","",G262-N(K262)-N(L262))</f>
        <v/>
      </c>
      <c r="O262" s="27" t="str">
        <f aca="false">IF(G262="","",IF(N(H262)&gt;=G262,"Pago",IF(N(H262)&gt;0,"Parcial","Pendente")))</f>
        <v/>
      </c>
      <c r="P262" s="24"/>
    </row>
    <row r="263" customFormat="false" ht="15" hidden="false" customHeight="false" outlineLevel="0" collapsed="false">
      <c r="A263" s="22"/>
      <c r="B263" s="23"/>
      <c r="C263" s="24"/>
      <c r="D263" s="24"/>
      <c r="E263" s="24"/>
      <c r="F263" s="24"/>
      <c r="G263" s="25"/>
      <c r="H263" s="25"/>
      <c r="I263" s="24"/>
      <c r="J263" s="24"/>
      <c r="K263" s="25"/>
      <c r="L263" s="25"/>
      <c r="M263" s="26" t="str">
        <f aca="false">IF(G263="","",G263-N(H263))</f>
        <v/>
      </c>
      <c r="N263" s="26" t="str">
        <f aca="false">IF(G263="","",G263-N(K263)-N(L263))</f>
        <v/>
      </c>
      <c r="O263" s="27" t="str">
        <f aca="false">IF(G263="","",IF(N(H263)&gt;=G263,"Pago",IF(N(H263)&gt;0,"Parcial","Pendente")))</f>
        <v/>
      </c>
      <c r="P263" s="24"/>
    </row>
    <row r="264" customFormat="false" ht="15" hidden="false" customHeight="false" outlineLevel="0" collapsed="false">
      <c r="A264" s="22"/>
      <c r="B264" s="23"/>
      <c r="C264" s="24"/>
      <c r="D264" s="24"/>
      <c r="E264" s="24"/>
      <c r="F264" s="24"/>
      <c r="G264" s="25"/>
      <c r="H264" s="25"/>
      <c r="I264" s="24"/>
      <c r="J264" s="24"/>
      <c r="K264" s="25"/>
      <c r="L264" s="25"/>
      <c r="M264" s="26" t="str">
        <f aca="false">IF(G264="","",G264-N(H264))</f>
        <v/>
      </c>
      <c r="N264" s="26" t="str">
        <f aca="false">IF(G264="","",G264-N(K264)-N(L264))</f>
        <v/>
      </c>
      <c r="O264" s="27" t="str">
        <f aca="false">IF(G264="","",IF(N(H264)&gt;=G264,"Pago",IF(N(H264)&gt;0,"Parcial","Pendente")))</f>
        <v/>
      </c>
      <c r="P264" s="24"/>
    </row>
    <row r="265" customFormat="false" ht="15" hidden="false" customHeight="false" outlineLevel="0" collapsed="false">
      <c r="A265" s="22"/>
      <c r="B265" s="23"/>
      <c r="C265" s="24"/>
      <c r="D265" s="24"/>
      <c r="E265" s="24"/>
      <c r="F265" s="24"/>
      <c r="G265" s="25"/>
      <c r="H265" s="25"/>
      <c r="I265" s="24"/>
      <c r="J265" s="24"/>
      <c r="K265" s="25"/>
      <c r="L265" s="25"/>
      <c r="M265" s="26" t="str">
        <f aca="false">IF(G265="","",G265-N(H265))</f>
        <v/>
      </c>
      <c r="N265" s="26" t="str">
        <f aca="false">IF(G265="","",G265-N(K265)-N(L265))</f>
        <v/>
      </c>
      <c r="O265" s="27" t="str">
        <f aca="false">IF(G265="","",IF(N(H265)&gt;=G265,"Pago",IF(N(H265)&gt;0,"Parcial","Pendente")))</f>
        <v/>
      </c>
      <c r="P265" s="24"/>
    </row>
    <row r="266" customFormat="false" ht="15" hidden="false" customHeight="false" outlineLevel="0" collapsed="false">
      <c r="A266" s="22"/>
      <c r="B266" s="23"/>
      <c r="C266" s="24"/>
      <c r="D266" s="24"/>
      <c r="E266" s="24"/>
      <c r="F266" s="24"/>
      <c r="G266" s="25"/>
      <c r="H266" s="25"/>
      <c r="I266" s="24"/>
      <c r="J266" s="24"/>
      <c r="K266" s="25"/>
      <c r="L266" s="25"/>
      <c r="M266" s="26" t="str">
        <f aca="false">IF(G266="","",G266-N(H266))</f>
        <v/>
      </c>
      <c r="N266" s="26" t="str">
        <f aca="false">IF(G266="","",G266-N(K266)-N(L266))</f>
        <v/>
      </c>
      <c r="O266" s="27" t="str">
        <f aca="false">IF(G266="","",IF(N(H266)&gt;=G266,"Pago",IF(N(H266)&gt;0,"Parcial","Pendente")))</f>
        <v/>
      </c>
      <c r="P266" s="24"/>
    </row>
    <row r="267" customFormat="false" ht="15" hidden="false" customHeight="false" outlineLevel="0" collapsed="false">
      <c r="A267" s="22"/>
      <c r="B267" s="23"/>
      <c r="C267" s="24"/>
      <c r="D267" s="24"/>
      <c r="E267" s="24"/>
      <c r="F267" s="24"/>
      <c r="G267" s="25"/>
      <c r="H267" s="25"/>
      <c r="I267" s="24"/>
      <c r="J267" s="24"/>
      <c r="K267" s="25"/>
      <c r="L267" s="25"/>
      <c r="M267" s="26" t="str">
        <f aca="false">IF(G267="","",G267-N(H267))</f>
        <v/>
      </c>
      <c r="N267" s="26" t="str">
        <f aca="false">IF(G267="","",G267-N(K267)-N(L267))</f>
        <v/>
      </c>
      <c r="O267" s="27" t="str">
        <f aca="false">IF(G267="","",IF(N(H267)&gt;=G267,"Pago",IF(N(H267)&gt;0,"Parcial","Pendente")))</f>
        <v/>
      </c>
      <c r="P267" s="24"/>
    </row>
    <row r="268" customFormat="false" ht="15" hidden="false" customHeight="false" outlineLevel="0" collapsed="false">
      <c r="A268" s="22"/>
      <c r="B268" s="23"/>
      <c r="C268" s="24"/>
      <c r="D268" s="24"/>
      <c r="E268" s="24"/>
      <c r="F268" s="24"/>
      <c r="G268" s="25"/>
      <c r="H268" s="25"/>
      <c r="I268" s="24"/>
      <c r="J268" s="24"/>
      <c r="K268" s="25"/>
      <c r="L268" s="25"/>
      <c r="M268" s="26" t="str">
        <f aca="false">IF(G268="","",G268-N(H268))</f>
        <v/>
      </c>
      <c r="N268" s="26" t="str">
        <f aca="false">IF(G268="","",G268-N(K268)-N(L268))</f>
        <v/>
      </c>
      <c r="O268" s="27" t="str">
        <f aca="false">IF(G268="","",IF(N(H268)&gt;=G268,"Pago",IF(N(H268)&gt;0,"Parcial","Pendente")))</f>
        <v/>
      </c>
      <c r="P268" s="24"/>
    </row>
    <row r="269" customFormat="false" ht="15" hidden="false" customHeight="false" outlineLevel="0" collapsed="false">
      <c r="A269" s="22"/>
      <c r="B269" s="23"/>
      <c r="C269" s="24"/>
      <c r="D269" s="24"/>
      <c r="E269" s="24"/>
      <c r="F269" s="24"/>
      <c r="G269" s="25"/>
      <c r="H269" s="25"/>
      <c r="I269" s="24"/>
      <c r="J269" s="24"/>
      <c r="K269" s="25"/>
      <c r="L269" s="25"/>
      <c r="M269" s="26" t="str">
        <f aca="false">IF(G269="","",G269-N(H269))</f>
        <v/>
      </c>
      <c r="N269" s="26" t="str">
        <f aca="false">IF(G269="","",G269-N(K269)-N(L269))</f>
        <v/>
      </c>
      <c r="O269" s="27" t="str">
        <f aca="false">IF(G269="","",IF(N(H269)&gt;=G269,"Pago",IF(N(H269)&gt;0,"Parcial","Pendente")))</f>
        <v/>
      </c>
      <c r="P269" s="24"/>
    </row>
    <row r="270" customFormat="false" ht="15" hidden="false" customHeight="false" outlineLevel="0" collapsed="false">
      <c r="A270" s="22"/>
      <c r="B270" s="23"/>
      <c r="C270" s="24"/>
      <c r="D270" s="24"/>
      <c r="E270" s="24"/>
      <c r="F270" s="24"/>
      <c r="G270" s="25"/>
      <c r="H270" s="25"/>
      <c r="I270" s="24"/>
      <c r="J270" s="24"/>
      <c r="K270" s="25"/>
      <c r="L270" s="25"/>
      <c r="M270" s="26" t="str">
        <f aca="false">IF(G270="","",G270-N(H270))</f>
        <v/>
      </c>
      <c r="N270" s="26" t="str">
        <f aca="false">IF(G270="","",G270-N(K270)-N(L270))</f>
        <v/>
      </c>
      <c r="O270" s="27" t="str">
        <f aca="false">IF(G270="","",IF(N(H270)&gt;=G270,"Pago",IF(N(H270)&gt;0,"Parcial","Pendente")))</f>
        <v/>
      </c>
      <c r="P270" s="24"/>
    </row>
    <row r="271" customFormat="false" ht="15" hidden="false" customHeight="false" outlineLevel="0" collapsed="false">
      <c r="A271" s="22"/>
      <c r="B271" s="23"/>
      <c r="C271" s="24"/>
      <c r="D271" s="24"/>
      <c r="E271" s="24"/>
      <c r="F271" s="24"/>
      <c r="G271" s="25"/>
      <c r="H271" s="25"/>
      <c r="I271" s="24"/>
      <c r="J271" s="24"/>
      <c r="K271" s="25"/>
      <c r="L271" s="25"/>
      <c r="M271" s="26" t="str">
        <f aca="false">IF(G271="","",G271-N(H271))</f>
        <v/>
      </c>
      <c r="N271" s="26" t="str">
        <f aca="false">IF(G271="","",G271-N(K271)-N(L271))</f>
        <v/>
      </c>
      <c r="O271" s="27" t="str">
        <f aca="false">IF(G271="","",IF(N(H271)&gt;=G271,"Pago",IF(N(H271)&gt;0,"Parcial","Pendente")))</f>
        <v/>
      </c>
      <c r="P271" s="24"/>
    </row>
    <row r="272" customFormat="false" ht="15" hidden="false" customHeight="false" outlineLevel="0" collapsed="false">
      <c r="A272" s="22"/>
      <c r="B272" s="23"/>
      <c r="C272" s="24"/>
      <c r="D272" s="24"/>
      <c r="E272" s="24"/>
      <c r="F272" s="24"/>
      <c r="G272" s="25"/>
      <c r="H272" s="25"/>
      <c r="I272" s="24"/>
      <c r="J272" s="24"/>
      <c r="K272" s="25"/>
      <c r="L272" s="25"/>
      <c r="M272" s="26" t="str">
        <f aca="false">IF(G272="","",G272-N(H272))</f>
        <v/>
      </c>
      <c r="N272" s="26" t="str">
        <f aca="false">IF(G272="","",G272-N(K272)-N(L272))</f>
        <v/>
      </c>
      <c r="O272" s="27" t="str">
        <f aca="false">IF(G272="","",IF(N(H272)&gt;=G272,"Pago",IF(N(H272)&gt;0,"Parcial","Pendente")))</f>
        <v/>
      </c>
      <c r="P272" s="24"/>
    </row>
    <row r="273" customFormat="false" ht="15" hidden="false" customHeight="false" outlineLevel="0" collapsed="false">
      <c r="A273" s="22"/>
      <c r="B273" s="23"/>
      <c r="C273" s="24"/>
      <c r="D273" s="24"/>
      <c r="E273" s="24"/>
      <c r="F273" s="24"/>
      <c r="G273" s="25"/>
      <c r="H273" s="25"/>
      <c r="I273" s="24"/>
      <c r="J273" s="24"/>
      <c r="K273" s="25"/>
      <c r="L273" s="25"/>
      <c r="M273" s="26" t="str">
        <f aca="false">IF(G273="","",G273-N(H273))</f>
        <v/>
      </c>
      <c r="N273" s="26" t="str">
        <f aca="false">IF(G273="","",G273-N(K273)-N(L273))</f>
        <v/>
      </c>
      <c r="O273" s="27" t="str">
        <f aca="false">IF(G273="","",IF(N(H273)&gt;=G273,"Pago",IF(N(H273)&gt;0,"Parcial","Pendente")))</f>
        <v/>
      </c>
      <c r="P273" s="24"/>
    </row>
    <row r="274" customFormat="false" ht="15" hidden="false" customHeight="false" outlineLevel="0" collapsed="false">
      <c r="A274" s="22"/>
      <c r="B274" s="23"/>
      <c r="C274" s="24"/>
      <c r="D274" s="24"/>
      <c r="E274" s="24"/>
      <c r="F274" s="24"/>
      <c r="G274" s="25"/>
      <c r="H274" s="25"/>
      <c r="I274" s="24"/>
      <c r="J274" s="24"/>
      <c r="K274" s="25"/>
      <c r="L274" s="25"/>
      <c r="M274" s="26" t="str">
        <f aca="false">IF(G274="","",G274-N(H274))</f>
        <v/>
      </c>
      <c r="N274" s="26" t="str">
        <f aca="false">IF(G274="","",G274-N(K274)-N(L274))</f>
        <v/>
      </c>
      <c r="O274" s="27" t="str">
        <f aca="false">IF(G274="","",IF(N(H274)&gt;=G274,"Pago",IF(N(H274)&gt;0,"Parcial","Pendente")))</f>
        <v/>
      </c>
      <c r="P274" s="24"/>
    </row>
    <row r="275" customFormat="false" ht="15" hidden="false" customHeight="false" outlineLevel="0" collapsed="false">
      <c r="A275" s="22"/>
      <c r="B275" s="23"/>
      <c r="C275" s="24"/>
      <c r="D275" s="24"/>
      <c r="E275" s="24"/>
      <c r="F275" s="24"/>
      <c r="G275" s="25"/>
      <c r="H275" s="25"/>
      <c r="I275" s="24"/>
      <c r="J275" s="24"/>
      <c r="K275" s="25"/>
      <c r="L275" s="25"/>
      <c r="M275" s="26" t="str">
        <f aca="false">IF(G275="","",G275-N(H275))</f>
        <v/>
      </c>
      <c r="N275" s="26" t="str">
        <f aca="false">IF(G275="","",G275-N(K275)-N(L275))</f>
        <v/>
      </c>
      <c r="O275" s="27" t="str">
        <f aca="false">IF(G275="","",IF(N(H275)&gt;=G275,"Pago",IF(N(H275)&gt;0,"Parcial","Pendente")))</f>
        <v/>
      </c>
      <c r="P275" s="24"/>
    </row>
    <row r="276" customFormat="false" ht="15" hidden="false" customHeight="false" outlineLevel="0" collapsed="false">
      <c r="A276" s="22"/>
      <c r="B276" s="23"/>
      <c r="C276" s="24"/>
      <c r="D276" s="24"/>
      <c r="E276" s="24"/>
      <c r="F276" s="24"/>
      <c r="G276" s="25"/>
      <c r="H276" s="25"/>
      <c r="I276" s="24"/>
      <c r="J276" s="24"/>
      <c r="K276" s="25"/>
      <c r="L276" s="25"/>
      <c r="M276" s="26" t="str">
        <f aca="false">IF(G276="","",G276-N(H276))</f>
        <v/>
      </c>
      <c r="N276" s="26" t="str">
        <f aca="false">IF(G276="","",G276-N(K276)-N(L276))</f>
        <v/>
      </c>
      <c r="O276" s="27" t="str">
        <f aca="false">IF(G276="","",IF(N(H276)&gt;=G276,"Pago",IF(N(H276)&gt;0,"Parcial","Pendente")))</f>
        <v/>
      </c>
      <c r="P276" s="24"/>
    </row>
    <row r="277" customFormat="false" ht="15" hidden="false" customHeight="false" outlineLevel="0" collapsed="false">
      <c r="A277" s="22"/>
      <c r="B277" s="23"/>
      <c r="C277" s="24"/>
      <c r="D277" s="24"/>
      <c r="E277" s="24"/>
      <c r="F277" s="24"/>
      <c r="G277" s="25"/>
      <c r="H277" s="25"/>
      <c r="I277" s="24"/>
      <c r="J277" s="24"/>
      <c r="K277" s="25"/>
      <c r="L277" s="25"/>
      <c r="M277" s="26" t="str">
        <f aca="false">IF(G277="","",G277-N(H277))</f>
        <v/>
      </c>
      <c r="N277" s="26" t="str">
        <f aca="false">IF(G277="","",G277-N(K277)-N(L277))</f>
        <v/>
      </c>
      <c r="O277" s="27" t="str">
        <f aca="false">IF(G277="","",IF(N(H277)&gt;=G277,"Pago",IF(N(H277)&gt;0,"Parcial","Pendente")))</f>
        <v/>
      </c>
      <c r="P277" s="24"/>
    </row>
    <row r="278" customFormat="false" ht="15" hidden="false" customHeight="false" outlineLevel="0" collapsed="false">
      <c r="A278" s="22"/>
      <c r="B278" s="23"/>
      <c r="C278" s="24"/>
      <c r="D278" s="24"/>
      <c r="E278" s="24"/>
      <c r="F278" s="24"/>
      <c r="G278" s="25"/>
      <c r="H278" s="25"/>
      <c r="I278" s="24"/>
      <c r="J278" s="24"/>
      <c r="K278" s="25"/>
      <c r="L278" s="25"/>
      <c r="M278" s="26" t="str">
        <f aca="false">IF(G278="","",G278-N(H278))</f>
        <v/>
      </c>
      <c r="N278" s="26" t="str">
        <f aca="false">IF(G278="","",G278-N(K278)-N(L278))</f>
        <v/>
      </c>
      <c r="O278" s="27" t="str">
        <f aca="false">IF(G278="","",IF(N(H278)&gt;=G278,"Pago",IF(N(H278)&gt;0,"Parcial","Pendente")))</f>
        <v/>
      </c>
      <c r="P278" s="24"/>
    </row>
    <row r="279" customFormat="false" ht="15" hidden="false" customHeight="false" outlineLevel="0" collapsed="false">
      <c r="A279" s="22"/>
      <c r="B279" s="23"/>
      <c r="C279" s="24"/>
      <c r="D279" s="24"/>
      <c r="E279" s="24"/>
      <c r="F279" s="24"/>
      <c r="G279" s="25"/>
      <c r="H279" s="25"/>
      <c r="I279" s="24"/>
      <c r="J279" s="24"/>
      <c r="K279" s="25"/>
      <c r="L279" s="25"/>
      <c r="M279" s="26" t="str">
        <f aca="false">IF(G279="","",G279-N(H279))</f>
        <v/>
      </c>
      <c r="N279" s="26" t="str">
        <f aca="false">IF(G279="","",G279-N(K279)-N(L279))</f>
        <v/>
      </c>
      <c r="O279" s="27" t="str">
        <f aca="false">IF(G279="","",IF(N(H279)&gt;=G279,"Pago",IF(N(H279)&gt;0,"Parcial","Pendente")))</f>
        <v/>
      </c>
      <c r="P279" s="24"/>
    </row>
    <row r="280" customFormat="false" ht="15" hidden="false" customHeight="false" outlineLevel="0" collapsed="false">
      <c r="A280" s="22"/>
      <c r="B280" s="23"/>
      <c r="C280" s="24"/>
      <c r="D280" s="24"/>
      <c r="E280" s="24"/>
      <c r="F280" s="24"/>
      <c r="G280" s="25"/>
      <c r="H280" s="25"/>
      <c r="I280" s="24"/>
      <c r="J280" s="24"/>
      <c r="K280" s="25"/>
      <c r="L280" s="25"/>
      <c r="M280" s="26" t="str">
        <f aca="false">IF(G280="","",G280-N(H280))</f>
        <v/>
      </c>
      <c r="N280" s="26" t="str">
        <f aca="false">IF(G280="","",G280-N(K280)-N(L280))</f>
        <v/>
      </c>
      <c r="O280" s="27" t="str">
        <f aca="false">IF(G280="","",IF(N(H280)&gt;=G280,"Pago",IF(N(H280)&gt;0,"Parcial","Pendente")))</f>
        <v/>
      </c>
      <c r="P280" s="24"/>
    </row>
    <row r="281" customFormat="false" ht="15" hidden="false" customHeight="false" outlineLevel="0" collapsed="false">
      <c r="A281" s="22"/>
      <c r="B281" s="23"/>
      <c r="C281" s="24"/>
      <c r="D281" s="24"/>
      <c r="E281" s="24"/>
      <c r="F281" s="24"/>
      <c r="G281" s="25"/>
      <c r="H281" s="25"/>
      <c r="I281" s="24"/>
      <c r="J281" s="24"/>
      <c r="K281" s="25"/>
      <c r="L281" s="25"/>
      <c r="M281" s="26" t="str">
        <f aca="false">IF(G281="","",G281-N(H281))</f>
        <v/>
      </c>
      <c r="N281" s="26" t="str">
        <f aca="false">IF(G281="","",G281-N(K281)-N(L281))</f>
        <v/>
      </c>
      <c r="O281" s="27" t="str">
        <f aca="false">IF(G281="","",IF(N(H281)&gt;=G281,"Pago",IF(N(H281)&gt;0,"Parcial","Pendente")))</f>
        <v/>
      </c>
      <c r="P281" s="24"/>
    </row>
    <row r="282" customFormat="false" ht="15" hidden="false" customHeight="false" outlineLevel="0" collapsed="false">
      <c r="A282" s="22"/>
      <c r="B282" s="23"/>
      <c r="C282" s="24"/>
      <c r="D282" s="24"/>
      <c r="E282" s="24"/>
      <c r="F282" s="24"/>
      <c r="G282" s="25"/>
      <c r="H282" s="25"/>
      <c r="I282" s="24"/>
      <c r="J282" s="24"/>
      <c r="K282" s="25"/>
      <c r="L282" s="25"/>
      <c r="M282" s="26" t="str">
        <f aca="false">IF(G282="","",G282-N(H282))</f>
        <v/>
      </c>
      <c r="N282" s="26" t="str">
        <f aca="false">IF(G282="","",G282-N(K282)-N(L282))</f>
        <v/>
      </c>
      <c r="O282" s="27" t="str">
        <f aca="false">IF(G282="","",IF(N(H282)&gt;=G282,"Pago",IF(N(H282)&gt;0,"Parcial","Pendente")))</f>
        <v/>
      </c>
      <c r="P282" s="24"/>
    </row>
    <row r="283" customFormat="false" ht="15" hidden="false" customHeight="false" outlineLevel="0" collapsed="false">
      <c r="A283" s="22"/>
      <c r="B283" s="23"/>
      <c r="C283" s="24"/>
      <c r="D283" s="24"/>
      <c r="E283" s="24"/>
      <c r="F283" s="24"/>
      <c r="G283" s="25"/>
      <c r="H283" s="25"/>
      <c r="I283" s="24"/>
      <c r="J283" s="24"/>
      <c r="K283" s="25"/>
      <c r="L283" s="25"/>
      <c r="M283" s="26" t="str">
        <f aca="false">IF(G283="","",G283-N(H283))</f>
        <v/>
      </c>
      <c r="N283" s="26" t="str">
        <f aca="false">IF(G283="","",G283-N(K283)-N(L283))</f>
        <v/>
      </c>
      <c r="O283" s="27" t="str">
        <f aca="false">IF(G283="","",IF(N(H283)&gt;=G283,"Pago",IF(N(H283)&gt;0,"Parcial","Pendente")))</f>
        <v/>
      </c>
      <c r="P283" s="24"/>
    </row>
    <row r="284" customFormat="false" ht="15" hidden="false" customHeight="false" outlineLevel="0" collapsed="false">
      <c r="A284" s="22"/>
      <c r="B284" s="23"/>
      <c r="C284" s="24"/>
      <c r="D284" s="24"/>
      <c r="E284" s="24"/>
      <c r="F284" s="24"/>
      <c r="G284" s="25"/>
      <c r="H284" s="25"/>
      <c r="I284" s="24"/>
      <c r="J284" s="24"/>
      <c r="K284" s="25"/>
      <c r="L284" s="25"/>
      <c r="M284" s="26" t="str">
        <f aca="false">IF(G284="","",G284-N(H284))</f>
        <v/>
      </c>
      <c r="N284" s="26" t="str">
        <f aca="false">IF(G284="","",G284-N(K284)-N(L284))</f>
        <v/>
      </c>
      <c r="O284" s="27" t="str">
        <f aca="false">IF(G284="","",IF(N(H284)&gt;=G284,"Pago",IF(N(H284)&gt;0,"Parcial","Pendente")))</f>
        <v/>
      </c>
      <c r="P284" s="24"/>
    </row>
    <row r="285" customFormat="false" ht="15" hidden="false" customHeight="false" outlineLevel="0" collapsed="false">
      <c r="A285" s="22"/>
      <c r="B285" s="23"/>
      <c r="C285" s="24"/>
      <c r="D285" s="24"/>
      <c r="E285" s="24"/>
      <c r="F285" s="24"/>
      <c r="G285" s="25"/>
      <c r="H285" s="25"/>
      <c r="I285" s="24"/>
      <c r="J285" s="24"/>
      <c r="K285" s="25"/>
      <c r="L285" s="25"/>
      <c r="M285" s="26" t="str">
        <f aca="false">IF(G285="","",G285-N(H285))</f>
        <v/>
      </c>
      <c r="N285" s="26" t="str">
        <f aca="false">IF(G285="","",G285-N(K285)-N(L285))</f>
        <v/>
      </c>
      <c r="O285" s="27" t="str">
        <f aca="false">IF(G285="","",IF(N(H285)&gt;=G285,"Pago",IF(N(H285)&gt;0,"Parcial","Pendente")))</f>
        <v/>
      </c>
      <c r="P285" s="24"/>
    </row>
    <row r="286" customFormat="false" ht="15" hidden="false" customHeight="false" outlineLevel="0" collapsed="false">
      <c r="A286" s="22"/>
      <c r="B286" s="23"/>
      <c r="C286" s="24"/>
      <c r="D286" s="24"/>
      <c r="E286" s="24"/>
      <c r="F286" s="24"/>
      <c r="G286" s="25"/>
      <c r="H286" s="25"/>
      <c r="I286" s="24"/>
      <c r="J286" s="24"/>
      <c r="K286" s="25"/>
      <c r="L286" s="25"/>
      <c r="M286" s="26" t="str">
        <f aca="false">IF(G286="","",G286-N(H286))</f>
        <v/>
      </c>
      <c r="N286" s="26" t="str">
        <f aca="false">IF(G286="","",G286-N(K286)-N(L286))</f>
        <v/>
      </c>
      <c r="O286" s="27" t="str">
        <f aca="false">IF(G286="","",IF(N(H286)&gt;=G286,"Pago",IF(N(H286)&gt;0,"Parcial","Pendente")))</f>
        <v/>
      </c>
      <c r="P286" s="24"/>
    </row>
    <row r="287" customFormat="false" ht="15" hidden="false" customHeight="false" outlineLevel="0" collapsed="false">
      <c r="A287" s="22"/>
      <c r="B287" s="23"/>
      <c r="C287" s="24"/>
      <c r="D287" s="24"/>
      <c r="E287" s="24"/>
      <c r="F287" s="24"/>
      <c r="G287" s="25"/>
      <c r="H287" s="25"/>
      <c r="I287" s="24"/>
      <c r="J287" s="24"/>
      <c r="K287" s="25"/>
      <c r="L287" s="25"/>
      <c r="M287" s="26" t="str">
        <f aca="false">IF(G287="","",G287-N(H287))</f>
        <v/>
      </c>
      <c r="N287" s="26" t="str">
        <f aca="false">IF(G287="","",G287-N(K287)-N(L287))</f>
        <v/>
      </c>
      <c r="O287" s="27" t="str">
        <f aca="false">IF(G287="","",IF(N(H287)&gt;=G287,"Pago",IF(N(H287)&gt;0,"Parcial","Pendente")))</f>
        <v/>
      </c>
      <c r="P287" s="24"/>
    </row>
    <row r="288" customFormat="false" ht="15" hidden="false" customHeight="false" outlineLevel="0" collapsed="false">
      <c r="A288" s="22"/>
      <c r="B288" s="23"/>
      <c r="C288" s="24"/>
      <c r="D288" s="24"/>
      <c r="E288" s="24"/>
      <c r="F288" s="24"/>
      <c r="G288" s="25"/>
      <c r="H288" s="25"/>
      <c r="I288" s="24"/>
      <c r="J288" s="24"/>
      <c r="K288" s="25"/>
      <c r="L288" s="25"/>
      <c r="M288" s="26" t="str">
        <f aca="false">IF(G288="","",G288-N(H288))</f>
        <v/>
      </c>
      <c r="N288" s="26" t="str">
        <f aca="false">IF(G288="","",G288-N(K288)-N(L288))</f>
        <v/>
      </c>
      <c r="O288" s="27" t="str">
        <f aca="false">IF(G288="","",IF(N(H288)&gt;=G288,"Pago",IF(N(H288)&gt;0,"Parcial","Pendente")))</f>
        <v/>
      </c>
      <c r="P288" s="24"/>
    </row>
    <row r="289" customFormat="false" ht="15" hidden="false" customHeight="false" outlineLevel="0" collapsed="false">
      <c r="A289" s="22"/>
      <c r="B289" s="23"/>
      <c r="C289" s="24"/>
      <c r="D289" s="24"/>
      <c r="E289" s="24"/>
      <c r="F289" s="24"/>
      <c r="G289" s="25"/>
      <c r="H289" s="25"/>
      <c r="I289" s="24"/>
      <c r="J289" s="24"/>
      <c r="K289" s="25"/>
      <c r="L289" s="25"/>
      <c r="M289" s="26" t="str">
        <f aca="false">IF(G289="","",G289-N(H289))</f>
        <v/>
      </c>
      <c r="N289" s="26" t="str">
        <f aca="false">IF(G289="","",G289-N(K289)-N(L289))</f>
        <v/>
      </c>
      <c r="O289" s="27" t="str">
        <f aca="false">IF(G289="","",IF(N(H289)&gt;=G289,"Pago",IF(N(H289)&gt;0,"Parcial","Pendente")))</f>
        <v/>
      </c>
      <c r="P289" s="24"/>
    </row>
    <row r="290" customFormat="false" ht="15" hidden="false" customHeight="false" outlineLevel="0" collapsed="false">
      <c r="A290" s="22"/>
      <c r="B290" s="23"/>
      <c r="C290" s="24"/>
      <c r="D290" s="24"/>
      <c r="E290" s="24"/>
      <c r="F290" s="24"/>
      <c r="G290" s="25"/>
      <c r="H290" s="25"/>
      <c r="I290" s="24"/>
      <c r="J290" s="24"/>
      <c r="K290" s="25"/>
      <c r="L290" s="25"/>
      <c r="M290" s="26" t="str">
        <f aca="false">IF(G290="","",G290-N(H290))</f>
        <v/>
      </c>
      <c r="N290" s="26" t="str">
        <f aca="false">IF(G290="","",G290-N(K290)-N(L290))</f>
        <v/>
      </c>
      <c r="O290" s="27" t="str">
        <f aca="false">IF(G290="","",IF(N(H290)&gt;=G290,"Pago",IF(N(H290)&gt;0,"Parcial","Pendente")))</f>
        <v/>
      </c>
      <c r="P290" s="24"/>
    </row>
    <row r="291" customFormat="false" ht="15" hidden="false" customHeight="false" outlineLevel="0" collapsed="false">
      <c r="A291" s="22"/>
      <c r="B291" s="23"/>
      <c r="C291" s="24"/>
      <c r="D291" s="24"/>
      <c r="E291" s="24"/>
      <c r="F291" s="24"/>
      <c r="G291" s="25"/>
      <c r="H291" s="25"/>
      <c r="I291" s="24"/>
      <c r="J291" s="24"/>
      <c r="K291" s="25"/>
      <c r="L291" s="25"/>
      <c r="M291" s="26" t="str">
        <f aca="false">IF(G291="","",G291-N(H291))</f>
        <v/>
      </c>
      <c r="N291" s="26" t="str">
        <f aca="false">IF(G291="","",G291-N(K291)-N(L291))</f>
        <v/>
      </c>
      <c r="O291" s="27" t="str">
        <f aca="false">IF(G291="","",IF(N(H291)&gt;=G291,"Pago",IF(N(H291)&gt;0,"Parcial","Pendente")))</f>
        <v/>
      </c>
      <c r="P291" s="24"/>
    </row>
    <row r="292" customFormat="false" ht="15" hidden="false" customHeight="false" outlineLevel="0" collapsed="false">
      <c r="A292" s="22"/>
      <c r="B292" s="23"/>
      <c r="C292" s="24"/>
      <c r="D292" s="24"/>
      <c r="E292" s="24"/>
      <c r="F292" s="24"/>
      <c r="G292" s="25"/>
      <c r="H292" s="25"/>
      <c r="I292" s="24"/>
      <c r="J292" s="24"/>
      <c r="K292" s="25"/>
      <c r="L292" s="25"/>
      <c r="M292" s="26" t="str">
        <f aca="false">IF(G292="","",G292-N(H292))</f>
        <v/>
      </c>
      <c r="N292" s="26" t="str">
        <f aca="false">IF(G292="","",G292-N(K292)-N(L292))</f>
        <v/>
      </c>
      <c r="O292" s="27" t="str">
        <f aca="false">IF(G292="","",IF(N(H292)&gt;=G292,"Pago",IF(N(H292)&gt;0,"Parcial","Pendente")))</f>
        <v/>
      </c>
      <c r="P292" s="24"/>
    </row>
    <row r="293" customFormat="false" ht="15" hidden="false" customHeight="false" outlineLevel="0" collapsed="false">
      <c r="A293" s="22"/>
      <c r="B293" s="23"/>
      <c r="C293" s="24"/>
      <c r="D293" s="24"/>
      <c r="E293" s="24"/>
      <c r="F293" s="24"/>
      <c r="G293" s="25"/>
      <c r="H293" s="25"/>
      <c r="I293" s="24"/>
      <c r="J293" s="24"/>
      <c r="K293" s="25"/>
      <c r="L293" s="25"/>
      <c r="M293" s="26" t="str">
        <f aca="false">IF(G293="","",G293-N(H293))</f>
        <v/>
      </c>
      <c r="N293" s="26" t="str">
        <f aca="false">IF(G293="","",G293-N(K293)-N(L293))</f>
        <v/>
      </c>
      <c r="O293" s="27" t="str">
        <f aca="false">IF(G293="","",IF(N(H293)&gt;=G293,"Pago",IF(N(H293)&gt;0,"Parcial","Pendente")))</f>
        <v/>
      </c>
      <c r="P293" s="24"/>
    </row>
    <row r="294" customFormat="false" ht="15" hidden="false" customHeight="false" outlineLevel="0" collapsed="false">
      <c r="A294" s="22"/>
      <c r="B294" s="23"/>
      <c r="C294" s="24"/>
      <c r="D294" s="24"/>
      <c r="E294" s="24"/>
      <c r="F294" s="24"/>
      <c r="G294" s="25"/>
      <c r="H294" s="25"/>
      <c r="I294" s="24"/>
      <c r="J294" s="24"/>
      <c r="K294" s="25"/>
      <c r="L294" s="25"/>
      <c r="M294" s="26" t="str">
        <f aca="false">IF(G294="","",G294-N(H294))</f>
        <v/>
      </c>
      <c r="N294" s="26" t="str">
        <f aca="false">IF(G294="","",G294-N(K294)-N(L294))</f>
        <v/>
      </c>
      <c r="O294" s="27" t="str">
        <f aca="false">IF(G294="","",IF(N(H294)&gt;=G294,"Pago",IF(N(H294)&gt;0,"Parcial","Pendente")))</f>
        <v/>
      </c>
      <c r="P294" s="24"/>
    </row>
    <row r="295" customFormat="false" ht="15" hidden="false" customHeight="false" outlineLevel="0" collapsed="false">
      <c r="A295" s="22"/>
      <c r="B295" s="23"/>
      <c r="C295" s="24"/>
      <c r="D295" s="24"/>
      <c r="E295" s="24"/>
      <c r="F295" s="24"/>
      <c r="G295" s="25"/>
      <c r="H295" s="25"/>
      <c r="I295" s="24"/>
      <c r="J295" s="24"/>
      <c r="K295" s="25"/>
      <c r="L295" s="25"/>
      <c r="M295" s="26" t="str">
        <f aca="false">IF(G295="","",G295-N(H295))</f>
        <v/>
      </c>
      <c r="N295" s="26" t="str">
        <f aca="false">IF(G295="","",G295-N(K295)-N(L295))</f>
        <v/>
      </c>
      <c r="O295" s="27" t="str">
        <f aca="false">IF(G295="","",IF(N(H295)&gt;=G295,"Pago",IF(N(H295)&gt;0,"Parcial","Pendente")))</f>
        <v/>
      </c>
      <c r="P295" s="24"/>
    </row>
    <row r="296" customFormat="false" ht="15" hidden="false" customHeight="false" outlineLevel="0" collapsed="false">
      <c r="A296" s="22"/>
      <c r="B296" s="23"/>
      <c r="C296" s="24"/>
      <c r="D296" s="24"/>
      <c r="E296" s="24"/>
      <c r="F296" s="24"/>
      <c r="G296" s="25"/>
      <c r="H296" s="25"/>
      <c r="I296" s="24"/>
      <c r="J296" s="24"/>
      <c r="K296" s="25"/>
      <c r="L296" s="25"/>
      <c r="M296" s="26" t="str">
        <f aca="false">IF(G296="","",G296-N(H296))</f>
        <v/>
      </c>
      <c r="N296" s="26" t="str">
        <f aca="false">IF(G296="","",G296-N(K296)-N(L296))</f>
        <v/>
      </c>
      <c r="O296" s="27" t="str">
        <f aca="false">IF(G296="","",IF(N(H296)&gt;=G296,"Pago",IF(N(H296)&gt;0,"Parcial","Pendente")))</f>
        <v/>
      </c>
      <c r="P296" s="24"/>
    </row>
    <row r="297" customFormat="false" ht="15" hidden="false" customHeight="false" outlineLevel="0" collapsed="false">
      <c r="A297" s="22"/>
      <c r="B297" s="23"/>
      <c r="C297" s="24"/>
      <c r="D297" s="24"/>
      <c r="E297" s="24"/>
      <c r="F297" s="24"/>
      <c r="G297" s="25"/>
      <c r="H297" s="25"/>
      <c r="I297" s="24"/>
      <c r="J297" s="24"/>
      <c r="K297" s="25"/>
      <c r="L297" s="25"/>
      <c r="M297" s="26" t="str">
        <f aca="false">IF(G297="","",G297-N(H297))</f>
        <v/>
      </c>
      <c r="N297" s="26" t="str">
        <f aca="false">IF(G297="","",G297-N(K297)-N(L297))</f>
        <v/>
      </c>
      <c r="O297" s="27" t="str">
        <f aca="false">IF(G297="","",IF(N(H297)&gt;=G297,"Pago",IF(N(H297)&gt;0,"Parcial","Pendente")))</f>
        <v/>
      </c>
      <c r="P297" s="24"/>
    </row>
    <row r="298" customFormat="false" ht="15" hidden="false" customHeight="false" outlineLevel="0" collapsed="false">
      <c r="A298" s="22"/>
      <c r="B298" s="23"/>
      <c r="C298" s="24"/>
      <c r="D298" s="24"/>
      <c r="E298" s="24"/>
      <c r="F298" s="24"/>
      <c r="G298" s="25"/>
      <c r="H298" s="25"/>
      <c r="I298" s="24"/>
      <c r="J298" s="24"/>
      <c r="K298" s="25"/>
      <c r="L298" s="25"/>
      <c r="M298" s="26" t="str">
        <f aca="false">IF(G298="","",G298-N(H298))</f>
        <v/>
      </c>
      <c r="N298" s="26" t="str">
        <f aca="false">IF(G298="","",G298-N(K298)-N(L298))</f>
        <v/>
      </c>
      <c r="O298" s="27" t="str">
        <f aca="false">IF(G298="","",IF(N(H298)&gt;=G298,"Pago",IF(N(H298)&gt;0,"Parcial","Pendente")))</f>
        <v/>
      </c>
      <c r="P298" s="24"/>
    </row>
    <row r="299" customFormat="false" ht="15" hidden="false" customHeight="false" outlineLevel="0" collapsed="false">
      <c r="A299" s="22"/>
      <c r="B299" s="23"/>
      <c r="C299" s="24"/>
      <c r="D299" s="24"/>
      <c r="E299" s="24"/>
      <c r="F299" s="24"/>
      <c r="G299" s="25"/>
      <c r="H299" s="25"/>
      <c r="I299" s="24"/>
      <c r="J299" s="24"/>
      <c r="K299" s="25"/>
      <c r="L299" s="25"/>
      <c r="M299" s="26" t="str">
        <f aca="false">IF(G299="","",G299-N(H299))</f>
        <v/>
      </c>
      <c r="N299" s="26" t="str">
        <f aca="false">IF(G299="","",G299-N(K299)-N(L299))</f>
        <v/>
      </c>
      <c r="O299" s="27" t="str">
        <f aca="false">IF(G299="","",IF(N(H299)&gt;=G299,"Pago",IF(N(H299)&gt;0,"Parcial","Pendente")))</f>
        <v/>
      </c>
      <c r="P299" s="24"/>
    </row>
    <row r="300" customFormat="false" ht="15" hidden="false" customHeight="false" outlineLevel="0" collapsed="false">
      <c r="A300" s="22"/>
      <c r="B300" s="23"/>
      <c r="C300" s="24"/>
      <c r="D300" s="24"/>
      <c r="E300" s="24"/>
      <c r="F300" s="24"/>
      <c r="G300" s="25"/>
      <c r="H300" s="25"/>
      <c r="I300" s="24"/>
      <c r="J300" s="24"/>
      <c r="K300" s="25"/>
      <c r="L300" s="25"/>
      <c r="M300" s="26" t="str">
        <f aca="false">IF(G300="","",G300-N(H300))</f>
        <v/>
      </c>
      <c r="N300" s="26" t="str">
        <f aca="false">IF(G300="","",G300-N(K300)-N(L300))</f>
        <v/>
      </c>
      <c r="O300" s="27" t="str">
        <f aca="false">IF(G300="","",IF(N(H300)&gt;=G300,"Pago",IF(N(H300)&gt;0,"Parcial","Pendente")))</f>
        <v/>
      </c>
      <c r="P300" s="24"/>
    </row>
    <row r="301" customFormat="false" ht="15" hidden="false" customHeight="false" outlineLevel="0" collapsed="false">
      <c r="A301" s="22"/>
      <c r="B301" s="23"/>
      <c r="C301" s="24"/>
      <c r="D301" s="24"/>
      <c r="E301" s="24"/>
      <c r="F301" s="24"/>
      <c r="G301" s="25"/>
      <c r="H301" s="25"/>
      <c r="I301" s="24"/>
      <c r="J301" s="24"/>
      <c r="K301" s="25"/>
      <c r="L301" s="25"/>
      <c r="M301" s="26" t="str">
        <f aca="false">IF(G301="","",G301-N(H301))</f>
        <v/>
      </c>
      <c r="N301" s="26" t="str">
        <f aca="false">IF(G301="","",G301-N(K301)-N(L301))</f>
        <v/>
      </c>
      <c r="O301" s="27" t="str">
        <f aca="false">IF(G301="","",IF(N(H301)&gt;=G301,"Pago",IF(N(H301)&gt;0,"Parcial","Pendente")))</f>
        <v/>
      </c>
      <c r="P301" s="24"/>
    </row>
    <row r="302" customFormat="false" ht="15" hidden="false" customHeight="false" outlineLevel="0" collapsed="false">
      <c r="A302" s="22"/>
      <c r="B302" s="23"/>
      <c r="C302" s="24"/>
      <c r="D302" s="24"/>
      <c r="E302" s="24"/>
      <c r="F302" s="24"/>
      <c r="G302" s="25"/>
      <c r="H302" s="25"/>
      <c r="I302" s="24"/>
      <c r="J302" s="24"/>
      <c r="K302" s="25"/>
      <c r="L302" s="25"/>
      <c r="M302" s="26" t="str">
        <f aca="false">IF(G302="","",G302-N(H302))</f>
        <v/>
      </c>
      <c r="N302" s="26" t="str">
        <f aca="false">IF(G302="","",G302-N(K302)-N(L302))</f>
        <v/>
      </c>
      <c r="O302" s="27" t="str">
        <f aca="false">IF(G302="","",IF(N(H302)&gt;=G302,"Pago",IF(N(H302)&gt;0,"Parcial","Pendente")))</f>
        <v/>
      </c>
      <c r="P302" s="24"/>
    </row>
    <row r="303" customFormat="false" ht="15" hidden="false" customHeight="false" outlineLevel="0" collapsed="false">
      <c r="A303" s="22"/>
      <c r="B303" s="23"/>
      <c r="C303" s="24"/>
      <c r="D303" s="24"/>
      <c r="E303" s="24"/>
      <c r="F303" s="24"/>
      <c r="G303" s="25"/>
      <c r="H303" s="25"/>
      <c r="I303" s="24"/>
      <c r="J303" s="24"/>
      <c r="K303" s="25"/>
      <c r="L303" s="25"/>
      <c r="M303" s="26" t="str">
        <f aca="false">IF(G303="","",G303-N(H303))</f>
        <v/>
      </c>
      <c r="N303" s="26" t="str">
        <f aca="false">IF(G303="","",G303-N(K303)-N(L303))</f>
        <v/>
      </c>
      <c r="O303" s="27" t="str">
        <f aca="false">IF(G303="","",IF(N(H303)&gt;=G303,"Pago",IF(N(H303)&gt;0,"Parcial","Pendente")))</f>
        <v/>
      </c>
      <c r="P303" s="24"/>
    </row>
    <row r="304" customFormat="false" ht="15" hidden="false" customHeight="false" outlineLevel="0" collapsed="false">
      <c r="A304" s="22"/>
      <c r="B304" s="23"/>
      <c r="C304" s="24"/>
      <c r="D304" s="24"/>
      <c r="E304" s="24"/>
      <c r="F304" s="24"/>
      <c r="G304" s="25"/>
      <c r="H304" s="25"/>
      <c r="I304" s="24"/>
      <c r="J304" s="24"/>
      <c r="K304" s="25"/>
      <c r="L304" s="25"/>
      <c r="M304" s="26" t="str">
        <f aca="false">IF(G304="","",G304-N(H304))</f>
        <v/>
      </c>
      <c r="N304" s="26" t="str">
        <f aca="false">IF(G304="","",G304-N(K304)-N(L304))</f>
        <v/>
      </c>
      <c r="O304" s="27" t="str">
        <f aca="false">IF(G304="","",IF(N(H304)&gt;=G304,"Pago",IF(N(H304)&gt;0,"Parcial","Pendente")))</f>
        <v/>
      </c>
      <c r="P304" s="24"/>
    </row>
    <row r="305" customFormat="false" ht="15" hidden="false" customHeight="false" outlineLevel="0" collapsed="false">
      <c r="A305" s="22"/>
      <c r="B305" s="23"/>
      <c r="C305" s="24"/>
      <c r="D305" s="24"/>
      <c r="E305" s="24"/>
      <c r="F305" s="24"/>
      <c r="G305" s="25"/>
      <c r="H305" s="25"/>
      <c r="I305" s="24"/>
      <c r="J305" s="24"/>
      <c r="K305" s="25"/>
      <c r="L305" s="25"/>
      <c r="M305" s="26" t="str">
        <f aca="false">IF(G305="","",G305-N(H305))</f>
        <v/>
      </c>
      <c r="N305" s="26" t="str">
        <f aca="false">IF(G305="","",G305-N(K305)-N(L305))</f>
        <v/>
      </c>
      <c r="O305" s="27" t="str">
        <f aca="false">IF(G305="","",IF(N(H305)&gt;=G305,"Pago",IF(N(H305)&gt;0,"Parcial","Pendente")))</f>
        <v/>
      </c>
      <c r="P305" s="24"/>
    </row>
    <row r="306" customFormat="false" ht="15" hidden="false" customHeight="false" outlineLevel="0" collapsed="false">
      <c r="A306" s="22"/>
      <c r="B306" s="23"/>
      <c r="C306" s="24"/>
      <c r="D306" s="24"/>
      <c r="E306" s="24"/>
      <c r="F306" s="24"/>
      <c r="G306" s="25"/>
      <c r="H306" s="25"/>
      <c r="I306" s="24"/>
      <c r="J306" s="24"/>
      <c r="K306" s="25"/>
      <c r="L306" s="25"/>
      <c r="M306" s="26" t="str">
        <f aca="false">IF(G306="","",G306-N(H306))</f>
        <v/>
      </c>
      <c r="N306" s="26" t="str">
        <f aca="false">IF(G306="","",G306-N(K306)-N(L306))</f>
        <v/>
      </c>
      <c r="O306" s="27" t="str">
        <f aca="false">IF(G306="","",IF(N(H306)&gt;=G306,"Pago",IF(N(H306)&gt;0,"Parcial","Pendente")))</f>
        <v/>
      </c>
      <c r="P306" s="24"/>
    </row>
    <row r="307" customFormat="false" ht="15" hidden="false" customHeight="false" outlineLevel="0" collapsed="false">
      <c r="A307" s="22"/>
      <c r="B307" s="23"/>
      <c r="C307" s="24"/>
      <c r="D307" s="24"/>
      <c r="E307" s="24"/>
      <c r="F307" s="24"/>
      <c r="G307" s="25"/>
      <c r="H307" s="25"/>
      <c r="I307" s="24"/>
      <c r="J307" s="24"/>
      <c r="K307" s="25"/>
      <c r="L307" s="25"/>
      <c r="M307" s="26" t="str">
        <f aca="false">IF(G307="","",G307-N(H307))</f>
        <v/>
      </c>
      <c r="N307" s="26" t="str">
        <f aca="false">IF(G307="","",G307-N(K307)-N(L307))</f>
        <v/>
      </c>
      <c r="O307" s="27" t="str">
        <f aca="false">IF(G307="","",IF(N(H307)&gt;=G307,"Pago",IF(N(H307)&gt;0,"Parcial","Pendente")))</f>
        <v/>
      </c>
      <c r="P307" s="24"/>
    </row>
    <row r="308" customFormat="false" ht="15" hidden="false" customHeight="false" outlineLevel="0" collapsed="false">
      <c r="A308" s="22"/>
      <c r="B308" s="23"/>
      <c r="C308" s="24"/>
      <c r="D308" s="24"/>
      <c r="E308" s="24"/>
      <c r="F308" s="24"/>
      <c r="G308" s="25"/>
      <c r="H308" s="25"/>
      <c r="I308" s="24"/>
      <c r="J308" s="24"/>
      <c r="K308" s="25"/>
      <c r="L308" s="25"/>
      <c r="M308" s="26" t="str">
        <f aca="false">IF(G308="","",G308-N(H308))</f>
        <v/>
      </c>
      <c r="N308" s="26" t="str">
        <f aca="false">IF(G308="","",G308-N(K308)-N(L308))</f>
        <v/>
      </c>
      <c r="O308" s="27" t="str">
        <f aca="false">IF(G308="","",IF(N(H308)&gt;=G308,"Pago",IF(N(H308)&gt;0,"Parcial","Pendente")))</f>
        <v/>
      </c>
      <c r="P308" s="24"/>
    </row>
    <row r="309" customFormat="false" ht="15" hidden="false" customHeight="false" outlineLevel="0" collapsed="false">
      <c r="A309" s="22"/>
      <c r="B309" s="23"/>
      <c r="C309" s="24"/>
      <c r="D309" s="24"/>
      <c r="E309" s="24"/>
      <c r="F309" s="24"/>
      <c r="G309" s="25"/>
      <c r="H309" s="25"/>
      <c r="I309" s="24"/>
      <c r="J309" s="24"/>
      <c r="K309" s="25"/>
      <c r="L309" s="25"/>
      <c r="M309" s="26" t="str">
        <f aca="false">IF(G309="","",G309-N(H309))</f>
        <v/>
      </c>
      <c r="N309" s="26" t="str">
        <f aca="false">IF(G309="","",G309-N(K309)-N(L309))</f>
        <v/>
      </c>
      <c r="O309" s="27" t="str">
        <f aca="false">IF(G309="","",IF(N(H309)&gt;=G309,"Pago",IF(N(H309)&gt;0,"Parcial","Pendente")))</f>
        <v/>
      </c>
      <c r="P309" s="24"/>
    </row>
    <row r="310" customFormat="false" ht="15" hidden="false" customHeight="false" outlineLevel="0" collapsed="false">
      <c r="A310" s="22"/>
      <c r="B310" s="23"/>
      <c r="C310" s="24"/>
      <c r="D310" s="24"/>
      <c r="E310" s="24"/>
      <c r="F310" s="24"/>
      <c r="G310" s="25"/>
      <c r="H310" s="25"/>
      <c r="I310" s="24"/>
      <c r="J310" s="24"/>
      <c r="K310" s="25"/>
      <c r="L310" s="25"/>
      <c r="M310" s="26" t="str">
        <f aca="false">IF(G310="","",G310-N(H310))</f>
        <v/>
      </c>
      <c r="N310" s="26" t="str">
        <f aca="false">IF(G310="","",G310-N(K310)-N(L310))</f>
        <v/>
      </c>
      <c r="O310" s="27" t="str">
        <f aca="false">IF(G310="","",IF(N(H310)&gt;=G310,"Pago",IF(N(H310)&gt;0,"Parcial","Pendente")))</f>
        <v/>
      </c>
      <c r="P310" s="24"/>
    </row>
    <row r="311" customFormat="false" ht="15" hidden="false" customHeight="false" outlineLevel="0" collapsed="false">
      <c r="A311" s="22"/>
      <c r="B311" s="23"/>
      <c r="C311" s="24"/>
      <c r="D311" s="24"/>
      <c r="E311" s="24"/>
      <c r="F311" s="24"/>
      <c r="G311" s="25"/>
      <c r="H311" s="25"/>
      <c r="I311" s="24"/>
      <c r="J311" s="24"/>
      <c r="K311" s="25"/>
      <c r="L311" s="25"/>
      <c r="M311" s="26" t="str">
        <f aca="false">IF(G311="","",G311-N(H311))</f>
        <v/>
      </c>
      <c r="N311" s="26" t="str">
        <f aca="false">IF(G311="","",G311-N(K311)-N(L311))</f>
        <v/>
      </c>
      <c r="O311" s="27" t="str">
        <f aca="false">IF(G311="","",IF(N(H311)&gt;=G311,"Pago",IF(N(H311)&gt;0,"Parcial","Pendente")))</f>
        <v/>
      </c>
      <c r="P311" s="24"/>
    </row>
    <row r="312" customFormat="false" ht="15" hidden="false" customHeight="false" outlineLevel="0" collapsed="false">
      <c r="A312" s="22"/>
      <c r="B312" s="23"/>
      <c r="C312" s="24"/>
      <c r="D312" s="24"/>
      <c r="E312" s="24"/>
      <c r="F312" s="24"/>
      <c r="G312" s="25"/>
      <c r="H312" s="25"/>
      <c r="I312" s="24"/>
      <c r="J312" s="24"/>
      <c r="K312" s="25"/>
      <c r="L312" s="25"/>
      <c r="M312" s="26" t="str">
        <f aca="false">IF(G312="","",G312-N(H312))</f>
        <v/>
      </c>
      <c r="N312" s="26" t="str">
        <f aca="false">IF(G312="","",G312-N(K312)-N(L312))</f>
        <v/>
      </c>
      <c r="O312" s="27" t="str">
        <f aca="false">IF(G312="","",IF(N(H312)&gt;=G312,"Pago",IF(N(H312)&gt;0,"Parcial","Pendente")))</f>
        <v/>
      </c>
      <c r="P312" s="24"/>
    </row>
    <row r="313" customFormat="false" ht="15" hidden="false" customHeight="false" outlineLevel="0" collapsed="false">
      <c r="A313" s="22"/>
      <c r="B313" s="23"/>
      <c r="C313" s="24"/>
      <c r="D313" s="24"/>
      <c r="E313" s="24"/>
      <c r="F313" s="24"/>
      <c r="G313" s="25"/>
      <c r="H313" s="25"/>
      <c r="I313" s="24"/>
      <c r="J313" s="24"/>
      <c r="K313" s="25"/>
      <c r="L313" s="25"/>
      <c r="M313" s="26" t="str">
        <f aca="false">IF(G313="","",G313-N(H313))</f>
        <v/>
      </c>
      <c r="N313" s="26" t="str">
        <f aca="false">IF(G313="","",G313-N(K313)-N(L313))</f>
        <v/>
      </c>
      <c r="O313" s="27" t="str">
        <f aca="false">IF(G313="","",IF(N(H313)&gt;=G313,"Pago",IF(N(H313)&gt;0,"Parcial","Pendente")))</f>
        <v/>
      </c>
      <c r="P313" s="24"/>
    </row>
    <row r="314" customFormat="false" ht="15" hidden="false" customHeight="false" outlineLevel="0" collapsed="false">
      <c r="A314" s="22"/>
      <c r="B314" s="23"/>
      <c r="C314" s="24"/>
      <c r="D314" s="24"/>
      <c r="E314" s="24"/>
      <c r="F314" s="24"/>
      <c r="G314" s="25"/>
      <c r="H314" s="25"/>
      <c r="I314" s="24"/>
      <c r="J314" s="24"/>
      <c r="K314" s="25"/>
      <c r="L314" s="25"/>
      <c r="M314" s="26" t="str">
        <f aca="false">IF(G314="","",G314-N(H314))</f>
        <v/>
      </c>
      <c r="N314" s="26" t="str">
        <f aca="false">IF(G314="","",G314-N(K314)-N(L314))</f>
        <v/>
      </c>
      <c r="O314" s="27" t="str">
        <f aca="false">IF(G314="","",IF(N(H314)&gt;=G314,"Pago",IF(N(H314)&gt;0,"Parcial","Pendente")))</f>
        <v/>
      </c>
      <c r="P314" s="24"/>
    </row>
    <row r="315" customFormat="false" ht="15" hidden="false" customHeight="false" outlineLevel="0" collapsed="false">
      <c r="A315" s="22"/>
      <c r="B315" s="23"/>
      <c r="C315" s="24"/>
      <c r="D315" s="24"/>
      <c r="E315" s="24"/>
      <c r="F315" s="24"/>
      <c r="G315" s="25"/>
      <c r="H315" s="25"/>
      <c r="I315" s="24"/>
      <c r="J315" s="24"/>
      <c r="K315" s="25"/>
      <c r="L315" s="25"/>
      <c r="M315" s="26" t="str">
        <f aca="false">IF(G315="","",G315-N(H315))</f>
        <v/>
      </c>
      <c r="N315" s="26" t="str">
        <f aca="false">IF(G315="","",G315-N(K315)-N(L315))</f>
        <v/>
      </c>
      <c r="O315" s="27" t="str">
        <f aca="false">IF(G315="","",IF(N(H315)&gt;=G315,"Pago",IF(N(H315)&gt;0,"Parcial","Pendente")))</f>
        <v/>
      </c>
      <c r="P315" s="24"/>
    </row>
    <row r="316" customFormat="false" ht="15" hidden="false" customHeight="false" outlineLevel="0" collapsed="false">
      <c r="A316" s="22"/>
      <c r="B316" s="23"/>
      <c r="C316" s="24"/>
      <c r="D316" s="24"/>
      <c r="E316" s="24"/>
      <c r="F316" s="24"/>
      <c r="G316" s="25"/>
      <c r="H316" s="25"/>
      <c r="I316" s="24"/>
      <c r="J316" s="24"/>
      <c r="K316" s="25"/>
      <c r="L316" s="25"/>
      <c r="M316" s="26" t="str">
        <f aca="false">IF(G316="","",G316-N(H316))</f>
        <v/>
      </c>
      <c r="N316" s="26" t="str">
        <f aca="false">IF(G316="","",G316-N(K316)-N(L316))</f>
        <v/>
      </c>
      <c r="O316" s="27" t="str">
        <f aca="false">IF(G316="","",IF(N(H316)&gt;=G316,"Pago",IF(N(H316)&gt;0,"Parcial","Pendente")))</f>
        <v/>
      </c>
      <c r="P316" s="24"/>
    </row>
    <row r="317" customFormat="false" ht="15" hidden="false" customHeight="false" outlineLevel="0" collapsed="false">
      <c r="A317" s="22"/>
      <c r="B317" s="23"/>
      <c r="C317" s="24"/>
      <c r="D317" s="24"/>
      <c r="E317" s="24"/>
      <c r="F317" s="24"/>
      <c r="G317" s="25"/>
      <c r="H317" s="25"/>
      <c r="I317" s="24"/>
      <c r="J317" s="24"/>
      <c r="K317" s="25"/>
      <c r="L317" s="25"/>
      <c r="M317" s="26" t="str">
        <f aca="false">IF(G317="","",G317-N(H317))</f>
        <v/>
      </c>
      <c r="N317" s="26" t="str">
        <f aca="false">IF(G317="","",G317-N(K317)-N(L317))</f>
        <v/>
      </c>
      <c r="O317" s="27" t="str">
        <f aca="false">IF(G317="","",IF(N(H317)&gt;=G317,"Pago",IF(N(H317)&gt;0,"Parcial","Pendente")))</f>
        <v/>
      </c>
      <c r="P317" s="24"/>
    </row>
    <row r="318" customFormat="false" ht="15" hidden="false" customHeight="false" outlineLevel="0" collapsed="false">
      <c r="A318" s="22"/>
      <c r="B318" s="23"/>
      <c r="C318" s="24"/>
      <c r="D318" s="24"/>
      <c r="E318" s="24"/>
      <c r="F318" s="24"/>
      <c r="G318" s="25"/>
      <c r="H318" s="25"/>
      <c r="I318" s="24"/>
      <c r="J318" s="24"/>
      <c r="K318" s="25"/>
      <c r="L318" s="25"/>
      <c r="M318" s="26" t="str">
        <f aca="false">IF(G318="","",G318-N(H318))</f>
        <v/>
      </c>
      <c r="N318" s="26" t="str">
        <f aca="false">IF(G318="","",G318-N(K318)-N(L318))</f>
        <v/>
      </c>
      <c r="O318" s="27" t="str">
        <f aca="false">IF(G318="","",IF(N(H318)&gt;=G318,"Pago",IF(N(H318)&gt;0,"Parcial","Pendente")))</f>
        <v/>
      </c>
      <c r="P318" s="24"/>
    </row>
    <row r="319" customFormat="false" ht="15" hidden="false" customHeight="false" outlineLevel="0" collapsed="false">
      <c r="A319" s="22"/>
      <c r="B319" s="23"/>
      <c r="C319" s="24"/>
      <c r="D319" s="24"/>
      <c r="E319" s="24"/>
      <c r="F319" s="24"/>
      <c r="G319" s="25"/>
      <c r="H319" s="25"/>
      <c r="I319" s="24"/>
      <c r="J319" s="24"/>
      <c r="K319" s="25"/>
      <c r="L319" s="25"/>
      <c r="M319" s="26" t="str">
        <f aca="false">IF(G319="","",G319-N(H319))</f>
        <v/>
      </c>
      <c r="N319" s="26" t="str">
        <f aca="false">IF(G319="","",G319-N(K319)-N(L319))</f>
        <v/>
      </c>
      <c r="O319" s="27" t="str">
        <f aca="false">IF(G319="","",IF(N(H319)&gt;=G319,"Pago",IF(N(H319)&gt;0,"Parcial","Pendente")))</f>
        <v/>
      </c>
      <c r="P319" s="24"/>
    </row>
    <row r="320" customFormat="false" ht="15" hidden="false" customHeight="false" outlineLevel="0" collapsed="false">
      <c r="A320" s="22"/>
      <c r="B320" s="23"/>
      <c r="C320" s="24"/>
      <c r="D320" s="24"/>
      <c r="E320" s="24"/>
      <c r="F320" s="24"/>
      <c r="G320" s="25"/>
      <c r="H320" s="25"/>
      <c r="I320" s="24"/>
      <c r="J320" s="24"/>
      <c r="K320" s="25"/>
      <c r="L320" s="25"/>
      <c r="M320" s="26" t="str">
        <f aca="false">IF(G320="","",G320-N(H320))</f>
        <v/>
      </c>
      <c r="N320" s="26" t="str">
        <f aca="false">IF(G320="","",G320-N(K320)-N(L320))</f>
        <v/>
      </c>
      <c r="O320" s="27" t="str">
        <f aca="false">IF(G320="","",IF(N(H320)&gt;=G320,"Pago",IF(N(H320)&gt;0,"Parcial","Pendente")))</f>
        <v/>
      </c>
      <c r="P320" s="24"/>
    </row>
    <row r="321" customFormat="false" ht="15" hidden="false" customHeight="false" outlineLevel="0" collapsed="false">
      <c r="A321" s="22"/>
      <c r="B321" s="23"/>
      <c r="C321" s="24"/>
      <c r="D321" s="24"/>
      <c r="E321" s="24"/>
      <c r="F321" s="24"/>
      <c r="G321" s="25"/>
      <c r="H321" s="25"/>
      <c r="I321" s="24"/>
      <c r="J321" s="24"/>
      <c r="K321" s="25"/>
      <c r="L321" s="25"/>
      <c r="M321" s="26" t="str">
        <f aca="false">IF(G321="","",G321-N(H321))</f>
        <v/>
      </c>
      <c r="N321" s="26" t="str">
        <f aca="false">IF(G321="","",G321-N(K321)-N(L321))</f>
        <v/>
      </c>
      <c r="O321" s="27" t="str">
        <f aca="false">IF(G321="","",IF(N(H321)&gt;=G321,"Pago",IF(N(H321)&gt;0,"Parcial","Pendente")))</f>
        <v/>
      </c>
      <c r="P321" s="24"/>
    </row>
    <row r="322" customFormat="false" ht="15" hidden="false" customHeight="false" outlineLevel="0" collapsed="false">
      <c r="A322" s="22"/>
      <c r="B322" s="23"/>
      <c r="C322" s="24"/>
      <c r="D322" s="24"/>
      <c r="E322" s="24"/>
      <c r="F322" s="24"/>
      <c r="G322" s="25"/>
      <c r="H322" s="25"/>
      <c r="I322" s="24"/>
      <c r="J322" s="24"/>
      <c r="K322" s="25"/>
      <c r="L322" s="25"/>
      <c r="M322" s="26" t="str">
        <f aca="false">IF(G322="","",G322-N(H322))</f>
        <v/>
      </c>
      <c r="N322" s="26" t="str">
        <f aca="false">IF(G322="","",G322-N(K322)-N(L322))</f>
        <v/>
      </c>
      <c r="O322" s="27" t="str">
        <f aca="false">IF(G322="","",IF(N(H322)&gt;=G322,"Pago",IF(N(H322)&gt;0,"Parcial","Pendente")))</f>
        <v/>
      </c>
      <c r="P322" s="24"/>
    </row>
    <row r="323" customFormat="false" ht="15" hidden="false" customHeight="false" outlineLevel="0" collapsed="false">
      <c r="A323" s="22"/>
      <c r="B323" s="23"/>
      <c r="C323" s="24"/>
      <c r="D323" s="24"/>
      <c r="E323" s="24"/>
      <c r="F323" s="24"/>
      <c r="G323" s="25"/>
      <c r="H323" s="25"/>
      <c r="I323" s="24"/>
      <c r="J323" s="24"/>
      <c r="K323" s="25"/>
      <c r="L323" s="25"/>
      <c r="M323" s="26" t="str">
        <f aca="false">IF(G323="","",G323-N(H323))</f>
        <v/>
      </c>
      <c r="N323" s="26" t="str">
        <f aca="false">IF(G323="","",G323-N(K323)-N(L323))</f>
        <v/>
      </c>
      <c r="O323" s="27" t="str">
        <f aca="false">IF(G323="","",IF(N(H323)&gt;=G323,"Pago",IF(N(H323)&gt;0,"Parcial","Pendente")))</f>
        <v/>
      </c>
      <c r="P323" s="24"/>
    </row>
    <row r="324" customFormat="false" ht="15" hidden="false" customHeight="false" outlineLevel="0" collapsed="false">
      <c r="A324" s="22"/>
      <c r="B324" s="23"/>
      <c r="C324" s="24"/>
      <c r="D324" s="24"/>
      <c r="E324" s="24"/>
      <c r="F324" s="24"/>
      <c r="G324" s="25"/>
      <c r="H324" s="25"/>
      <c r="I324" s="24"/>
      <c r="J324" s="24"/>
      <c r="K324" s="25"/>
      <c r="L324" s="25"/>
      <c r="M324" s="26" t="str">
        <f aca="false">IF(G324="","",G324-N(H324))</f>
        <v/>
      </c>
      <c r="N324" s="26" t="str">
        <f aca="false">IF(G324="","",G324-N(K324)-N(L324))</f>
        <v/>
      </c>
      <c r="O324" s="27" t="str">
        <f aca="false">IF(G324="","",IF(N(H324)&gt;=G324,"Pago",IF(N(H324)&gt;0,"Parcial","Pendente")))</f>
        <v/>
      </c>
      <c r="P324" s="24"/>
    </row>
    <row r="325" customFormat="false" ht="15" hidden="false" customHeight="false" outlineLevel="0" collapsed="false">
      <c r="A325" s="22"/>
      <c r="B325" s="23"/>
      <c r="C325" s="24"/>
      <c r="D325" s="24"/>
      <c r="E325" s="24"/>
      <c r="F325" s="24"/>
      <c r="G325" s="25"/>
      <c r="H325" s="25"/>
      <c r="I325" s="24"/>
      <c r="J325" s="24"/>
      <c r="K325" s="25"/>
      <c r="L325" s="25"/>
      <c r="M325" s="26" t="str">
        <f aca="false">IF(G325="","",G325-N(H325))</f>
        <v/>
      </c>
      <c r="N325" s="26" t="str">
        <f aca="false">IF(G325="","",G325-N(K325)-N(L325))</f>
        <v/>
      </c>
      <c r="O325" s="27" t="str">
        <f aca="false">IF(G325="","",IF(N(H325)&gt;=G325,"Pago",IF(N(H325)&gt;0,"Parcial","Pendente")))</f>
        <v/>
      </c>
      <c r="P325" s="24"/>
    </row>
    <row r="326" customFormat="false" ht="15" hidden="false" customHeight="false" outlineLevel="0" collapsed="false">
      <c r="A326" s="22"/>
      <c r="B326" s="23"/>
      <c r="C326" s="24"/>
      <c r="D326" s="24"/>
      <c r="E326" s="24"/>
      <c r="F326" s="24"/>
      <c r="G326" s="25"/>
      <c r="H326" s="25"/>
      <c r="I326" s="24"/>
      <c r="J326" s="24"/>
      <c r="K326" s="25"/>
      <c r="L326" s="25"/>
      <c r="M326" s="26" t="str">
        <f aca="false">IF(G326="","",G326-N(H326))</f>
        <v/>
      </c>
      <c r="N326" s="26" t="str">
        <f aca="false">IF(G326="","",G326-N(K326)-N(L326))</f>
        <v/>
      </c>
      <c r="O326" s="27" t="str">
        <f aca="false">IF(G326="","",IF(N(H326)&gt;=G326,"Pago",IF(N(H326)&gt;0,"Parcial","Pendente")))</f>
        <v/>
      </c>
      <c r="P326" s="24"/>
    </row>
    <row r="327" customFormat="false" ht="15" hidden="false" customHeight="false" outlineLevel="0" collapsed="false">
      <c r="A327" s="22"/>
      <c r="B327" s="23"/>
      <c r="C327" s="24"/>
      <c r="D327" s="24"/>
      <c r="E327" s="24"/>
      <c r="F327" s="24"/>
      <c r="G327" s="25"/>
      <c r="H327" s="25"/>
      <c r="I327" s="24"/>
      <c r="J327" s="24"/>
      <c r="K327" s="25"/>
      <c r="L327" s="25"/>
      <c r="M327" s="26" t="str">
        <f aca="false">IF(G327="","",G327-N(H327))</f>
        <v/>
      </c>
      <c r="N327" s="26" t="str">
        <f aca="false">IF(G327="","",G327-N(K327)-N(L327))</f>
        <v/>
      </c>
      <c r="O327" s="27" t="str">
        <f aca="false">IF(G327="","",IF(N(H327)&gt;=G327,"Pago",IF(N(H327)&gt;0,"Parcial","Pendente")))</f>
        <v/>
      </c>
      <c r="P327" s="24"/>
    </row>
    <row r="328" customFormat="false" ht="15" hidden="false" customHeight="false" outlineLevel="0" collapsed="false">
      <c r="A328" s="22"/>
      <c r="B328" s="23"/>
      <c r="C328" s="24"/>
      <c r="D328" s="24"/>
      <c r="E328" s="24"/>
      <c r="F328" s="24"/>
      <c r="G328" s="25"/>
      <c r="H328" s="25"/>
      <c r="I328" s="24"/>
      <c r="J328" s="24"/>
      <c r="K328" s="25"/>
      <c r="L328" s="25"/>
      <c r="M328" s="26" t="str">
        <f aca="false">IF(G328="","",G328-N(H328))</f>
        <v/>
      </c>
      <c r="N328" s="26" t="str">
        <f aca="false">IF(G328="","",G328-N(K328)-N(L328))</f>
        <v/>
      </c>
      <c r="O328" s="27" t="str">
        <f aca="false">IF(G328="","",IF(N(H328)&gt;=G328,"Pago",IF(N(H328)&gt;0,"Parcial","Pendente")))</f>
        <v/>
      </c>
      <c r="P328" s="24"/>
    </row>
    <row r="329" customFormat="false" ht="15" hidden="false" customHeight="false" outlineLevel="0" collapsed="false">
      <c r="A329" s="22"/>
      <c r="B329" s="23"/>
      <c r="C329" s="24"/>
      <c r="D329" s="24"/>
      <c r="E329" s="24"/>
      <c r="F329" s="24"/>
      <c r="G329" s="25"/>
      <c r="H329" s="25"/>
      <c r="I329" s="24"/>
      <c r="J329" s="24"/>
      <c r="K329" s="25"/>
      <c r="L329" s="25"/>
      <c r="M329" s="26" t="str">
        <f aca="false">IF(G329="","",G329-N(H329))</f>
        <v/>
      </c>
      <c r="N329" s="26" t="str">
        <f aca="false">IF(G329="","",G329-N(K329)-N(L329))</f>
        <v/>
      </c>
      <c r="O329" s="27" t="str">
        <f aca="false">IF(G329="","",IF(N(H329)&gt;=G329,"Pago",IF(N(H329)&gt;0,"Parcial","Pendente")))</f>
        <v/>
      </c>
      <c r="P329" s="24"/>
    </row>
    <row r="330" customFormat="false" ht="15" hidden="false" customHeight="false" outlineLevel="0" collapsed="false">
      <c r="A330" s="22"/>
      <c r="B330" s="23"/>
      <c r="C330" s="24"/>
      <c r="D330" s="24"/>
      <c r="E330" s="24"/>
      <c r="F330" s="24"/>
      <c r="G330" s="25"/>
      <c r="H330" s="25"/>
      <c r="I330" s="24"/>
      <c r="J330" s="24"/>
      <c r="K330" s="25"/>
      <c r="L330" s="25"/>
      <c r="M330" s="26" t="str">
        <f aca="false">IF(G330="","",G330-N(H330))</f>
        <v/>
      </c>
      <c r="N330" s="26" t="str">
        <f aca="false">IF(G330="","",G330-N(K330)-N(L330))</f>
        <v/>
      </c>
      <c r="O330" s="27" t="str">
        <f aca="false">IF(G330="","",IF(N(H330)&gt;=G330,"Pago",IF(N(H330)&gt;0,"Parcial","Pendente")))</f>
        <v/>
      </c>
      <c r="P330" s="24"/>
    </row>
    <row r="331" customFormat="false" ht="15" hidden="false" customHeight="false" outlineLevel="0" collapsed="false">
      <c r="A331" s="22"/>
      <c r="B331" s="23"/>
      <c r="C331" s="24"/>
      <c r="D331" s="24"/>
      <c r="E331" s="24"/>
      <c r="F331" s="24"/>
      <c r="G331" s="25"/>
      <c r="H331" s="25"/>
      <c r="I331" s="24"/>
      <c r="J331" s="24"/>
      <c r="K331" s="25"/>
      <c r="L331" s="25"/>
      <c r="M331" s="26" t="str">
        <f aca="false">IF(G331="","",G331-N(H331))</f>
        <v/>
      </c>
      <c r="N331" s="26" t="str">
        <f aca="false">IF(G331="","",G331-N(K331)-N(L331))</f>
        <v/>
      </c>
      <c r="O331" s="27" t="str">
        <f aca="false">IF(G331="","",IF(N(H331)&gt;=G331,"Pago",IF(N(H331)&gt;0,"Parcial","Pendente")))</f>
        <v/>
      </c>
      <c r="P331" s="24"/>
    </row>
    <row r="332" customFormat="false" ht="15" hidden="false" customHeight="false" outlineLevel="0" collapsed="false">
      <c r="A332" s="22"/>
      <c r="B332" s="23"/>
      <c r="C332" s="24"/>
      <c r="D332" s="24"/>
      <c r="E332" s="24"/>
      <c r="F332" s="24"/>
      <c r="G332" s="25"/>
      <c r="H332" s="25"/>
      <c r="I332" s="24"/>
      <c r="J332" s="24"/>
      <c r="K332" s="25"/>
      <c r="L332" s="25"/>
      <c r="M332" s="26" t="str">
        <f aca="false">IF(G332="","",G332-N(H332))</f>
        <v/>
      </c>
      <c r="N332" s="26" t="str">
        <f aca="false">IF(G332="","",G332-N(K332)-N(L332))</f>
        <v/>
      </c>
      <c r="O332" s="27" t="str">
        <f aca="false">IF(G332="","",IF(N(H332)&gt;=G332,"Pago",IF(N(H332)&gt;0,"Parcial","Pendente")))</f>
        <v/>
      </c>
      <c r="P332" s="24"/>
    </row>
    <row r="333" customFormat="false" ht="15" hidden="false" customHeight="false" outlineLevel="0" collapsed="false">
      <c r="A333" s="22"/>
      <c r="B333" s="23"/>
      <c r="C333" s="24"/>
      <c r="D333" s="24"/>
      <c r="E333" s="24"/>
      <c r="F333" s="24"/>
      <c r="G333" s="25"/>
      <c r="H333" s="25"/>
      <c r="I333" s="24"/>
      <c r="J333" s="24"/>
      <c r="K333" s="25"/>
      <c r="L333" s="25"/>
      <c r="M333" s="26" t="str">
        <f aca="false">IF(G333="","",G333-N(H333))</f>
        <v/>
      </c>
      <c r="N333" s="26" t="str">
        <f aca="false">IF(G333="","",G333-N(K333)-N(L333))</f>
        <v/>
      </c>
      <c r="O333" s="27" t="str">
        <f aca="false">IF(G333="","",IF(N(H333)&gt;=G333,"Pago",IF(N(H333)&gt;0,"Parcial","Pendente")))</f>
        <v/>
      </c>
      <c r="P333" s="24"/>
    </row>
    <row r="334" customFormat="false" ht="15" hidden="false" customHeight="false" outlineLevel="0" collapsed="false">
      <c r="A334" s="22"/>
      <c r="B334" s="23"/>
      <c r="C334" s="24"/>
      <c r="D334" s="24"/>
      <c r="E334" s="24"/>
      <c r="F334" s="24"/>
      <c r="G334" s="25"/>
      <c r="H334" s="25"/>
      <c r="I334" s="24"/>
      <c r="J334" s="24"/>
      <c r="K334" s="25"/>
      <c r="L334" s="25"/>
      <c r="M334" s="26" t="str">
        <f aca="false">IF(G334="","",G334-N(H334))</f>
        <v/>
      </c>
      <c r="N334" s="26" t="str">
        <f aca="false">IF(G334="","",G334-N(K334)-N(L334))</f>
        <v/>
      </c>
      <c r="O334" s="27" t="str">
        <f aca="false">IF(G334="","",IF(N(H334)&gt;=G334,"Pago",IF(N(H334)&gt;0,"Parcial","Pendente")))</f>
        <v/>
      </c>
      <c r="P334" s="24"/>
    </row>
    <row r="335" customFormat="false" ht="15" hidden="false" customHeight="false" outlineLevel="0" collapsed="false">
      <c r="A335" s="22"/>
      <c r="B335" s="23"/>
      <c r="C335" s="24"/>
      <c r="D335" s="24"/>
      <c r="E335" s="24"/>
      <c r="F335" s="24"/>
      <c r="G335" s="25"/>
      <c r="H335" s="25"/>
      <c r="I335" s="24"/>
      <c r="J335" s="24"/>
      <c r="K335" s="25"/>
      <c r="L335" s="25"/>
      <c r="M335" s="26" t="str">
        <f aca="false">IF(G335="","",G335-N(H335))</f>
        <v/>
      </c>
      <c r="N335" s="26" t="str">
        <f aca="false">IF(G335="","",G335-N(K335)-N(L335))</f>
        <v/>
      </c>
      <c r="O335" s="27" t="str">
        <f aca="false">IF(G335="","",IF(N(H335)&gt;=G335,"Pago",IF(N(H335)&gt;0,"Parcial","Pendente")))</f>
        <v/>
      </c>
      <c r="P335" s="24"/>
    </row>
    <row r="336" customFormat="false" ht="15" hidden="false" customHeight="false" outlineLevel="0" collapsed="false">
      <c r="A336" s="22"/>
      <c r="B336" s="23"/>
      <c r="C336" s="24"/>
      <c r="D336" s="24"/>
      <c r="E336" s="24"/>
      <c r="F336" s="24"/>
      <c r="G336" s="25"/>
      <c r="H336" s="25"/>
      <c r="I336" s="24"/>
      <c r="J336" s="24"/>
      <c r="K336" s="25"/>
      <c r="L336" s="25"/>
      <c r="M336" s="26" t="str">
        <f aca="false">IF(G336="","",G336-N(H336))</f>
        <v/>
      </c>
      <c r="N336" s="26" t="str">
        <f aca="false">IF(G336="","",G336-N(K336)-N(L336))</f>
        <v/>
      </c>
      <c r="O336" s="27" t="str">
        <f aca="false">IF(G336="","",IF(N(H336)&gt;=G336,"Pago",IF(N(H336)&gt;0,"Parcial","Pendente")))</f>
        <v/>
      </c>
      <c r="P336" s="24"/>
    </row>
    <row r="337" customFormat="false" ht="15" hidden="false" customHeight="false" outlineLevel="0" collapsed="false">
      <c r="A337" s="22"/>
      <c r="B337" s="23"/>
      <c r="C337" s="24"/>
      <c r="D337" s="24"/>
      <c r="E337" s="24"/>
      <c r="F337" s="24"/>
      <c r="G337" s="25"/>
      <c r="H337" s="25"/>
      <c r="I337" s="24"/>
      <c r="J337" s="24"/>
      <c r="K337" s="25"/>
      <c r="L337" s="25"/>
      <c r="M337" s="26" t="str">
        <f aca="false">IF(G337="","",G337-N(H337))</f>
        <v/>
      </c>
      <c r="N337" s="26" t="str">
        <f aca="false">IF(G337="","",G337-N(K337)-N(L337))</f>
        <v/>
      </c>
      <c r="O337" s="27" t="str">
        <f aca="false">IF(G337="","",IF(N(H337)&gt;=G337,"Pago",IF(N(H337)&gt;0,"Parcial","Pendente")))</f>
        <v/>
      </c>
      <c r="P337" s="24"/>
    </row>
    <row r="338" customFormat="false" ht="15" hidden="false" customHeight="false" outlineLevel="0" collapsed="false">
      <c r="A338" s="22"/>
      <c r="B338" s="23"/>
      <c r="C338" s="24"/>
      <c r="D338" s="24"/>
      <c r="E338" s="24"/>
      <c r="F338" s="24"/>
      <c r="G338" s="25"/>
      <c r="H338" s="25"/>
      <c r="I338" s="24"/>
      <c r="J338" s="24"/>
      <c r="K338" s="25"/>
      <c r="L338" s="25"/>
      <c r="M338" s="26" t="str">
        <f aca="false">IF(G338="","",G338-N(H338))</f>
        <v/>
      </c>
      <c r="N338" s="26" t="str">
        <f aca="false">IF(G338="","",G338-N(K338)-N(L338))</f>
        <v/>
      </c>
      <c r="O338" s="27" t="str">
        <f aca="false">IF(G338="","",IF(N(H338)&gt;=G338,"Pago",IF(N(H338)&gt;0,"Parcial","Pendente")))</f>
        <v/>
      </c>
      <c r="P338" s="24"/>
    </row>
    <row r="339" customFormat="false" ht="15" hidden="false" customHeight="false" outlineLevel="0" collapsed="false">
      <c r="A339" s="22"/>
      <c r="B339" s="23"/>
      <c r="C339" s="24"/>
      <c r="D339" s="24"/>
      <c r="E339" s="24"/>
      <c r="F339" s="24"/>
      <c r="G339" s="25"/>
      <c r="H339" s="25"/>
      <c r="I339" s="24"/>
      <c r="J339" s="24"/>
      <c r="K339" s="25"/>
      <c r="L339" s="25"/>
      <c r="M339" s="26" t="str">
        <f aca="false">IF(G339="","",G339-N(H339))</f>
        <v/>
      </c>
      <c r="N339" s="26" t="str">
        <f aca="false">IF(G339="","",G339-N(K339)-N(L339))</f>
        <v/>
      </c>
      <c r="O339" s="27" t="str">
        <f aca="false">IF(G339="","",IF(N(H339)&gt;=G339,"Pago",IF(N(H339)&gt;0,"Parcial","Pendente")))</f>
        <v/>
      </c>
      <c r="P339" s="24"/>
    </row>
    <row r="340" customFormat="false" ht="15" hidden="false" customHeight="false" outlineLevel="0" collapsed="false">
      <c r="A340" s="22"/>
      <c r="B340" s="23"/>
      <c r="C340" s="24"/>
      <c r="D340" s="24"/>
      <c r="E340" s="24"/>
      <c r="F340" s="24"/>
      <c r="G340" s="25"/>
      <c r="H340" s="25"/>
      <c r="I340" s="24"/>
      <c r="J340" s="24"/>
      <c r="K340" s="25"/>
      <c r="L340" s="25"/>
      <c r="M340" s="26" t="str">
        <f aca="false">IF(G340="","",G340-N(H340))</f>
        <v/>
      </c>
      <c r="N340" s="26" t="str">
        <f aca="false">IF(G340="","",G340-N(K340)-N(L340))</f>
        <v/>
      </c>
      <c r="O340" s="27" t="str">
        <f aca="false">IF(G340="","",IF(N(H340)&gt;=G340,"Pago",IF(N(H340)&gt;0,"Parcial","Pendente")))</f>
        <v/>
      </c>
      <c r="P340" s="24"/>
    </row>
    <row r="341" customFormat="false" ht="15" hidden="false" customHeight="false" outlineLevel="0" collapsed="false">
      <c r="A341" s="22"/>
      <c r="B341" s="23"/>
      <c r="C341" s="24"/>
      <c r="D341" s="24"/>
      <c r="E341" s="24"/>
      <c r="F341" s="24"/>
      <c r="G341" s="25"/>
      <c r="H341" s="25"/>
      <c r="I341" s="24"/>
      <c r="J341" s="24"/>
      <c r="K341" s="25"/>
      <c r="L341" s="25"/>
      <c r="M341" s="26" t="str">
        <f aca="false">IF(G341="","",G341-N(H341))</f>
        <v/>
      </c>
      <c r="N341" s="26" t="str">
        <f aca="false">IF(G341="","",G341-N(K341)-N(L341))</f>
        <v/>
      </c>
      <c r="O341" s="27" t="str">
        <f aca="false">IF(G341="","",IF(N(H341)&gt;=G341,"Pago",IF(N(H341)&gt;0,"Parcial","Pendente")))</f>
        <v/>
      </c>
      <c r="P341" s="24"/>
    </row>
    <row r="342" customFormat="false" ht="15" hidden="false" customHeight="false" outlineLevel="0" collapsed="false">
      <c r="A342" s="22"/>
      <c r="B342" s="23"/>
      <c r="C342" s="24"/>
      <c r="D342" s="24"/>
      <c r="E342" s="24"/>
      <c r="F342" s="24"/>
      <c r="G342" s="25"/>
      <c r="H342" s="25"/>
      <c r="I342" s="24"/>
      <c r="J342" s="24"/>
      <c r="K342" s="25"/>
      <c r="L342" s="25"/>
      <c r="M342" s="26" t="str">
        <f aca="false">IF(G342="","",G342-N(H342))</f>
        <v/>
      </c>
      <c r="N342" s="26" t="str">
        <f aca="false">IF(G342="","",G342-N(K342)-N(L342))</f>
        <v/>
      </c>
      <c r="O342" s="27" t="str">
        <f aca="false">IF(G342="","",IF(N(H342)&gt;=G342,"Pago",IF(N(H342)&gt;0,"Parcial","Pendente")))</f>
        <v/>
      </c>
      <c r="P342" s="24"/>
    </row>
    <row r="343" customFormat="false" ht="15" hidden="false" customHeight="false" outlineLevel="0" collapsed="false">
      <c r="A343" s="22"/>
      <c r="B343" s="23"/>
      <c r="C343" s="24"/>
      <c r="D343" s="24"/>
      <c r="E343" s="24"/>
      <c r="F343" s="24"/>
      <c r="G343" s="25"/>
      <c r="H343" s="25"/>
      <c r="I343" s="24"/>
      <c r="J343" s="24"/>
      <c r="K343" s="25"/>
      <c r="L343" s="25"/>
      <c r="M343" s="26" t="str">
        <f aca="false">IF(G343="","",G343-N(H343))</f>
        <v/>
      </c>
      <c r="N343" s="26" t="str">
        <f aca="false">IF(G343="","",G343-N(K343)-N(L343))</f>
        <v/>
      </c>
      <c r="O343" s="27" t="str">
        <f aca="false">IF(G343="","",IF(N(H343)&gt;=G343,"Pago",IF(N(H343)&gt;0,"Parcial","Pendente")))</f>
        <v/>
      </c>
      <c r="P343" s="24"/>
    </row>
    <row r="344" customFormat="false" ht="15" hidden="false" customHeight="false" outlineLevel="0" collapsed="false">
      <c r="A344" s="22"/>
      <c r="B344" s="23"/>
      <c r="C344" s="24"/>
      <c r="D344" s="24"/>
      <c r="E344" s="24"/>
      <c r="F344" s="24"/>
      <c r="G344" s="25"/>
      <c r="H344" s="25"/>
      <c r="I344" s="24"/>
      <c r="J344" s="24"/>
      <c r="K344" s="25"/>
      <c r="L344" s="25"/>
      <c r="M344" s="26" t="str">
        <f aca="false">IF(G344="","",G344-N(H344))</f>
        <v/>
      </c>
      <c r="N344" s="26" t="str">
        <f aca="false">IF(G344="","",G344-N(K344)-N(L344))</f>
        <v/>
      </c>
      <c r="O344" s="27" t="str">
        <f aca="false">IF(G344="","",IF(N(H344)&gt;=G344,"Pago",IF(N(H344)&gt;0,"Parcial","Pendente")))</f>
        <v/>
      </c>
      <c r="P344" s="24"/>
    </row>
    <row r="345" customFormat="false" ht="15" hidden="false" customHeight="false" outlineLevel="0" collapsed="false">
      <c r="A345" s="22"/>
      <c r="B345" s="23"/>
      <c r="C345" s="24"/>
      <c r="D345" s="24"/>
      <c r="E345" s="24"/>
      <c r="F345" s="24"/>
      <c r="G345" s="25"/>
      <c r="H345" s="25"/>
      <c r="I345" s="24"/>
      <c r="J345" s="24"/>
      <c r="K345" s="25"/>
      <c r="L345" s="25"/>
      <c r="M345" s="26" t="str">
        <f aca="false">IF(G345="","",G345-N(H345))</f>
        <v/>
      </c>
      <c r="N345" s="26" t="str">
        <f aca="false">IF(G345="","",G345-N(K345)-N(L345))</f>
        <v/>
      </c>
      <c r="O345" s="27" t="str">
        <f aca="false">IF(G345="","",IF(N(H345)&gt;=G345,"Pago",IF(N(H345)&gt;0,"Parcial","Pendente")))</f>
        <v/>
      </c>
      <c r="P345" s="24"/>
    </row>
    <row r="346" customFormat="false" ht="15" hidden="false" customHeight="false" outlineLevel="0" collapsed="false">
      <c r="A346" s="22"/>
      <c r="B346" s="23"/>
      <c r="C346" s="24"/>
      <c r="D346" s="24"/>
      <c r="E346" s="24"/>
      <c r="F346" s="24"/>
      <c r="G346" s="25"/>
      <c r="H346" s="25"/>
      <c r="I346" s="24"/>
      <c r="J346" s="24"/>
      <c r="K346" s="25"/>
      <c r="L346" s="25"/>
      <c r="M346" s="26" t="str">
        <f aca="false">IF(G346="","",G346-N(H346))</f>
        <v/>
      </c>
      <c r="N346" s="26" t="str">
        <f aca="false">IF(G346="","",G346-N(K346)-N(L346))</f>
        <v/>
      </c>
      <c r="O346" s="27" t="str">
        <f aca="false">IF(G346="","",IF(N(H346)&gt;=G346,"Pago",IF(N(H346)&gt;0,"Parcial","Pendente")))</f>
        <v/>
      </c>
      <c r="P346" s="24"/>
    </row>
    <row r="347" customFormat="false" ht="15" hidden="false" customHeight="false" outlineLevel="0" collapsed="false">
      <c r="A347" s="22"/>
      <c r="B347" s="23"/>
      <c r="C347" s="24"/>
      <c r="D347" s="24"/>
      <c r="E347" s="24"/>
      <c r="F347" s="24"/>
      <c r="G347" s="25"/>
      <c r="H347" s="25"/>
      <c r="I347" s="24"/>
      <c r="J347" s="24"/>
      <c r="K347" s="25"/>
      <c r="L347" s="25"/>
      <c r="M347" s="26" t="str">
        <f aca="false">IF(G347="","",G347-N(H347))</f>
        <v/>
      </c>
      <c r="N347" s="26" t="str">
        <f aca="false">IF(G347="","",G347-N(K347)-N(L347))</f>
        <v/>
      </c>
      <c r="O347" s="27" t="str">
        <f aca="false">IF(G347="","",IF(N(H347)&gt;=G347,"Pago",IF(N(H347)&gt;0,"Parcial","Pendente")))</f>
        <v/>
      </c>
      <c r="P347" s="24"/>
    </row>
    <row r="348" customFormat="false" ht="15" hidden="false" customHeight="false" outlineLevel="0" collapsed="false">
      <c r="A348" s="22"/>
      <c r="B348" s="23"/>
      <c r="C348" s="24"/>
      <c r="D348" s="24"/>
      <c r="E348" s="24"/>
      <c r="F348" s="24"/>
      <c r="G348" s="25"/>
      <c r="H348" s="25"/>
      <c r="I348" s="24"/>
      <c r="J348" s="24"/>
      <c r="K348" s="25"/>
      <c r="L348" s="25"/>
      <c r="M348" s="26" t="str">
        <f aca="false">IF(G348="","",G348-N(H348))</f>
        <v/>
      </c>
      <c r="N348" s="26" t="str">
        <f aca="false">IF(G348="","",G348-N(K348)-N(L348))</f>
        <v/>
      </c>
      <c r="O348" s="27" t="str">
        <f aca="false">IF(G348="","",IF(N(H348)&gt;=G348,"Pago",IF(N(H348)&gt;0,"Parcial","Pendente")))</f>
        <v/>
      </c>
      <c r="P348" s="24"/>
    </row>
    <row r="349" customFormat="false" ht="15" hidden="false" customHeight="false" outlineLevel="0" collapsed="false">
      <c r="A349" s="22"/>
      <c r="B349" s="23"/>
      <c r="C349" s="24"/>
      <c r="D349" s="24"/>
      <c r="E349" s="24"/>
      <c r="F349" s="24"/>
      <c r="G349" s="25"/>
      <c r="H349" s="25"/>
      <c r="I349" s="24"/>
      <c r="J349" s="24"/>
      <c r="K349" s="25"/>
      <c r="L349" s="25"/>
      <c r="M349" s="26" t="str">
        <f aca="false">IF(G349="","",G349-N(H349))</f>
        <v/>
      </c>
      <c r="N349" s="26" t="str">
        <f aca="false">IF(G349="","",G349-N(K349)-N(L349))</f>
        <v/>
      </c>
      <c r="O349" s="27" t="str">
        <f aca="false">IF(G349="","",IF(N(H349)&gt;=G349,"Pago",IF(N(H349)&gt;0,"Parcial","Pendente")))</f>
        <v/>
      </c>
      <c r="P349" s="24"/>
    </row>
    <row r="350" customFormat="false" ht="15" hidden="false" customHeight="false" outlineLevel="0" collapsed="false">
      <c r="A350" s="22"/>
      <c r="B350" s="23"/>
      <c r="C350" s="24"/>
      <c r="D350" s="24"/>
      <c r="E350" s="24"/>
      <c r="F350" s="24"/>
      <c r="G350" s="25"/>
      <c r="H350" s="25"/>
      <c r="I350" s="24"/>
      <c r="J350" s="24"/>
      <c r="K350" s="25"/>
      <c r="L350" s="25"/>
      <c r="M350" s="26" t="str">
        <f aca="false">IF(G350="","",G350-N(H350))</f>
        <v/>
      </c>
      <c r="N350" s="26" t="str">
        <f aca="false">IF(G350="","",G350-N(K350)-N(L350))</f>
        <v/>
      </c>
      <c r="O350" s="27" t="str">
        <f aca="false">IF(G350="","",IF(N(H350)&gt;=G350,"Pago",IF(N(H350)&gt;0,"Parcial","Pendente")))</f>
        <v/>
      </c>
      <c r="P350" s="24"/>
    </row>
    <row r="351" customFormat="false" ht="15" hidden="false" customHeight="false" outlineLevel="0" collapsed="false">
      <c r="A351" s="22"/>
      <c r="B351" s="23"/>
      <c r="C351" s="24"/>
      <c r="D351" s="24"/>
      <c r="E351" s="24"/>
      <c r="F351" s="24"/>
      <c r="G351" s="25"/>
      <c r="H351" s="25"/>
      <c r="I351" s="24"/>
      <c r="J351" s="24"/>
      <c r="K351" s="25"/>
      <c r="L351" s="25"/>
      <c r="M351" s="26" t="str">
        <f aca="false">IF(G351="","",G351-N(H351))</f>
        <v/>
      </c>
      <c r="N351" s="26" t="str">
        <f aca="false">IF(G351="","",G351-N(K351)-N(L351))</f>
        <v/>
      </c>
      <c r="O351" s="27" t="str">
        <f aca="false">IF(G351="","",IF(N(H351)&gt;=G351,"Pago",IF(N(H351)&gt;0,"Parcial","Pendente")))</f>
        <v/>
      </c>
      <c r="P351" s="24"/>
    </row>
    <row r="352" customFormat="false" ht="15" hidden="false" customHeight="false" outlineLevel="0" collapsed="false">
      <c r="A352" s="22"/>
      <c r="B352" s="23"/>
      <c r="C352" s="24"/>
      <c r="D352" s="24"/>
      <c r="E352" s="24"/>
      <c r="F352" s="24"/>
      <c r="G352" s="25"/>
      <c r="H352" s="25"/>
      <c r="I352" s="24"/>
      <c r="J352" s="24"/>
      <c r="K352" s="25"/>
      <c r="L352" s="25"/>
      <c r="M352" s="26" t="str">
        <f aca="false">IF(G352="","",G352-N(H352))</f>
        <v/>
      </c>
      <c r="N352" s="26" t="str">
        <f aca="false">IF(G352="","",G352-N(K352)-N(L352))</f>
        <v/>
      </c>
      <c r="O352" s="27" t="str">
        <f aca="false">IF(G352="","",IF(N(H352)&gt;=G352,"Pago",IF(N(H352)&gt;0,"Parcial","Pendente")))</f>
        <v/>
      </c>
      <c r="P352" s="24"/>
    </row>
    <row r="353" customFormat="false" ht="15" hidden="false" customHeight="false" outlineLevel="0" collapsed="false">
      <c r="A353" s="22"/>
      <c r="B353" s="23"/>
      <c r="C353" s="24"/>
      <c r="D353" s="24"/>
      <c r="E353" s="24"/>
      <c r="F353" s="24"/>
      <c r="G353" s="25"/>
      <c r="H353" s="25"/>
      <c r="I353" s="24"/>
      <c r="J353" s="24"/>
      <c r="K353" s="25"/>
      <c r="L353" s="25"/>
      <c r="M353" s="26" t="str">
        <f aca="false">IF(G353="","",G353-N(H353))</f>
        <v/>
      </c>
      <c r="N353" s="26" t="str">
        <f aca="false">IF(G353="","",G353-N(K353)-N(L353))</f>
        <v/>
      </c>
      <c r="O353" s="27" t="str">
        <f aca="false">IF(G353="","",IF(N(H353)&gt;=G353,"Pago",IF(N(H353)&gt;0,"Parcial","Pendente")))</f>
        <v/>
      </c>
      <c r="P353" s="24"/>
    </row>
    <row r="354" customFormat="false" ht="15" hidden="false" customHeight="false" outlineLevel="0" collapsed="false">
      <c r="A354" s="22"/>
      <c r="B354" s="23"/>
      <c r="C354" s="24"/>
      <c r="D354" s="24"/>
      <c r="E354" s="24"/>
      <c r="F354" s="24"/>
      <c r="G354" s="25"/>
      <c r="H354" s="25"/>
      <c r="I354" s="24"/>
      <c r="J354" s="24"/>
      <c r="K354" s="25"/>
      <c r="L354" s="25"/>
      <c r="M354" s="26" t="str">
        <f aca="false">IF(G354="","",G354-N(H354))</f>
        <v/>
      </c>
      <c r="N354" s="26" t="str">
        <f aca="false">IF(G354="","",G354-N(K354)-N(L354))</f>
        <v/>
      </c>
      <c r="O354" s="27" t="str">
        <f aca="false">IF(G354="","",IF(N(H354)&gt;=G354,"Pago",IF(N(H354)&gt;0,"Parcial","Pendente")))</f>
        <v/>
      </c>
      <c r="P354" s="24"/>
    </row>
    <row r="355" customFormat="false" ht="15" hidden="false" customHeight="false" outlineLevel="0" collapsed="false">
      <c r="A355" s="22"/>
      <c r="B355" s="23"/>
      <c r="C355" s="24"/>
      <c r="D355" s="24"/>
      <c r="E355" s="24"/>
      <c r="F355" s="24"/>
      <c r="G355" s="25"/>
      <c r="H355" s="25"/>
      <c r="I355" s="24"/>
      <c r="J355" s="24"/>
      <c r="K355" s="25"/>
      <c r="L355" s="25"/>
      <c r="M355" s="26" t="str">
        <f aca="false">IF(G355="","",G355-N(H355))</f>
        <v/>
      </c>
      <c r="N355" s="26" t="str">
        <f aca="false">IF(G355="","",G355-N(K355)-N(L355))</f>
        <v/>
      </c>
      <c r="O355" s="27" t="str">
        <f aca="false">IF(G355="","",IF(N(H355)&gt;=G355,"Pago",IF(N(H355)&gt;0,"Parcial","Pendente")))</f>
        <v/>
      </c>
      <c r="P355" s="24"/>
    </row>
    <row r="356" customFormat="false" ht="15" hidden="false" customHeight="false" outlineLevel="0" collapsed="false">
      <c r="A356" s="22"/>
      <c r="B356" s="23"/>
      <c r="C356" s="24"/>
      <c r="D356" s="24"/>
      <c r="E356" s="24"/>
      <c r="F356" s="24"/>
      <c r="G356" s="25"/>
      <c r="H356" s="25"/>
      <c r="I356" s="24"/>
      <c r="J356" s="24"/>
      <c r="K356" s="25"/>
      <c r="L356" s="25"/>
      <c r="M356" s="26" t="str">
        <f aca="false">IF(G356="","",G356-N(H356))</f>
        <v/>
      </c>
      <c r="N356" s="26" t="str">
        <f aca="false">IF(G356="","",G356-N(K356)-N(L356))</f>
        <v/>
      </c>
      <c r="O356" s="27" t="str">
        <f aca="false">IF(G356="","",IF(N(H356)&gt;=G356,"Pago",IF(N(H356)&gt;0,"Parcial","Pendente")))</f>
        <v/>
      </c>
      <c r="P356" s="24"/>
    </row>
    <row r="357" customFormat="false" ht="15" hidden="false" customHeight="false" outlineLevel="0" collapsed="false">
      <c r="A357" s="22"/>
      <c r="B357" s="23"/>
      <c r="C357" s="24"/>
      <c r="D357" s="24"/>
      <c r="E357" s="24"/>
      <c r="F357" s="24"/>
      <c r="G357" s="25"/>
      <c r="H357" s="25"/>
      <c r="I357" s="24"/>
      <c r="J357" s="24"/>
      <c r="K357" s="25"/>
      <c r="L357" s="25"/>
      <c r="M357" s="26" t="str">
        <f aca="false">IF(G357="","",G357-N(H357))</f>
        <v/>
      </c>
      <c r="N357" s="26" t="str">
        <f aca="false">IF(G357="","",G357-N(K357)-N(L357))</f>
        <v/>
      </c>
      <c r="O357" s="27" t="str">
        <f aca="false">IF(G357="","",IF(N(H357)&gt;=G357,"Pago",IF(N(H357)&gt;0,"Parcial","Pendente")))</f>
        <v/>
      </c>
      <c r="P357" s="24"/>
    </row>
    <row r="358" customFormat="false" ht="15" hidden="false" customHeight="false" outlineLevel="0" collapsed="false">
      <c r="A358" s="22"/>
      <c r="B358" s="23"/>
      <c r="C358" s="24"/>
      <c r="D358" s="24"/>
      <c r="E358" s="24"/>
      <c r="F358" s="24"/>
      <c r="G358" s="25"/>
      <c r="H358" s="25"/>
      <c r="I358" s="24"/>
      <c r="J358" s="24"/>
      <c r="K358" s="25"/>
      <c r="L358" s="25"/>
      <c r="M358" s="26" t="str">
        <f aca="false">IF(G358="","",G358-N(H358))</f>
        <v/>
      </c>
      <c r="N358" s="26" t="str">
        <f aca="false">IF(G358="","",G358-N(K358)-N(L358))</f>
        <v/>
      </c>
      <c r="O358" s="27" t="str">
        <f aca="false">IF(G358="","",IF(N(H358)&gt;=G358,"Pago",IF(N(H358)&gt;0,"Parcial","Pendente")))</f>
        <v/>
      </c>
      <c r="P358" s="24"/>
    </row>
    <row r="359" customFormat="false" ht="15" hidden="false" customHeight="false" outlineLevel="0" collapsed="false">
      <c r="A359" s="22"/>
      <c r="B359" s="23"/>
      <c r="C359" s="24"/>
      <c r="D359" s="24"/>
      <c r="E359" s="24"/>
      <c r="F359" s="24"/>
      <c r="G359" s="25"/>
      <c r="H359" s="25"/>
      <c r="I359" s="24"/>
      <c r="J359" s="24"/>
      <c r="K359" s="25"/>
      <c r="L359" s="25"/>
      <c r="M359" s="26" t="str">
        <f aca="false">IF(G359="","",G359-N(H359))</f>
        <v/>
      </c>
      <c r="N359" s="26" t="str">
        <f aca="false">IF(G359="","",G359-N(K359)-N(L359))</f>
        <v/>
      </c>
      <c r="O359" s="27" t="str">
        <f aca="false">IF(G359="","",IF(N(H359)&gt;=G359,"Pago",IF(N(H359)&gt;0,"Parcial","Pendente")))</f>
        <v/>
      </c>
      <c r="P359" s="24"/>
    </row>
    <row r="360" customFormat="false" ht="15" hidden="false" customHeight="false" outlineLevel="0" collapsed="false">
      <c r="A360" s="22"/>
      <c r="B360" s="23"/>
      <c r="C360" s="24"/>
      <c r="D360" s="24"/>
      <c r="E360" s="24"/>
      <c r="F360" s="24"/>
      <c r="G360" s="25"/>
      <c r="H360" s="25"/>
      <c r="I360" s="24"/>
      <c r="J360" s="24"/>
      <c r="K360" s="25"/>
      <c r="L360" s="25"/>
      <c r="M360" s="26" t="str">
        <f aca="false">IF(G360="","",G360-N(H360))</f>
        <v/>
      </c>
      <c r="N360" s="26" t="str">
        <f aca="false">IF(G360="","",G360-N(K360)-N(L360))</f>
        <v/>
      </c>
      <c r="O360" s="27" t="str">
        <f aca="false">IF(G360="","",IF(N(H360)&gt;=G360,"Pago",IF(N(H360)&gt;0,"Parcial","Pendente")))</f>
        <v/>
      </c>
      <c r="P360" s="24"/>
    </row>
    <row r="361" customFormat="false" ht="15" hidden="false" customHeight="false" outlineLevel="0" collapsed="false">
      <c r="A361" s="22"/>
      <c r="B361" s="23"/>
      <c r="C361" s="24"/>
      <c r="D361" s="24"/>
      <c r="E361" s="24"/>
      <c r="F361" s="24"/>
      <c r="G361" s="25"/>
      <c r="H361" s="25"/>
      <c r="I361" s="24"/>
      <c r="J361" s="24"/>
      <c r="K361" s="25"/>
      <c r="L361" s="25"/>
      <c r="M361" s="26" t="str">
        <f aca="false">IF(G361="","",G361-N(H361))</f>
        <v/>
      </c>
      <c r="N361" s="26" t="str">
        <f aca="false">IF(G361="","",G361-N(K361)-N(L361))</f>
        <v/>
      </c>
      <c r="O361" s="27" t="str">
        <f aca="false">IF(G361="","",IF(N(H361)&gt;=G361,"Pago",IF(N(H361)&gt;0,"Parcial","Pendente")))</f>
        <v/>
      </c>
      <c r="P361" s="24"/>
    </row>
    <row r="362" customFormat="false" ht="15" hidden="false" customHeight="false" outlineLevel="0" collapsed="false">
      <c r="A362" s="22"/>
      <c r="B362" s="23"/>
      <c r="C362" s="24"/>
      <c r="D362" s="24"/>
      <c r="E362" s="24"/>
      <c r="F362" s="24"/>
      <c r="G362" s="25"/>
      <c r="H362" s="25"/>
      <c r="I362" s="24"/>
      <c r="J362" s="24"/>
      <c r="K362" s="25"/>
      <c r="L362" s="25"/>
      <c r="M362" s="26" t="str">
        <f aca="false">IF(G362="","",G362-N(H362))</f>
        <v/>
      </c>
      <c r="N362" s="26" t="str">
        <f aca="false">IF(G362="","",G362-N(K362)-N(L362))</f>
        <v/>
      </c>
      <c r="O362" s="27" t="str">
        <f aca="false">IF(G362="","",IF(N(H362)&gt;=G362,"Pago",IF(N(H362)&gt;0,"Parcial","Pendente")))</f>
        <v/>
      </c>
      <c r="P362" s="24"/>
    </row>
    <row r="363" customFormat="false" ht="15" hidden="false" customHeight="false" outlineLevel="0" collapsed="false">
      <c r="A363" s="22"/>
      <c r="B363" s="23"/>
      <c r="C363" s="24"/>
      <c r="D363" s="24"/>
      <c r="E363" s="24"/>
      <c r="F363" s="24"/>
      <c r="G363" s="25"/>
      <c r="H363" s="25"/>
      <c r="I363" s="24"/>
      <c r="J363" s="24"/>
      <c r="K363" s="25"/>
      <c r="L363" s="25"/>
      <c r="M363" s="26" t="str">
        <f aca="false">IF(G363="","",G363-N(H363))</f>
        <v/>
      </c>
      <c r="N363" s="26" t="str">
        <f aca="false">IF(G363="","",G363-N(K363)-N(L363))</f>
        <v/>
      </c>
      <c r="O363" s="27" t="str">
        <f aca="false">IF(G363="","",IF(N(H363)&gt;=G363,"Pago",IF(N(H363)&gt;0,"Parcial","Pendente")))</f>
        <v/>
      </c>
      <c r="P363" s="24"/>
    </row>
    <row r="364" customFormat="false" ht="15" hidden="false" customHeight="false" outlineLevel="0" collapsed="false">
      <c r="A364" s="22"/>
      <c r="B364" s="23"/>
      <c r="C364" s="24"/>
      <c r="D364" s="24"/>
      <c r="E364" s="24"/>
      <c r="F364" s="24"/>
      <c r="G364" s="25"/>
      <c r="H364" s="25"/>
      <c r="I364" s="24"/>
      <c r="J364" s="24"/>
      <c r="K364" s="25"/>
      <c r="L364" s="25"/>
      <c r="M364" s="26" t="str">
        <f aca="false">IF(G364="","",G364-N(H364))</f>
        <v/>
      </c>
      <c r="N364" s="26" t="str">
        <f aca="false">IF(G364="","",G364-N(K364)-N(L364))</f>
        <v/>
      </c>
      <c r="O364" s="27" t="str">
        <f aca="false">IF(G364="","",IF(N(H364)&gt;=G364,"Pago",IF(N(H364)&gt;0,"Parcial","Pendente")))</f>
        <v/>
      </c>
      <c r="P364" s="24"/>
    </row>
    <row r="365" customFormat="false" ht="15" hidden="false" customHeight="false" outlineLevel="0" collapsed="false">
      <c r="A365" s="22"/>
      <c r="B365" s="23"/>
      <c r="C365" s="24"/>
      <c r="D365" s="24"/>
      <c r="E365" s="24"/>
      <c r="F365" s="24"/>
      <c r="G365" s="25"/>
      <c r="H365" s="25"/>
      <c r="I365" s="24"/>
      <c r="J365" s="24"/>
      <c r="K365" s="25"/>
      <c r="L365" s="25"/>
      <c r="M365" s="26" t="str">
        <f aca="false">IF(G365="","",G365-N(H365))</f>
        <v/>
      </c>
      <c r="N365" s="26" t="str">
        <f aca="false">IF(G365="","",G365-N(K365)-N(L365))</f>
        <v/>
      </c>
      <c r="O365" s="27" t="str">
        <f aca="false">IF(G365="","",IF(N(H365)&gt;=G365,"Pago",IF(N(H365)&gt;0,"Parcial","Pendente")))</f>
        <v/>
      </c>
      <c r="P365" s="24"/>
    </row>
    <row r="366" customFormat="false" ht="15" hidden="false" customHeight="false" outlineLevel="0" collapsed="false">
      <c r="A366" s="22"/>
      <c r="B366" s="23"/>
      <c r="C366" s="24"/>
      <c r="D366" s="24"/>
      <c r="E366" s="24"/>
      <c r="F366" s="24"/>
      <c r="G366" s="25"/>
      <c r="H366" s="25"/>
      <c r="I366" s="24"/>
      <c r="J366" s="24"/>
      <c r="K366" s="25"/>
      <c r="L366" s="25"/>
      <c r="M366" s="26" t="str">
        <f aca="false">IF(G366="","",G366-N(H366))</f>
        <v/>
      </c>
      <c r="N366" s="26" t="str">
        <f aca="false">IF(G366="","",G366-N(K366)-N(L366))</f>
        <v/>
      </c>
      <c r="O366" s="27" t="str">
        <f aca="false">IF(G366="","",IF(N(H366)&gt;=G366,"Pago",IF(N(H366)&gt;0,"Parcial","Pendente")))</f>
        <v/>
      </c>
      <c r="P366" s="24"/>
    </row>
    <row r="367" customFormat="false" ht="15" hidden="false" customHeight="false" outlineLevel="0" collapsed="false">
      <c r="A367" s="22"/>
      <c r="B367" s="23"/>
      <c r="C367" s="24"/>
      <c r="D367" s="24"/>
      <c r="E367" s="24"/>
      <c r="F367" s="24"/>
      <c r="G367" s="25"/>
      <c r="H367" s="25"/>
      <c r="I367" s="24"/>
      <c r="J367" s="24"/>
      <c r="K367" s="25"/>
      <c r="L367" s="25"/>
      <c r="M367" s="26" t="str">
        <f aca="false">IF(G367="","",G367-N(H367))</f>
        <v/>
      </c>
      <c r="N367" s="26" t="str">
        <f aca="false">IF(G367="","",G367-N(K367)-N(L367))</f>
        <v/>
      </c>
      <c r="O367" s="27" t="str">
        <f aca="false">IF(G367="","",IF(N(H367)&gt;=G367,"Pago",IF(N(H367)&gt;0,"Parcial","Pendente")))</f>
        <v/>
      </c>
      <c r="P367" s="24"/>
    </row>
    <row r="368" customFormat="false" ht="15" hidden="false" customHeight="false" outlineLevel="0" collapsed="false">
      <c r="A368" s="22"/>
      <c r="B368" s="23"/>
      <c r="C368" s="24"/>
      <c r="D368" s="24"/>
      <c r="E368" s="24"/>
      <c r="F368" s="24"/>
      <c r="G368" s="25"/>
      <c r="H368" s="25"/>
      <c r="I368" s="24"/>
      <c r="J368" s="24"/>
      <c r="K368" s="25"/>
      <c r="L368" s="25"/>
      <c r="M368" s="26" t="str">
        <f aca="false">IF(G368="","",G368-N(H368))</f>
        <v/>
      </c>
      <c r="N368" s="26" t="str">
        <f aca="false">IF(G368="","",G368-N(K368)-N(L368))</f>
        <v/>
      </c>
      <c r="O368" s="27" t="str">
        <f aca="false">IF(G368="","",IF(N(H368)&gt;=G368,"Pago",IF(N(H368)&gt;0,"Parcial","Pendente")))</f>
        <v/>
      </c>
      <c r="P368" s="24"/>
    </row>
    <row r="369" customFormat="false" ht="15" hidden="false" customHeight="false" outlineLevel="0" collapsed="false">
      <c r="A369" s="22"/>
      <c r="B369" s="23"/>
      <c r="C369" s="24"/>
      <c r="D369" s="24"/>
      <c r="E369" s="24"/>
      <c r="F369" s="24"/>
      <c r="G369" s="25"/>
      <c r="H369" s="25"/>
      <c r="I369" s="24"/>
      <c r="J369" s="24"/>
      <c r="K369" s="25"/>
      <c r="L369" s="25"/>
      <c r="M369" s="26" t="str">
        <f aca="false">IF(G369="","",G369-N(H369))</f>
        <v/>
      </c>
      <c r="N369" s="26" t="str">
        <f aca="false">IF(G369="","",G369-N(K369)-N(L369))</f>
        <v/>
      </c>
      <c r="O369" s="27" t="str">
        <f aca="false">IF(G369="","",IF(N(H369)&gt;=G369,"Pago",IF(N(H369)&gt;0,"Parcial","Pendente")))</f>
        <v/>
      </c>
      <c r="P369" s="24"/>
    </row>
    <row r="370" customFormat="false" ht="15" hidden="false" customHeight="false" outlineLevel="0" collapsed="false">
      <c r="A370" s="22"/>
      <c r="B370" s="23"/>
      <c r="C370" s="24"/>
      <c r="D370" s="24"/>
      <c r="E370" s="24"/>
      <c r="F370" s="24"/>
      <c r="G370" s="25"/>
      <c r="H370" s="25"/>
      <c r="I370" s="24"/>
      <c r="J370" s="24"/>
      <c r="K370" s="25"/>
      <c r="L370" s="25"/>
      <c r="M370" s="26" t="str">
        <f aca="false">IF(G370="","",G370-N(H370))</f>
        <v/>
      </c>
      <c r="N370" s="26" t="str">
        <f aca="false">IF(G370="","",G370-N(K370)-N(L370))</f>
        <v/>
      </c>
      <c r="O370" s="27" t="str">
        <f aca="false">IF(G370="","",IF(N(H370)&gt;=G370,"Pago",IF(N(H370)&gt;0,"Parcial","Pendente")))</f>
        <v/>
      </c>
      <c r="P370" s="24"/>
    </row>
    <row r="371" customFormat="false" ht="15" hidden="false" customHeight="false" outlineLevel="0" collapsed="false">
      <c r="A371" s="22"/>
      <c r="B371" s="23"/>
      <c r="C371" s="24"/>
      <c r="D371" s="24"/>
      <c r="E371" s="24"/>
      <c r="F371" s="24"/>
      <c r="G371" s="25"/>
      <c r="H371" s="25"/>
      <c r="I371" s="24"/>
      <c r="J371" s="24"/>
      <c r="K371" s="25"/>
      <c r="L371" s="25"/>
      <c r="M371" s="26" t="str">
        <f aca="false">IF(G371="","",G371-N(H371))</f>
        <v/>
      </c>
      <c r="N371" s="26" t="str">
        <f aca="false">IF(G371="","",G371-N(K371)-N(L371))</f>
        <v/>
      </c>
      <c r="O371" s="27" t="str">
        <f aca="false">IF(G371="","",IF(N(H371)&gt;=G371,"Pago",IF(N(H371)&gt;0,"Parcial","Pendente")))</f>
        <v/>
      </c>
      <c r="P371" s="24"/>
    </row>
    <row r="372" customFormat="false" ht="15" hidden="false" customHeight="false" outlineLevel="0" collapsed="false">
      <c r="A372" s="22"/>
      <c r="B372" s="23"/>
      <c r="C372" s="24"/>
      <c r="D372" s="24"/>
      <c r="E372" s="24"/>
      <c r="F372" s="24"/>
      <c r="G372" s="25"/>
      <c r="H372" s="25"/>
      <c r="I372" s="24"/>
      <c r="J372" s="24"/>
      <c r="K372" s="25"/>
      <c r="L372" s="25"/>
      <c r="M372" s="26" t="str">
        <f aca="false">IF(G372="","",G372-N(H372))</f>
        <v/>
      </c>
      <c r="N372" s="26" t="str">
        <f aca="false">IF(G372="","",G372-N(K372)-N(L372))</f>
        <v/>
      </c>
      <c r="O372" s="27" t="str">
        <f aca="false">IF(G372="","",IF(N(H372)&gt;=G372,"Pago",IF(N(H372)&gt;0,"Parcial","Pendente")))</f>
        <v/>
      </c>
      <c r="P372" s="24"/>
    </row>
    <row r="373" customFormat="false" ht="15" hidden="false" customHeight="false" outlineLevel="0" collapsed="false">
      <c r="A373" s="22"/>
      <c r="B373" s="23"/>
      <c r="C373" s="24"/>
      <c r="D373" s="24"/>
      <c r="E373" s="24"/>
      <c r="F373" s="24"/>
      <c r="G373" s="25"/>
      <c r="H373" s="25"/>
      <c r="I373" s="24"/>
      <c r="J373" s="24"/>
      <c r="K373" s="25"/>
      <c r="L373" s="25"/>
      <c r="M373" s="26" t="str">
        <f aca="false">IF(G373="","",G373-N(H373))</f>
        <v/>
      </c>
      <c r="N373" s="26" t="str">
        <f aca="false">IF(G373="","",G373-N(K373)-N(L373))</f>
        <v/>
      </c>
      <c r="O373" s="27" t="str">
        <f aca="false">IF(G373="","",IF(N(H373)&gt;=G373,"Pago",IF(N(H373)&gt;0,"Parcial","Pendente")))</f>
        <v/>
      </c>
      <c r="P373" s="24"/>
    </row>
    <row r="374" customFormat="false" ht="15" hidden="false" customHeight="false" outlineLevel="0" collapsed="false">
      <c r="A374" s="22"/>
      <c r="B374" s="23"/>
      <c r="C374" s="24"/>
      <c r="D374" s="24"/>
      <c r="E374" s="24"/>
      <c r="F374" s="24"/>
      <c r="G374" s="25"/>
      <c r="H374" s="25"/>
      <c r="I374" s="24"/>
      <c r="J374" s="24"/>
      <c r="K374" s="25"/>
      <c r="L374" s="25"/>
      <c r="M374" s="26" t="str">
        <f aca="false">IF(G374="","",G374-N(H374))</f>
        <v/>
      </c>
      <c r="N374" s="26" t="str">
        <f aca="false">IF(G374="","",G374-N(K374)-N(L374))</f>
        <v/>
      </c>
      <c r="O374" s="27" t="str">
        <f aca="false">IF(G374="","",IF(N(H374)&gt;=G374,"Pago",IF(N(H374)&gt;0,"Parcial","Pendente")))</f>
        <v/>
      </c>
      <c r="P374" s="24"/>
    </row>
    <row r="375" customFormat="false" ht="15" hidden="false" customHeight="false" outlineLevel="0" collapsed="false">
      <c r="A375" s="22"/>
      <c r="B375" s="23"/>
      <c r="C375" s="24"/>
      <c r="D375" s="24"/>
      <c r="E375" s="24"/>
      <c r="F375" s="24"/>
      <c r="G375" s="25"/>
      <c r="H375" s="25"/>
      <c r="I375" s="24"/>
      <c r="J375" s="24"/>
      <c r="K375" s="25"/>
      <c r="L375" s="25"/>
      <c r="M375" s="26" t="str">
        <f aca="false">IF(G375="","",G375-N(H375))</f>
        <v/>
      </c>
      <c r="N375" s="26" t="str">
        <f aca="false">IF(G375="","",G375-N(K375)-N(L375))</f>
        <v/>
      </c>
      <c r="O375" s="27" t="str">
        <f aca="false">IF(G375="","",IF(N(H375)&gt;=G375,"Pago",IF(N(H375)&gt;0,"Parcial","Pendente")))</f>
        <v/>
      </c>
      <c r="P375" s="24"/>
    </row>
    <row r="376" customFormat="false" ht="15" hidden="false" customHeight="false" outlineLevel="0" collapsed="false">
      <c r="A376" s="22"/>
      <c r="B376" s="23"/>
      <c r="C376" s="24"/>
      <c r="D376" s="24"/>
      <c r="E376" s="24"/>
      <c r="F376" s="24"/>
      <c r="G376" s="25"/>
      <c r="H376" s="25"/>
      <c r="I376" s="24"/>
      <c r="J376" s="24"/>
      <c r="K376" s="25"/>
      <c r="L376" s="25"/>
      <c r="M376" s="26" t="str">
        <f aca="false">IF(G376="","",G376-N(H376))</f>
        <v/>
      </c>
      <c r="N376" s="26" t="str">
        <f aca="false">IF(G376="","",G376-N(K376)-N(L376))</f>
        <v/>
      </c>
      <c r="O376" s="27" t="str">
        <f aca="false">IF(G376="","",IF(N(H376)&gt;=G376,"Pago",IF(N(H376)&gt;0,"Parcial","Pendente")))</f>
        <v/>
      </c>
      <c r="P376" s="24"/>
    </row>
    <row r="377" customFormat="false" ht="15" hidden="false" customHeight="false" outlineLevel="0" collapsed="false">
      <c r="A377" s="22"/>
      <c r="B377" s="23"/>
      <c r="C377" s="24"/>
      <c r="D377" s="24"/>
      <c r="E377" s="24"/>
      <c r="F377" s="24"/>
      <c r="G377" s="25"/>
      <c r="H377" s="25"/>
      <c r="I377" s="24"/>
      <c r="J377" s="24"/>
      <c r="K377" s="25"/>
      <c r="L377" s="25"/>
      <c r="M377" s="26" t="str">
        <f aca="false">IF(G377="","",G377-N(H377))</f>
        <v/>
      </c>
      <c r="N377" s="26" t="str">
        <f aca="false">IF(G377="","",G377-N(K377)-N(L377))</f>
        <v/>
      </c>
      <c r="O377" s="27" t="str">
        <f aca="false">IF(G377="","",IF(N(H377)&gt;=G377,"Pago",IF(N(H377)&gt;0,"Parcial","Pendente")))</f>
        <v/>
      </c>
      <c r="P377" s="24"/>
    </row>
    <row r="378" customFormat="false" ht="15" hidden="false" customHeight="false" outlineLevel="0" collapsed="false">
      <c r="A378" s="22"/>
      <c r="B378" s="23"/>
      <c r="C378" s="24"/>
      <c r="D378" s="24"/>
      <c r="E378" s="24"/>
      <c r="F378" s="24"/>
      <c r="G378" s="25"/>
      <c r="H378" s="25"/>
      <c r="I378" s="24"/>
      <c r="J378" s="24"/>
      <c r="K378" s="25"/>
      <c r="L378" s="25"/>
      <c r="M378" s="26" t="str">
        <f aca="false">IF(G378="","",G378-N(H378))</f>
        <v/>
      </c>
      <c r="N378" s="26" t="str">
        <f aca="false">IF(G378="","",G378-N(K378)-N(L378))</f>
        <v/>
      </c>
      <c r="O378" s="27" t="str">
        <f aca="false">IF(G378="","",IF(N(H378)&gt;=G378,"Pago",IF(N(H378)&gt;0,"Parcial","Pendente")))</f>
        <v/>
      </c>
      <c r="P378" s="24"/>
    </row>
    <row r="379" customFormat="false" ht="15" hidden="false" customHeight="false" outlineLevel="0" collapsed="false">
      <c r="A379" s="22"/>
      <c r="B379" s="23"/>
      <c r="C379" s="24"/>
      <c r="D379" s="24"/>
      <c r="E379" s="24"/>
      <c r="F379" s="24"/>
      <c r="G379" s="25"/>
      <c r="H379" s="25"/>
      <c r="I379" s="24"/>
      <c r="J379" s="24"/>
      <c r="K379" s="25"/>
      <c r="L379" s="25"/>
      <c r="M379" s="26" t="str">
        <f aca="false">IF(G379="","",G379-N(H379))</f>
        <v/>
      </c>
      <c r="N379" s="26" t="str">
        <f aca="false">IF(G379="","",G379-N(K379)-N(L379))</f>
        <v/>
      </c>
      <c r="O379" s="27" t="str">
        <f aca="false">IF(G379="","",IF(N(H379)&gt;=G379,"Pago",IF(N(H379)&gt;0,"Parcial","Pendente")))</f>
        <v/>
      </c>
      <c r="P379" s="24"/>
    </row>
    <row r="380" customFormat="false" ht="15" hidden="false" customHeight="false" outlineLevel="0" collapsed="false">
      <c r="A380" s="22"/>
      <c r="B380" s="23"/>
      <c r="C380" s="24"/>
      <c r="D380" s="24"/>
      <c r="E380" s="24"/>
      <c r="F380" s="24"/>
      <c r="G380" s="25"/>
      <c r="H380" s="25"/>
      <c r="I380" s="24"/>
      <c r="J380" s="24"/>
      <c r="K380" s="25"/>
      <c r="L380" s="25"/>
      <c r="M380" s="26" t="str">
        <f aca="false">IF(G380="","",G380-N(H380))</f>
        <v/>
      </c>
      <c r="N380" s="26" t="str">
        <f aca="false">IF(G380="","",G380-N(K380)-N(L380))</f>
        <v/>
      </c>
      <c r="O380" s="27" t="str">
        <f aca="false">IF(G380="","",IF(N(H380)&gt;=G380,"Pago",IF(N(H380)&gt;0,"Parcial","Pendente")))</f>
        <v/>
      </c>
      <c r="P380" s="24"/>
    </row>
    <row r="381" customFormat="false" ht="15" hidden="false" customHeight="false" outlineLevel="0" collapsed="false">
      <c r="A381" s="22"/>
      <c r="B381" s="23"/>
      <c r="C381" s="24"/>
      <c r="D381" s="24"/>
      <c r="E381" s="24"/>
      <c r="F381" s="24"/>
      <c r="G381" s="25"/>
      <c r="H381" s="25"/>
      <c r="I381" s="24"/>
      <c r="J381" s="24"/>
      <c r="K381" s="25"/>
      <c r="L381" s="25"/>
      <c r="M381" s="26" t="str">
        <f aca="false">IF(G381="","",G381-N(H381))</f>
        <v/>
      </c>
      <c r="N381" s="26" t="str">
        <f aca="false">IF(G381="","",G381-N(K381)-N(L381))</f>
        <v/>
      </c>
      <c r="O381" s="27" t="str">
        <f aca="false">IF(G381="","",IF(N(H381)&gt;=G381,"Pago",IF(N(H381)&gt;0,"Parcial","Pendente")))</f>
        <v/>
      </c>
      <c r="P381" s="24"/>
    </row>
    <row r="382" customFormat="false" ht="15" hidden="false" customHeight="false" outlineLevel="0" collapsed="false">
      <c r="A382" s="22"/>
      <c r="B382" s="23"/>
      <c r="C382" s="24"/>
      <c r="D382" s="24"/>
      <c r="E382" s="24"/>
      <c r="F382" s="24"/>
      <c r="G382" s="25"/>
      <c r="H382" s="25"/>
      <c r="I382" s="24"/>
      <c r="J382" s="24"/>
      <c r="K382" s="25"/>
      <c r="L382" s="25"/>
      <c r="M382" s="26" t="str">
        <f aca="false">IF(G382="","",G382-N(H382))</f>
        <v/>
      </c>
      <c r="N382" s="26" t="str">
        <f aca="false">IF(G382="","",G382-N(K382)-N(L382))</f>
        <v/>
      </c>
      <c r="O382" s="27" t="str">
        <f aca="false">IF(G382="","",IF(N(H382)&gt;=G382,"Pago",IF(N(H382)&gt;0,"Parcial","Pendente")))</f>
        <v/>
      </c>
      <c r="P382" s="24"/>
    </row>
    <row r="383" customFormat="false" ht="15" hidden="false" customHeight="false" outlineLevel="0" collapsed="false">
      <c r="A383" s="22"/>
      <c r="B383" s="23"/>
      <c r="C383" s="24"/>
      <c r="D383" s="24"/>
      <c r="E383" s="24"/>
      <c r="F383" s="24"/>
      <c r="G383" s="25"/>
      <c r="H383" s="25"/>
      <c r="I383" s="24"/>
      <c r="J383" s="24"/>
      <c r="K383" s="25"/>
      <c r="L383" s="25"/>
      <c r="M383" s="26" t="str">
        <f aca="false">IF(G383="","",G383-N(H383))</f>
        <v/>
      </c>
      <c r="N383" s="26" t="str">
        <f aca="false">IF(G383="","",G383-N(K383)-N(L383))</f>
        <v/>
      </c>
      <c r="O383" s="27" t="str">
        <f aca="false">IF(G383="","",IF(N(H383)&gt;=G383,"Pago",IF(N(H383)&gt;0,"Parcial","Pendente")))</f>
        <v/>
      </c>
      <c r="P383" s="24"/>
    </row>
    <row r="384" customFormat="false" ht="15" hidden="false" customHeight="false" outlineLevel="0" collapsed="false">
      <c r="A384" s="22"/>
      <c r="B384" s="23"/>
      <c r="C384" s="24"/>
      <c r="D384" s="24"/>
      <c r="E384" s="24"/>
      <c r="F384" s="24"/>
      <c r="G384" s="25"/>
      <c r="H384" s="25"/>
      <c r="I384" s="24"/>
      <c r="J384" s="24"/>
      <c r="K384" s="25"/>
      <c r="L384" s="25"/>
      <c r="M384" s="26" t="str">
        <f aca="false">IF(G384="","",G384-N(H384))</f>
        <v/>
      </c>
      <c r="N384" s="26" t="str">
        <f aca="false">IF(G384="","",G384-N(K384)-N(L384))</f>
        <v/>
      </c>
      <c r="O384" s="27" t="str">
        <f aca="false">IF(G384="","",IF(N(H384)&gt;=G384,"Pago",IF(N(H384)&gt;0,"Parcial","Pendente")))</f>
        <v/>
      </c>
      <c r="P384" s="24"/>
    </row>
    <row r="385" customFormat="false" ht="15" hidden="false" customHeight="false" outlineLevel="0" collapsed="false">
      <c r="A385" s="22"/>
      <c r="B385" s="23"/>
      <c r="C385" s="24"/>
      <c r="D385" s="24"/>
      <c r="E385" s="24"/>
      <c r="F385" s="24"/>
      <c r="G385" s="25"/>
      <c r="H385" s="25"/>
      <c r="I385" s="24"/>
      <c r="J385" s="24"/>
      <c r="K385" s="25"/>
      <c r="L385" s="25"/>
      <c r="M385" s="26" t="str">
        <f aca="false">IF(G385="","",G385-N(H385))</f>
        <v/>
      </c>
      <c r="N385" s="26" t="str">
        <f aca="false">IF(G385="","",G385-N(K385)-N(L385))</f>
        <v/>
      </c>
      <c r="O385" s="27" t="str">
        <f aca="false">IF(G385="","",IF(N(H385)&gt;=G385,"Pago",IF(N(H385)&gt;0,"Parcial","Pendente")))</f>
        <v/>
      </c>
      <c r="P385" s="24"/>
    </row>
    <row r="386" customFormat="false" ht="15" hidden="false" customHeight="false" outlineLevel="0" collapsed="false">
      <c r="A386" s="22"/>
      <c r="B386" s="23"/>
      <c r="C386" s="24"/>
      <c r="D386" s="24"/>
      <c r="E386" s="24"/>
      <c r="F386" s="24"/>
      <c r="G386" s="25"/>
      <c r="H386" s="25"/>
      <c r="I386" s="24"/>
      <c r="J386" s="24"/>
      <c r="K386" s="25"/>
      <c r="L386" s="25"/>
      <c r="M386" s="26" t="str">
        <f aca="false">IF(G386="","",G386-N(H386))</f>
        <v/>
      </c>
      <c r="N386" s="26" t="str">
        <f aca="false">IF(G386="","",G386-N(K386)-N(L386))</f>
        <v/>
      </c>
      <c r="O386" s="27" t="str">
        <f aca="false">IF(G386="","",IF(N(H386)&gt;=G386,"Pago",IF(N(H386)&gt;0,"Parcial","Pendente")))</f>
        <v/>
      </c>
      <c r="P386" s="24"/>
    </row>
    <row r="387" customFormat="false" ht="15" hidden="false" customHeight="false" outlineLevel="0" collapsed="false">
      <c r="A387" s="22"/>
      <c r="B387" s="23"/>
      <c r="C387" s="24"/>
      <c r="D387" s="24"/>
      <c r="E387" s="24"/>
      <c r="F387" s="24"/>
      <c r="G387" s="25"/>
      <c r="H387" s="25"/>
      <c r="I387" s="24"/>
      <c r="J387" s="24"/>
      <c r="K387" s="25"/>
      <c r="L387" s="25"/>
      <c r="M387" s="26" t="str">
        <f aca="false">IF(G387="","",G387-N(H387))</f>
        <v/>
      </c>
      <c r="N387" s="26" t="str">
        <f aca="false">IF(G387="","",G387-N(K387)-N(L387))</f>
        <v/>
      </c>
      <c r="O387" s="27" t="str">
        <f aca="false">IF(G387="","",IF(N(H387)&gt;=G387,"Pago",IF(N(H387)&gt;0,"Parcial","Pendente")))</f>
        <v/>
      </c>
      <c r="P387" s="24"/>
    </row>
    <row r="388" customFormat="false" ht="15" hidden="false" customHeight="false" outlineLevel="0" collapsed="false">
      <c r="A388" s="22"/>
      <c r="B388" s="23"/>
      <c r="C388" s="24"/>
      <c r="D388" s="24"/>
      <c r="E388" s="24"/>
      <c r="F388" s="24"/>
      <c r="G388" s="25"/>
      <c r="H388" s="25"/>
      <c r="I388" s="24"/>
      <c r="J388" s="24"/>
      <c r="K388" s="25"/>
      <c r="L388" s="25"/>
      <c r="M388" s="26" t="str">
        <f aca="false">IF(G388="","",G388-N(H388))</f>
        <v/>
      </c>
      <c r="N388" s="26" t="str">
        <f aca="false">IF(G388="","",G388-N(K388)-N(L388))</f>
        <v/>
      </c>
      <c r="O388" s="27" t="str">
        <f aca="false">IF(G388="","",IF(N(H388)&gt;=G388,"Pago",IF(N(H388)&gt;0,"Parcial","Pendente")))</f>
        <v/>
      </c>
      <c r="P388" s="24"/>
    </row>
    <row r="389" customFormat="false" ht="15" hidden="false" customHeight="false" outlineLevel="0" collapsed="false">
      <c r="A389" s="22"/>
      <c r="B389" s="23"/>
      <c r="C389" s="24"/>
      <c r="D389" s="24"/>
      <c r="E389" s="24"/>
      <c r="F389" s="24"/>
      <c r="G389" s="25"/>
      <c r="H389" s="25"/>
      <c r="I389" s="24"/>
      <c r="J389" s="24"/>
      <c r="K389" s="25"/>
      <c r="L389" s="25"/>
      <c r="M389" s="26" t="str">
        <f aca="false">IF(G389="","",G389-N(H389))</f>
        <v/>
      </c>
      <c r="N389" s="26" t="str">
        <f aca="false">IF(G389="","",G389-N(K389)-N(L389))</f>
        <v/>
      </c>
      <c r="O389" s="27" t="str">
        <f aca="false">IF(G389="","",IF(N(H389)&gt;=G389,"Pago",IF(N(H389)&gt;0,"Parcial","Pendente")))</f>
        <v/>
      </c>
      <c r="P389" s="24"/>
    </row>
    <row r="390" customFormat="false" ht="15" hidden="false" customHeight="false" outlineLevel="0" collapsed="false">
      <c r="A390" s="22"/>
      <c r="B390" s="23"/>
      <c r="C390" s="24"/>
      <c r="D390" s="24"/>
      <c r="E390" s="24"/>
      <c r="F390" s="24"/>
      <c r="G390" s="25"/>
      <c r="H390" s="25"/>
      <c r="I390" s="24"/>
      <c r="J390" s="24"/>
      <c r="K390" s="25"/>
      <c r="L390" s="25"/>
      <c r="M390" s="26" t="str">
        <f aca="false">IF(G390="","",G390-N(H390))</f>
        <v/>
      </c>
      <c r="N390" s="26" t="str">
        <f aca="false">IF(G390="","",G390-N(K390)-N(L390))</f>
        <v/>
      </c>
      <c r="O390" s="27" t="str">
        <f aca="false">IF(G390="","",IF(N(H390)&gt;=G390,"Pago",IF(N(H390)&gt;0,"Parcial","Pendente")))</f>
        <v/>
      </c>
      <c r="P390" s="24"/>
    </row>
    <row r="391" customFormat="false" ht="15" hidden="false" customHeight="false" outlineLevel="0" collapsed="false">
      <c r="A391" s="22"/>
      <c r="B391" s="23"/>
      <c r="C391" s="24"/>
      <c r="D391" s="24"/>
      <c r="E391" s="24"/>
      <c r="F391" s="24"/>
      <c r="G391" s="25"/>
      <c r="H391" s="25"/>
      <c r="I391" s="24"/>
      <c r="J391" s="24"/>
      <c r="K391" s="25"/>
      <c r="L391" s="25"/>
      <c r="M391" s="26" t="str">
        <f aca="false">IF(G391="","",G391-N(H391))</f>
        <v/>
      </c>
      <c r="N391" s="26" t="str">
        <f aca="false">IF(G391="","",G391-N(K391)-N(L391))</f>
        <v/>
      </c>
      <c r="O391" s="27" t="str">
        <f aca="false">IF(G391="","",IF(N(H391)&gt;=G391,"Pago",IF(N(H391)&gt;0,"Parcial","Pendente")))</f>
        <v/>
      </c>
      <c r="P391" s="24"/>
    </row>
    <row r="392" customFormat="false" ht="15" hidden="false" customHeight="false" outlineLevel="0" collapsed="false">
      <c r="A392" s="22"/>
      <c r="B392" s="23"/>
      <c r="C392" s="24"/>
      <c r="D392" s="24"/>
      <c r="E392" s="24"/>
      <c r="F392" s="24"/>
      <c r="G392" s="25"/>
      <c r="H392" s="25"/>
      <c r="I392" s="24"/>
      <c r="J392" s="24"/>
      <c r="K392" s="25"/>
      <c r="L392" s="25"/>
      <c r="M392" s="26" t="str">
        <f aca="false">IF(G392="","",G392-N(H392))</f>
        <v/>
      </c>
      <c r="N392" s="26" t="str">
        <f aca="false">IF(G392="","",G392-N(K392)-N(L392))</f>
        <v/>
      </c>
      <c r="O392" s="27" t="str">
        <f aca="false">IF(G392="","",IF(N(H392)&gt;=G392,"Pago",IF(N(H392)&gt;0,"Parcial","Pendente")))</f>
        <v/>
      </c>
      <c r="P392" s="24"/>
    </row>
    <row r="393" customFormat="false" ht="15" hidden="false" customHeight="false" outlineLevel="0" collapsed="false">
      <c r="A393" s="22"/>
      <c r="B393" s="23"/>
      <c r="C393" s="24"/>
      <c r="D393" s="24"/>
      <c r="E393" s="24"/>
      <c r="F393" s="24"/>
      <c r="G393" s="25"/>
      <c r="H393" s="25"/>
      <c r="I393" s="24"/>
      <c r="J393" s="24"/>
      <c r="K393" s="25"/>
      <c r="L393" s="25"/>
      <c r="M393" s="26" t="str">
        <f aca="false">IF(G393="","",G393-N(H393))</f>
        <v/>
      </c>
      <c r="N393" s="26" t="str">
        <f aca="false">IF(G393="","",G393-N(K393)-N(L393))</f>
        <v/>
      </c>
      <c r="O393" s="27" t="str">
        <f aca="false">IF(G393="","",IF(N(H393)&gt;=G393,"Pago",IF(N(H393)&gt;0,"Parcial","Pendente")))</f>
        <v/>
      </c>
      <c r="P393" s="24"/>
    </row>
    <row r="394" customFormat="false" ht="15" hidden="false" customHeight="false" outlineLevel="0" collapsed="false">
      <c r="A394" s="22"/>
      <c r="B394" s="23"/>
      <c r="C394" s="24"/>
      <c r="D394" s="24"/>
      <c r="E394" s="24"/>
      <c r="F394" s="24"/>
      <c r="G394" s="25"/>
      <c r="H394" s="25"/>
      <c r="I394" s="24"/>
      <c r="J394" s="24"/>
      <c r="K394" s="25"/>
      <c r="L394" s="25"/>
      <c r="M394" s="26" t="str">
        <f aca="false">IF(G394="","",G394-N(H394))</f>
        <v/>
      </c>
      <c r="N394" s="26" t="str">
        <f aca="false">IF(G394="","",G394-N(K394)-N(L394))</f>
        <v/>
      </c>
      <c r="O394" s="27" t="str">
        <f aca="false">IF(G394="","",IF(N(H394)&gt;=G394,"Pago",IF(N(H394)&gt;0,"Parcial","Pendente")))</f>
        <v/>
      </c>
      <c r="P394" s="24"/>
    </row>
    <row r="395" customFormat="false" ht="15" hidden="false" customHeight="false" outlineLevel="0" collapsed="false">
      <c r="A395" s="22"/>
      <c r="B395" s="23"/>
      <c r="C395" s="24"/>
      <c r="D395" s="24"/>
      <c r="E395" s="24"/>
      <c r="F395" s="24"/>
      <c r="G395" s="25"/>
      <c r="H395" s="25"/>
      <c r="I395" s="24"/>
      <c r="J395" s="24"/>
      <c r="K395" s="25"/>
      <c r="L395" s="25"/>
      <c r="M395" s="26" t="str">
        <f aca="false">IF(G395="","",G395-N(H395))</f>
        <v/>
      </c>
      <c r="N395" s="26" t="str">
        <f aca="false">IF(G395="","",G395-N(K395)-N(L395))</f>
        <v/>
      </c>
      <c r="O395" s="27" t="str">
        <f aca="false">IF(G395="","",IF(N(H395)&gt;=G395,"Pago",IF(N(H395)&gt;0,"Parcial","Pendente")))</f>
        <v/>
      </c>
      <c r="P395" s="24"/>
    </row>
    <row r="396" customFormat="false" ht="15" hidden="false" customHeight="false" outlineLevel="0" collapsed="false">
      <c r="A396" s="22"/>
      <c r="B396" s="23"/>
      <c r="C396" s="24"/>
      <c r="D396" s="24"/>
      <c r="E396" s="24"/>
      <c r="F396" s="24"/>
      <c r="G396" s="25"/>
      <c r="H396" s="25"/>
      <c r="I396" s="24"/>
      <c r="J396" s="24"/>
      <c r="K396" s="25"/>
      <c r="L396" s="25"/>
      <c r="M396" s="26" t="str">
        <f aca="false">IF(G396="","",G396-N(H396))</f>
        <v/>
      </c>
      <c r="N396" s="26" t="str">
        <f aca="false">IF(G396="","",G396-N(K396)-N(L396))</f>
        <v/>
      </c>
      <c r="O396" s="27" t="str">
        <f aca="false">IF(G396="","",IF(N(H396)&gt;=G396,"Pago",IF(N(H396)&gt;0,"Parcial","Pendente")))</f>
        <v/>
      </c>
      <c r="P396" s="24"/>
    </row>
    <row r="397" customFormat="false" ht="15" hidden="false" customHeight="false" outlineLevel="0" collapsed="false">
      <c r="A397" s="22"/>
      <c r="B397" s="23"/>
      <c r="C397" s="24"/>
      <c r="D397" s="24"/>
      <c r="E397" s="24"/>
      <c r="F397" s="24"/>
      <c r="G397" s="25"/>
      <c r="H397" s="25"/>
      <c r="I397" s="24"/>
      <c r="J397" s="24"/>
      <c r="K397" s="25"/>
      <c r="L397" s="25"/>
      <c r="M397" s="26" t="str">
        <f aca="false">IF(G397="","",G397-N(H397))</f>
        <v/>
      </c>
      <c r="N397" s="26" t="str">
        <f aca="false">IF(G397="","",G397-N(K397)-N(L397))</f>
        <v/>
      </c>
      <c r="O397" s="27" t="str">
        <f aca="false">IF(G397="","",IF(N(H397)&gt;=G397,"Pago",IF(N(H397)&gt;0,"Parcial","Pendente")))</f>
        <v/>
      </c>
      <c r="P397" s="24"/>
    </row>
    <row r="398" customFormat="false" ht="15" hidden="false" customHeight="false" outlineLevel="0" collapsed="false">
      <c r="A398" s="22"/>
      <c r="B398" s="23"/>
      <c r="C398" s="24"/>
      <c r="D398" s="24"/>
      <c r="E398" s="24"/>
      <c r="F398" s="24"/>
      <c r="G398" s="25"/>
      <c r="H398" s="25"/>
      <c r="I398" s="24"/>
      <c r="J398" s="24"/>
      <c r="K398" s="25"/>
      <c r="L398" s="25"/>
      <c r="M398" s="26" t="str">
        <f aca="false">IF(G398="","",G398-N(H398))</f>
        <v/>
      </c>
      <c r="N398" s="26" t="str">
        <f aca="false">IF(G398="","",G398-N(K398)-N(L398))</f>
        <v/>
      </c>
      <c r="O398" s="27" t="str">
        <f aca="false">IF(G398="","",IF(N(H398)&gt;=G398,"Pago",IF(N(H398)&gt;0,"Parcial","Pendente")))</f>
        <v/>
      </c>
      <c r="P398" s="24"/>
    </row>
    <row r="399" customFormat="false" ht="15" hidden="false" customHeight="false" outlineLevel="0" collapsed="false">
      <c r="A399" s="22"/>
      <c r="B399" s="23"/>
      <c r="C399" s="24"/>
      <c r="D399" s="24"/>
      <c r="E399" s="24"/>
      <c r="F399" s="24"/>
      <c r="G399" s="25"/>
      <c r="H399" s="25"/>
      <c r="I399" s="24"/>
      <c r="J399" s="24"/>
      <c r="K399" s="25"/>
      <c r="L399" s="25"/>
      <c r="M399" s="26" t="str">
        <f aca="false">IF(G399="","",G399-N(H399))</f>
        <v/>
      </c>
      <c r="N399" s="26" t="str">
        <f aca="false">IF(G399="","",G399-N(K399)-N(L399))</f>
        <v/>
      </c>
      <c r="O399" s="27" t="str">
        <f aca="false">IF(G399="","",IF(N(H399)&gt;=G399,"Pago",IF(N(H399)&gt;0,"Parcial","Pendente")))</f>
        <v/>
      </c>
      <c r="P399" s="24"/>
    </row>
    <row r="400" customFormat="false" ht="15" hidden="false" customHeight="false" outlineLevel="0" collapsed="false">
      <c r="A400" s="22"/>
      <c r="B400" s="23"/>
      <c r="C400" s="24"/>
      <c r="D400" s="24"/>
      <c r="E400" s="24"/>
      <c r="F400" s="24"/>
      <c r="G400" s="25"/>
      <c r="H400" s="25"/>
      <c r="I400" s="24"/>
      <c r="J400" s="24"/>
      <c r="K400" s="25"/>
      <c r="L400" s="25"/>
      <c r="M400" s="26" t="str">
        <f aca="false">IF(G400="","",G400-N(H400))</f>
        <v/>
      </c>
      <c r="N400" s="26" t="str">
        <f aca="false">IF(G400="","",G400-N(K400)-N(L400))</f>
        <v/>
      </c>
      <c r="O400" s="27" t="str">
        <f aca="false">IF(G400="","",IF(N(H400)&gt;=G400,"Pago",IF(N(H400)&gt;0,"Parcial","Pendente")))</f>
        <v/>
      </c>
      <c r="P400" s="24"/>
    </row>
    <row r="401" customFormat="false" ht="15" hidden="false" customHeight="false" outlineLevel="0" collapsed="false">
      <c r="A401" s="22"/>
      <c r="B401" s="23"/>
      <c r="C401" s="24"/>
      <c r="D401" s="24"/>
      <c r="E401" s="24"/>
      <c r="F401" s="24"/>
      <c r="G401" s="25"/>
      <c r="H401" s="25"/>
      <c r="I401" s="24"/>
      <c r="J401" s="24"/>
      <c r="K401" s="25"/>
      <c r="L401" s="25"/>
      <c r="M401" s="26" t="str">
        <f aca="false">IF(G401="","",G401-N(H401))</f>
        <v/>
      </c>
      <c r="N401" s="26" t="str">
        <f aca="false">IF(G401="","",G401-N(K401)-N(L401))</f>
        <v/>
      </c>
      <c r="O401" s="27" t="str">
        <f aca="false">IF(G401="","",IF(N(H401)&gt;=G401,"Pago",IF(N(H401)&gt;0,"Parcial","Pendente")))</f>
        <v/>
      </c>
      <c r="P401" s="24"/>
    </row>
    <row r="402" customFormat="false" ht="15" hidden="false" customHeight="false" outlineLevel="0" collapsed="false">
      <c r="A402" s="22"/>
      <c r="B402" s="23"/>
      <c r="C402" s="24"/>
      <c r="D402" s="24"/>
      <c r="E402" s="24"/>
      <c r="F402" s="24"/>
      <c r="G402" s="25"/>
      <c r="H402" s="25"/>
      <c r="I402" s="24"/>
      <c r="J402" s="24"/>
      <c r="K402" s="25"/>
      <c r="L402" s="25"/>
      <c r="M402" s="26" t="str">
        <f aca="false">IF(G402="","",G402-N(H402))</f>
        <v/>
      </c>
      <c r="N402" s="26" t="str">
        <f aca="false">IF(G402="","",G402-N(K402)-N(L402))</f>
        <v/>
      </c>
      <c r="O402" s="27" t="str">
        <f aca="false">IF(G402="","",IF(N(H402)&gt;=G402,"Pago",IF(N(H402)&gt;0,"Parcial","Pendente")))</f>
        <v/>
      </c>
      <c r="P402" s="24"/>
    </row>
    <row r="403" customFormat="false" ht="15" hidden="false" customHeight="false" outlineLevel="0" collapsed="false">
      <c r="A403" s="22"/>
      <c r="B403" s="23"/>
      <c r="C403" s="24"/>
      <c r="D403" s="24"/>
      <c r="E403" s="24"/>
      <c r="F403" s="24"/>
      <c r="G403" s="25"/>
      <c r="H403" s="25"/>
      <c r="I403" s="24"/>
      <c r="J403" s="24"/>
      <c r="K403" s="25"/>
      <c r="L403" s="25"/>
      <c r="M403" s="26" t="str">
        <f aca="false">IF(G403="","",G403-N(H403))</f>
        <v/>
      </c>
      <c r="N403" s="26" t="str">
        <f aca="false">IF(G403="","",G403-N(K403)-N(L403))</f>
        <v/>
      </c>
      <c r="O403" s="27" t="str">
        <f aca="false">IF(G403="","",IF(N(H403)&gt;=G403,"Pago",IF(N(H403)&gt;0,"Parcial","Pendente")))</f>
        <v/>
      </c>
      <c r="P403" s="24"/>
    </row>
    <row r="404" customFormat="false" ht="15" hidden="false" customHeight="false" outlineLevel="0" collapsed="false">
      <c r="A404" s="22"/>
      <c r="B404" s="23"/>
      <c r="C404" s="24"/>
      <c r="D404" s="24"/>
      <c r="E404" s="24"/>
      <c r="F404" s="24"/>
      <c r="G404" s="25"/>
      <c r="H404" s="25"/>
      <c r="I404" s="24"/>
      <c r="J404" s="24"/>
      <c r="K404" s="25"/>
      <c r="L404" s="25"/>
      <c r="M404" s="26" t="str">
        <f aca="false">IF(G404="","",G404-N(H404))</f>
        <v/>
      </c>
      <c r="N404" s="26" t="str">
        <f aca="false">IF(G404="","",G404-N(K404)-N(L404))</f>
        <v/>
      </c>
      <c r="O404" s="27" t="str">
        <f aca="false">IF(G404="","",IF(N(H404)&gt;=G404,"Pago",IF(N(H404)&gt;0,"Parcial","Pendente")))</f>
        <v/>
      </c>
      <c r="P404" s="24"/>
    </row>
    <row r="405" customFormat="false" ht="15" hidden="false" customHeight="false" outlineLevel="0" collapsed="false">
      <c r="A405" s="22"/>
      <c r="B405" s="23"/>
      <c r="C405" s="24"/>
      <c r="D405" s="24"/>
      <c r="E405" s="24"/>
      <c r="F405" s="24"/>
      <c r="G405" s="25"/>
      <c r="H405" s="25"/>
      <c r="I405" s="24"/>
      <c r="J405" s="24"/>
      <c r="K405" s="25"/>
      <c r="L405" s="25"/>
      <c r="M405" s="26" t="str">
        <f aca="false">IF(G405="","",G405-N(H405))</f>
        <v/>
      </c>
      <c r="N405" s="26" t="str">
        <f aca="false">IF(G405="","",G405-N(K405)-N(L405))</f>
        <v/>
      </c>
      <c r="O405" s="27" t="str">
        <f aca="false">IF(G405="","",IF(N(H405)&gt;=G405,"Pago",IF(N(H405)&gt;0,"Parcial","Pendente")))</f>
        <v/>
      </c>
      <c r="P405" s="24"/>
    </row>
    <row r="406" customFormat="false" ht="15" hidden="false" customHeight="false" outlineLevel="0" collapsed="false">
      <c r="A406" s="22"/>
      <c r="B406" s="23"/>
      <c r="C406" s="24"/>
      <c r="D406" s="24"/>
      <c r="E406" s="24"/>
      <c r="F406" s="24"/>
      <c r="G406" s="25"/>
      <c r="H406" s="25"/>
      <c r="I406" s="24"/>
      <c r="J406" s="24"/>
      <c r="K406" s="25"/>
      <c r="L406" s="25"/>
      <c r="M406" s="26" t="str">
        <f aca="false">IF(G406="","",G406-N(H406))</f>
        <v/>
      </c>
      <c r="N406" s="26" t="str">
        <f aca="false">IF(G406="","",G406-N(K406)-N(L406))</f>
        <v/>
      </c>
      <c r="O406" s="27" t="str">
        <f aca="false">IF(G406="","",IF(N(H406)&gt;=G406,"Pago",IF(N(H406)&gt;0,"Parcial","Pendente")))</f>
        <v/>
      </c>
      <c r="P406" s="24"/>
    </row>
    <row r="407" customFormat="false" ht="15" hidden="false" customHeight="false" outlineLevel="0" collapsed="false">
      <c r="A407" s="22"/>
      <c r="B407" s="23"/>
      <c r="C407" s="24"/>
      <c r="D407" s="24"/>
      <c r="E407" s="24"/>
      <c r="F407" s="24"/>
      <c r="G407" s="25"/>
      <c r="H407" s="25"/>
      <c r="I407" s="24"/>
      <c r="J407" s="24"/>
      <c r="K407" s="25"/>
      <c r="L407" s="25"/>
      <c r="M407" s="26" t="str">
        <f aca="false">IF(G407="","",G407-N(H407))</f>
        <v/>
      </c>
      <c r="N407" s="26" t="str">
        <f aca="false">IF(G407="","",G407-N(K407)-N(L407))</f>
        <v/>
      </c>
      <c r="O407" s="27" t="str">
        <f aca="false">IF(G407="","",IF(N(H407)&gt;=G407,"Pago",IF(N(H407)&gt;0,"Parcial","Pendente")))</f>
        <v/>
      </c>
      <c r="P407" s="24"/>
    </row>
    <row r="408" customFormat="false" ht="15" hidden="false" customHeight="false" outlineLevel="0" collapsed="false">
      <c r="A408" s="22"/>
      <c r="B408" s="23"/>
      <c r="C408" s="24"/>
      <c r="D408" s="24"/>
      <c r="E408" s="24"/>
      <c r="F408" s="24"/>
      <c r="G408" s="25"/>
      <c r="H408" s="25"/>
      <c r="I408" s="24"/>
      <c r="J408" s="24"/>
      <c r="K408" s="25"/>
      <c r="L408" s="25"/>
      <c r="M408" s="26" t="str">
        <f aca="false">IF(G408="","",G408-N(H408))</f>
        <v/>
      </c>
      <c r="N408" s="26" t="str">
        <f aca="false">IF(G408="","",G408-N(K408)-N(L408))</f>
        <v/>
      </c>
      <c r="O408" s="27" t="str">
        <f aca="false">IF(G408="","",IF(N(H408)&gt;=G408,"Pago",IF(N(H408)&gt;0,"Parcial","Pendente")))</f>
        <v/>
      </c>
      <c r="P408" s="24"/>
    </row>
    <row r="409" customFormat="false" ht="15" hidden="false" customHeight="false" outlineLevel="0" collapsed="false">
      <c r="A409" s="22"/>
      <c r="B409" s="23"/>
      <c r="C409" s="24"/>
      <c r="D409" s="24"/>
      <c r="E409" s="24"/>
      <c r="F409" s="24"/>
      <c r="G409" s="25"/>
      <c r="H409" s="25"/>
      <c r="I409" s="24"/>
      <c r="J409" s="24"/>
      <c r="K409" s="25"/>
      <c r="L409" s="25"/>
      <c r="M409" s="26" t="str">
        <f aca="false">IF(G409="","",G409-N(H409))</f>
        <v/>
      </c>
      <c r="N409" s="26" t="str">
        <f aca="false">IF(G409="","",G409-N(K409)-N(L409))</f>
        <v/>
      </c>
      <c r="O409" s="27" t="str">
        <f aca="false">IF(G409="","",IF(N(H409)&gt;=G409,"Pago",IF(N(H409)&gt;0,"Parcial","Pendente")))</f>
        <v/>
      </c>
      <c r="P409" s="24"/>
    </row>
    <row r="410" customFormat="false" ht="15" hidden="false" customHeight="false" outlineLevel="0" collapsed="false">
      <c r="A410" s="22"/>
      <c r="B410" s="23"/>
      <c r="C410" s="24"/>
      <c r="D410" s="24"/>
      <c r="E410" s="24"/>
      <c r="F410" s="24"/>
      <c r="G410" s="25"/>
      <c r="H410" s="25"/>
      <c r="I410" s="24"/>
      <c r="J410" s="24"/>
      <c r="K410" s="25"/>
      <c r="L410" s="25"/>
      <c r="M410" s="26" t="str">
        <f aca="false">IF(G410="","",G410-N(H410))</f>
        <v/>
      </c>
      <c r="N410" s="26" t="str">
        <f aca="false">IF(G410="","",G410-N(K410)-N(L410))</f>
        <v/>
      </c>
      <c r="O410" s="27" t="str">
        <f aca="false">IF(G410="","",IF(N(H410)&gt;=G410,"Pago",IF(N(H410)&gt;0,"Parcial","Pendente")))</f>
        <v/>
      </c>
      <c r="P410" s="24"/>
    </row>
    <row r="411" customFormat="false" ht="15" hidden="false" customHeight="false" outlineLevel="0" collapsed="false">
      <c r="A411" s="22"/>
      <c r="B411" s="23"/>
      <c r="C411" s="24"/>
      <c r="D411" s="24"/>
      <c r="E411" s="24"/>
      <c r="F411" s="24"/>
      <c r="G411" s="25"/>
      <c r="H411" s="25"/>
      <c r="I411" s="24"/>
      <c r="J411" s="24"/>
      <c r="K411" s="25"/>
      <c r="L411" s="25"/>
      <c r="M411" s="26" t="str">
        <f aca="false">IF(G411="","",G411-N(H411))</f>
        <v/>
      </c>
      <c r="N411" s="26" t="str">
        <f aca="false">IF(G411="","",G411-N(K411)-N(L411))</f>
        <v/>
      </c>
      <c r="O411" s="27" t="str">
        <f aca="false">IF(G411="","",IF(N(H411)&gt;=G411,"Pago",IF(N(H411)&gt;0,"Parcial","Pendente")))</f>
        <v/>
      </c>
      <c r="P411" s="24"/>
    </row>
    <row r="412" customFormat="false" ht="15" hidden="false" customHeight="false" outlineLevel="0" collapsed="false">
      <c r="A412" s="22"/>
      <c r="B412" s="23"/>
      <c r="C412" s="24"/>
      <c r="D412" s="24"/>
      <c r="E412" s="24"/>
      <c r="F412" s="24"/>
      <c r="G412" s="25"/>
      <c r="H412" s="25"/>
      <c r="I412" s="24"/>
      <c r="J412" s="24"/>
      <c r="K412" s="25"/>
      <c r="L412" s="25"/>
      <c r="M412" s="26" t="str">
        <f aca="false">IF(G412="","",G412-N(H412))</f>
        <v/>
      </c>
      <c r="N412" s="26" t="str">
        <f aca="false">IF(G412="","",G412-N(K412)-N(L412))</f>
        <v/>
      </c>
      <c r="O412" s="27" t="str">
        <f aca="false">IF(G412="","",IF(N(H412)&gt;=G412,"Pago",IF(N(H412)&gt;0,"Parcial","Pendente")))</f>
        <v/>
      </c>
      <c r="P412" s="24"/>
    </row>
    <row r="413" customFormat="false" ht="15" hidden="false" customHeight="false" outlineLevel="0" collapsed="false">
      <c r="A413" s="22"/>
      <c r="B413" s="23"/>
      <c r="C413" s="24"/>
      <c r="D413" s="24"/>
      <c r="E413" s="24"/>
      <c r="F413" s="24"/>
      <c r="G413" s="25"/>
      <c r="H413" s="25"/>
      <c r="I413" s="24"/>
      <c r="J413" s="24"/>
      <c r="K413" s="25"/>
      <c r="L413" s="25"/>
      <c r="M413" s="26" t="str">
        <f aca="false">IF(G413="","",G413-N(H413))</f>
        <v/>
      </c>
      <c r="N413" s="26" t="str">
        <f aca="false">IF(G413="","",G413-N(K413)-N(L413))</f>
        <v/>
      </c>
      <c r="O413" s="27" t="str">
        <f aca="false">IF(G413="","",IF(N(H413)&gt;=G413,"Pago",IF(N(H413)&gt;0,"Parcial","Pendente")))</f>
        <v/>
      </c>
      <c r="P413" s="24"/>
    </row>
    <row r="414" customFormat="false" ht="15" hidden="false" customHeight="false" outlineLevel="0" collapsed="false">
      <c r="A414" s="22"/>
      <c r="B414" s="23"/>
      <c r="C414" s="24"/>
      <c r="D414" s="24"/>
      <c r="E414" s="24"/>
      <c r="F414" s="24"/>
      <c r="G414" s="25"/>
      <c r="H414" s="25"/>
      <c r="I414" s="24"/>
      <c r="J414" s="24"/>
      <c r="K414" s="25"/>
      <c r="L414" s="25"/>
      <c r="M414" s="26" t="str">
        <f aca="false">IF(G414="","",G414-N(H414))</f>
        <v/>
      </c>
      <c r="N414" s="26" t="str">
        <f aca="false">IF(G414="","",G414-N(K414)-N(L414))</f>
        <v/>
      </c>
      <c r="O414" s="27" t="str">
        <f aca="false">IF(G414="","",IF(N(H414)&gt;=G414,"Pago",IF(N(H414)&gt;0,"Parcial","Pendente")))</f>
        <v/>
      </c>
      <c r="P414" s="24"/>
    </row>
    <row r="415" customFormat="false" ht="15" hidden="false" customHeight="false" outlineLevel="0" collapsed="false">
      <c r="A415" s="22"/>
      <c r="B415" s="23"/>
      <c r="C415" s="24"/>
      <c r="D415" s="24"/>
      <c r="E415" s="24"/>
      <c r="F415" s="24"/>
      <c r="G415" s="25"/>
      <c r="H415" s="25"/>
      <c r="I415" s="24"/>
      <c r="J415" s="24"/>
      <c r="K415" s="25"/>
      <c r="L415" s="25"/>
      <c r="M415" s="26" t="str">
        <f aca="false">IF(G415="","",G415-N(H415))</f>
        <v/>
      </c>
      <c r="N415" s="26" t="str">
        <f aca="false">IF(G415="","",G415-N(K415)-N(L415))</f>
        <v/>
      </c>
      <c r="O415" s="27" t="str">
        <f aca="false">IF(G415="","",IF(N(H415)&gt;=G415,"Pago",IF(N(H415)&gt;0,"Parcial","Pendente")))</f>
        <v/>
      </c>
      <c r="P415" s="24"/>
    </row>
    <row r="416" customFormat="false" ht="15" hidden="false" customHeight="false" outlineLevel="0" collapsed="false">
      <c r="A416" s="22"/>
      <c r="B416" s="23"/>
      <c r="C416" s="24"/>
      <c r="D416" s="24"/>
      <c r="E416" s="24"/>
      <c r="F416" s="24"/>
      <c r="G416" s="25"/>
      <c r="H416" s="25"/>
      <c r="I416" s="24"/>
      <c r="J416" s="24"/>
      <c r="K416" s="25"/>
      <c r="L416" s="25"/>
      <c r="M416" s="26" t="str">
        <f aca="false">IF(G416="","",G416-N(H416))</f>
        <v/>
      </c>
      <c r="N416" s="26" t="str">
        <f aca="false">IF(G416="","",G416-N(K416)-N(L416))</f>
        <v/>
      </c>
      <c r="O416" s="27" t="str">
        <f aca="false">IF(G416="","",IF(N(H416)&gt;=G416,"Pago",IF(N(H416)&gt;0,"Parcial","Pendente")))</f>
        <v/>
      </c>
      <c r="P416" s="24"/>
    </row>
    <row r="417" customFormat="false" ht="15" hidden="false" customHeight="false" outlineLevel="0" collapsed="false">
      <c r="A417" s="22"/>
      <c r="B417" s="23"/>
      <c r="C417" s="24"/>
      <c r="D417" s="24"/>
      <c r="E417" s="24"/>
      <c r="F417" s="24"/>
      <c r="G417" s="25"/>
      <c r="H417" s="25"/>
      <c r="I417" s="24"/>
      <c r="J417" s="24"/>
      <c r="K417" s="25"/>
      <c r="L417" s="25"/>
      <c r="M417" s="26" t="str">
        <f aca="false">IF(G417="","",G417-N(H417))</f>
        <v/>
      </c>
      <c r="N417" s="26" t="str">
        <f aca="false">IF(G417="","",G417-N(K417)-N(L417))</f>
        <v/>
      </c>
      <c r="O417" s="27" t="str">
        <f aca="false">IF(G417="","",IF(N(H417)&gt;=G417,"Pago",IF(N(H417)&gt;0,"Parcial","Pendente")))</f>
        <v/>
      </c>
      <c r="P417" s="24"/>
    </row>
    <row r="418" customFormat="false" ht="15" hidden="false" customHeight="false" outlineLevel="0" collapsed="false">
      <c r="A418" s="22"/>
      <c r="B418" s="23"/>
      <c r="C418" s="24"/>
      <c r="D418" s="24"/>
      <c r="E418" s="24"/>
      <c r="F418" s="24"/>
      <c r="G418" s="25"/>
      <c r="H418" s="25"/>
      <c r="I418" s="24"/>
      <c r="J418" s="24"/>
      <c r="K418" s="25"/>
      <c r="L418" s="25"/>
      <c r="M418" s="26" t="str">
        <f aca="false">IF(G418="","",G418-N(H418))</f>
        <v/>
      </c>
      <c r="N418" s="26" t="str">
        <f aca="false">IF(G418="","",G418-N(K418)-N(L418))</f>
        <v/>
      </c>
      <c r="O418" s="27" t="str">
        <f aca="false">IF(G418="","",IF(N(H418)&gt;=G418,"Pago",IF(N(H418)&gt;0,"Parcial","Pendente")))</f>
        <v/>
      </c>
      <c r="P418" s="24"/>
    </row>
    <row r="419" customFormat="false" ht="15" hidden="false" customHeight="false" outlineLevel="0" collapsed="false">
      <c r="A419" s="22"/>
      <c r="B419" s="23"/>
      <c r="C419" s="24"/>
      <c r="D419" s="24"/>
      <c r="E419" s="24"/>
      <c r="F419" s="24"/>
      <c r="G419" s="25"/>
      <c r="H419" s="25"/>
      <c r="I419" s="24"/>
      <c r="J419" s="24"/>
      <c r="K419" s="25"/>
      <c r="L419" s="25"/>
      <c r="M419" s="26" t="str">
        <f aca="false">IF(G419="","",G419-N(H419))</f>
        <v/>
      </c>
      <c r="N419" s="26" t="str">
        <f aca="false">IF(G419="","",G419-N(K419)-N(L419))</f>
        <v/>
      </c>
      <c r="O419" s="27" t="str">
        <f aca="false">IF(G419="","",IF(N(H419)&gt;=G419,"Pago",IF(N(H419)&gt;0,"Parcial","Pendente")))</f>
        <v/>
      </c>
      <c r="P419" s="24"/>
    </row>
    <row r="420" customFormat="false" ht="15" hidden="false" customHeight="false" outlineLevel="0" collapsed="false">
      <c r="A420" s="22"/>
      <c r="B420" s="23"/>
      <c r="C420" s="24"/>
      <c r="D420" s="24"/>
      <c r="E420" s="24"/>
      <c r="F420" s="24"/>
      <c r="G420" s="25"/>
      <c r="H420" s="25"/>
      <c r="I420" s="24"/>
      <c r="J420" s="24"/>
      <c r="K420" s="25"/>
      <c r="L420" s="25"/>
      <c r="M420" s="26" t="str">
        <f aca="false">IF(G420="","",G420-N(H420))</f>
        <v/>
      </c>
      <c r="N420" s="26" t="str">
        <f aca="false">IF(G420="","",G420-N(K420)-N(L420))</f>
        <v/>
      </c>
      <c r="O420" s="27" t="str">
        <f aca="false">IF(G420="","",IF(N(H420)&gt;=G420,"Pago",IF(N(H420)&gt;0,"Parcial","Pendente")))</f>
        <v/>
      </c>
      <c r="P420" s="24"/>
    </row>
    <row r="421" customFormat="false" ht="15" hidden="false" customHeight="false" outlineLevel="0" collapsed="false">
      <c r="A421" s="22"/>
      <c r="B421" s="23"/>
      <c r="C421" s="24"/>
      <c r="D421" s="24"/>
      <c r="E421" s="24"/>
      <c r="F421" s="24"/>
      <c r="G421" s="25"/>
      <c r="H421" s="25"/>
      <c r="I421" s="24"/>
      <c r="J421" s="24"/>
      <c r="K421" s="25"/>
      <c r="L421" s="25"/>
      <c r="M421" s="26" t="str">
        <f aca="false">IF(G421="","",G421-N(H421))</f>
        <v/>
      </c>
      <c r="N421" s="26" t="str">
        <f aca="false">IF(G421="","",G421-N(K421)-N(L421))</f>
        <v/>
      </c>
      <c r="O421" s="27" t="str">
        <f aca="false">IF(G421="","",IF(N(H421)&gt;=G421,"Pago",IF(N(H421)&gt;0,"Parcial","Pendente")))</f>
        <v/>
      </c>
      <c r="P421" s="24"/>
    </row>
    <row r="422" customFormat="false" ht="15" hidden="false" customHeight="false" outlineLevel="0" collapsed="false">
      <c r="A422" s="22"/>
      <c r="B422" s="23"/>
      <c r="C422" s="24"/>
      <c r="D422" s="24"/>
      <c r="E422" s="24"/>
      <c r="F422" s="24"/>
      <c r="G422" s="25"/>
      <c r="H422" s="25"/>
      <c r="I422" s="24"/>
      <c r="J422" s="24"/>
      <c r="K422" s="25"/>
      <c r="L422" s="25"/>
      <c r="M422" s="26" t="str">
        <f aca="false">IF(G422="","",G422-N(H422))</f>
        <v/>
      </c>
      <c r="N422" s="26" t="str">
        <f aca="false">IF(G422="","",G422-N(K422)-N(L422))</f>
        <v/>
      </c>
      <c r="O422" s="27" t="str">
        <f aca="false">IF(G422="","",IF(N(H422)&gt;=G422,"Pago",IF(N(H422)&gt;0,"Parcial","Pendente")))</f>
        <v/>
      </c>
      <c r="P422" s="24"/>
    </row>
    <row r="423" customFormat="false" ht="15" hidden="false" customHeight="false" outlineLevel="0" collapsed="false">
      <c r="A423" s="22"/>
      <c r="B423" s="23"/>
      <c r="C423" s="24"/>
      <c r="D423" s="24"/>
      <c r="E423" s="24"/>
      <c r="F423" s="24"/>
      <c r="G423" s="25"/>
      <c r="H423" s="25"/>
      <c r="I423" s="24"/>
      <c r="J423" s="24"/>
      <c r="K423" s="25"/>
      <c r="L423" s="25"/>
      <c r="M423" s="26" t="str">
        <f aca="false">IF(G423="","",G423-N(H423))</f>
        <v/>
      </c>
      <c r="N423" s="26" t="str">
        <f aca="false">IF(G423="","",G423-N(K423)-N(L423))</f>
        <v/>
      </c>
      <c r="O423" s="27" t="str">
        <f aca="false">IF(G423="","",IF(N(H423)&gt;=G423,"Pago",IF(N(H423)&gt;0,"Parcial","Pendente")))</f>
        <v/>
      </c>
      <c r="P423" s="24"/>
    </row>
    <row r="424" customFormat="false" ht="15" hidden="false" customHeight="false" outlineLevel="0" collapsed="false">
      <c r="A424" s="22"/>
      <c r="B424" s="23"/>
      <c r="C424" s="24"/>
      <c r="D424" s="24"/>
      <c r="E424" s="24"/>
      <c r="F424" s="24"/>
      <c r="G424" s="25"/>
      <c r="H424" s="25"/>
      <c r="I424" s="24"/>
      <c r="J424" s="24"/>
      <c r="K424" s="25"/>
      <c r="L424" s="25"/>
      <c r="M424" s="26" t="str">
        <f aca="false">IF(G424="","",G424-N(H424))</f>
        <v/>
      </c>
      <c r="N424" s="26" t="str">
        <f aca="false">IF(G424="","",G424-N(K424)-N(L424))</f>
        <v/>
      </c>
      <c r="O424" s="27" t="str">
        <f aca="false">IF(G424="","",IF(N(H424)&gt;=G424,"Pago",IF(N(H424)&gt;0,"Parcial","Pendente")))</f>
        <v/>
      </c>
      <c r="P424" s="24"/>
    </row>
    <row r="425" customFormat="false" ht="15" hidden="false" customHeight="false" outlineLevel="0" collapsed="false">
      <c r="A425" s="22"/>
      <c r="B425" s="23"/>
      <c r="C425" s="24"/>
      <c r="D425" s="24"/>
      <c r="E425" s="24"/>
      <c r="F425" s="24"/>
      <c r="G425" s="25"/>
      <c r="H425" s="25"/>
      <c r="I425" s="24"/>
      <c r="J425" s="24"/>
      <c r="K425" s="25"/>
      <c r="L425" s="25"/>
      <c r="M425" s="26" t="str">
        <f aca="false">IF(G425="","",G425-N(H425))</f>
        <v/>
      </c>
      <c r="N425" s="26" t="str">
        <f aca="false">IF(G425="","",G425-N(K425)-N(L425))</f>
        <v/>
      </c>
      <c r="O425" s="27" t="str">
        <f aca="false">IF(G425="","",IF(N(H425)&gt;=G425,"Pago",IF(N(H425)&gt;0,"Parcial","Pendente")))</f>
        <v/>
      </c>
      <c r="P425" s="24"/>
    </row>
    <row r="426" customFormat="false" ht="15" hidden="false" customHeight="false" outlineLevel="0" collapsed="false">
      <c r="A426" s="22"/>
      <c r="B426" s="23"/>
      <c r="C426" s="24"/>
      <c r="D426" s="24"/>
      <c r="E426" s="24"/>
      <c r="F426" s="24"/>
      <c r="G426" s="25"/>
      <c r="H426" s="25"/>
      <c r="I426" s="24"/>
      <c r="J426" s="24"/>
      <c r="K426" s="25"/>
      <c r="L426" s="25"/>
      <c r="M426" s="26" t="str">
        <f aca="false">IF(G426="","",G426-N(H426))</f>
        <v/>
      </c>
      <c r="N426" s="26" t="str">
        <f aca="false">IF(G426="","",G426-N(K426)-N(L426))</f>
        <v/>
      </c>
      <c r="O426" s="27" t="str">
        <f aca="false">IF(G426="","",IF(N(H426)&gt;=G426,"Pago",IF(N(H426)&gt;0,"Parcial","Pendente")))</f>
        <v/>
      </c>
      <c r="P426" s="24"/>
    </row>
    <row r="427" customFormat="false" ht="15" hidden="false" customHeight="false" outlineLevel="0" collapsed="false">
      <c r="A427" s="22"/>
      <c r="B427" s="23"/>
      <c r="C427" s="24"/>
      <c r="D427" s="24"/>
      <c r="E427" s="24"/>
      <c r="F427" s="24"/>
      <c r="G427" s="25"/>
      <c r="H427" s="25"/>
      <c r="I427" s="24"/>
      <c r="J427" s="24"/>
      <c r="K427" s="25"/>
      <c r="L427" s="25"/>
      <c r="M427" s="26" t="str">
        <f aca="false">IF(G427="","",G427-N(H427))</f>
        <v/>
      </c>
      <c r="N427" s="26" t="str">
        <f aca="false">IF(G427="","",G427-N(K427)-N(L427))</f>
        <v/>
      </c>
      <c r="O427" s="27" t="str">
        <f aca="false">IF(G427="","",IF(N(H427)&gt;=G427,"Pago",IF(N(H427)&gt;0,"Parcial","Pendente")))</f>
        <v/>
      </c>
      <c r="P427" s="24"/>
    </row>
    <row r="428" customFormat="false" ht="15" hidden="false" customHeight="false" outlineLevel="0" collapsed="false">
      <c r="A428" s="22"/>
      <c r="B428" s="23"/>
      <c r="C428" s="24"/>
      <c r="D428" s="24"/>
      <c r="E428" s="24"/>
      <c r="F428" s="24"/>
      <c r="G428" s="25"/>
      <c r="H428" s="25"/>
      <c r="I428" s="24"/>
      <c r="J428" s="24"/>
      <c r="K428" s="25"/>
      <c r="L428" s="25"/>
      <c r="M428" s="26" t="str">
        <f aca="false">IF(G428="","",G428-N(H428))</f>
        <v/>
      </c>
      <c r="N428" s="26" t="str">
        <f aca="false">IF(G428="","",G428-N(K428)-N(L428))</f>
        <v/>
      </c>
      <c r="O428" s="27" t="str">
        <f aca="false">IF(G428="","",IF(N(H428)&gt;=G428,"Pago",IF(N(H428)&gt;0,"Parcial","Pendente")))</f>
        <v/>
      </c>
      <c r="P428" s="24"/>
    </row>
    <row r="429" customFormat="false" ht="15" hidden="false" customHeight="false" outlineLevel="0" collapsed="false">
      <c r="A429" s="22"/>
      <c r="B429" s="23"/>
      <c r="C429" s="24"/>
      <c r="D429" s="24"/>
      <c r="E429" s="24"/>
      <c r="F429" s="24"/>
      <c r="G429" s="25"/>
      <c r="H429" s="25"/>
      <c r="I429" s="24"/>
      <c r="J429" s="24"/>
      <c r="K429" s="25"/>
      <c r="L429" s="25"/>
      <c r="M429" s="26" t="str">
        <f aca="false">IF(G429="","",G429-N(H429))</f>
        <v/>
      </c>
      <c r="N429" s="26" t="str">
        <f aca="false">IF(G429="","",G429-N(K429)-N(L429))</f>
        <v/>
      </c>
      <c r="O429" s="27" t="str">
        <f aca="false">IF(G429="","",IF(N(H429)&gt;=G429,"Pago",IF(N(H429)&gt;0,"Parcial","Pendente")))</f>
        <v/>
      </c>
      <c r="P429" s="24"/>
    </row>
    <row r="430" customFormat="false" ht="15" hidden="false" customHeight="false" outlineLevel="0" collapsed="false">
      <c r="A430" s="22"/>
      <c r="B430" s="23"/>
      <c r="C430" s="24"/>
      <c r="D430" s="24"/>
      <c r="E430" s="24"/>
      <c r="F430" s="24"/>
      <c r="G430" s="25"/>
      <c r="H430" s="25"/>
      <c r="I430" s="24"/>
      <c r="J430" s="24"/>
      <c r="K430" s="25"/>
      <c r="L430" s="25"/>
      <c r="M430" s="26" t="str">
        <f aca="false">IF(G430="","",G430-N(H430))</f>
        <v/>
      </c>
      <c r="N430" s="26" t="str">
        <f aca="false">IF(G430="","",G430-N(K430)-N(L430))</f>
        <v/>
      </c>
      <c r="O430" s="27" t="str">
        <f aca="false">IF(G430="","",IF(N(H430)&gt;=G430,"Pago",IF(N(H430)&gt;0,"Parcial","Pendente")))</f>
        <v/>
      </c>
      <c r="P430" s="24"/>
    </row>
    <row r="431" customFormat="false" ht="15" hidden="false" customHeight="false" outlineLevel="0" collapsed="false">
      <c r="A431" s="22"/>
      <c r="B431" s="23"/>
      <c r="C431" s="24"/>
      <c r="D431" s="24"/>
      <c r="E431" s="24"/>
      <c r="F431" s="24"/>
      <c r="G431" s="25"/>
      <c r="H431" s="25"/>
      <c r="I431" s="24"/>
      <c r="J431" s="24"/>
      <c r="K431" s="25"/>
      <c r="L431" s="25"/>
      <c r="M431" s="26" t="str">
        <f aca="false">IF(G431="","",G431-N(H431))</f>
        <v/>
      </c>
      <c r="N431" s="26" t="str">
        <f aca="false">IF(G431="","",G431-N(K431)-N(L431))</f>
        <v/>
      </c>
      <c r="O431" s="27" t="str">
        <f aca="false">IF(G431="","",IF(N(H431)&gt;=G431,"Pago",IF(N(H431)&gt;0,"Parcial","Pendente")))</f>
        <v/>
      </c>
      <c r="P431" s="24"/>
    </row>
    <row r="432" customFormat="false" ht="15" hidden="false" customHeight="false" outlineLevel="0" collapsed="false">
      <c r="A432" s="22"/>
      <c r="B432" s="23"/>
      <c r="C432" s="24"/>
      <c r="D432" s="24"/>
      <c r="E432" s="24"/>
      <c r="F432" s="24"/>
      <c r="G432" s="25"/>
      <c r="H432" s="25"/>
      <c r="I432" s="24"/>
      <c r="J432" s="24"/>
      <c r="K432" s="25"/>
      <c r="L432" s="25"/>
      <c r="M432" s="26" t="str">
        <f aca="false">IF(G432="","",G432-N(H432))</f>
        <v/>
      </c>
      <c r="N432" s="26" t="str">
        <f aca="false">IF(G432="","",G432-N(K432)-N(L432))</f>
        <v/>
      </c>
      <c r="O432" s="27" t="str">
        <f aca="false">IF(G432="","",IF(N(H432)&gt;=G432,"Pago",IF(N(H432)&gt;0,"Parcial","Pendente")))</f>
        <v/>
      </c>
      <c r="P432" s="24"/>
    </row>
    <row r="433" customFormat="false" ht="15" hidden="false" customHeight="false" outlineLevel="0" collapsed="false">
      <c r="A433" s="22"/>
      <c r="B433" s="23"/>
      <c r="C433" s="24"/>
      <c r="D433" s="24"/>
      <c r="E433" s="24"/>
      <c r="F433" s="24"/>
      <c r="G433" s="25"/>
      <c r="H433" s="25"/>
      <c r="I433" s="24"/>
      <c r="J433" s="24"/>
      <c r="K433" s="25"/>
      <c r="L433" s="25"/>
      <c r="M433" s="26" t="str">
        <f aca="false">IF(G433="","",G433-N(H433))</f>
        <v/>
      </c>
      <c r="N433" s="26" t="str">
        <f aca="false">IF(G433="","",G433-N(K433)-N(L433))</f>
        <v/>
      </c>
      <c r="O433" s="27" t="str">
        <f aca="false">IF(G433="","",IF(N(H433)&gt;=G433,"Pago",IF(N(H433)&gt;0,"Parcial","Pendente")))</f>
        <v/>
      </c>
      <c r="P433" s="24"/>
    </row>
    <row r="434" customFormat="false" ht="15" hidden="false" customHeight="false" outlineLevel="0" collapsed="false">
      <c r="A434" s="22"/>
      <c r="B434" s="23"/>
      <c r="C434" s="24"/>
      <c r="D434" s="24"/>
      <c r="E434" s="24"/>
      <c r="F434" s="24"/>
      <c r="G434" s="25"/>
      <c r="H434" s="25"/>
      <c r="I434" s="24"/>
      <c r="J434" s="24"/>
      <c r="K434" s="25"/>
      <c r="L434" s="25"/>
      <c r="M434" s="26" t="str">
        <f aca="false">IF(G434="","",G434-N(H434))</f>
        <v/>
      </c>
      <c r="N434" s="26" t="str">
        <f aca="false">IF(G434="","",G434-N(K434)-N(L434))</f>
        <v/>
      </c>
      <c r="O434" s="27" t="str">
        <f aca="false">IF(G434="","",IF(N(H434)&gt;=G434,"Pago",IF(N(H434)&gt;0,"Parcial","Pendente")))</f>
        <v/>
      </c>
      <c r="P434" s="24"/>
    </row>
    <row r="435" customFormat="false" ht="15" hidden="false" customHeight="false" outlineLevel="0" collapsed="false">
      <c r="A435" s="22"/>
      <c r="B435" s="23"/>
      <c r="C435" s="24"/>
      <c r="D435" s="24"/>
      <c r="E435" s="24"/>
      <c r="F435" s="24"/>
      <c r="G435" s="25"/>
      <c r="H435" s="25"/>
      <c r="I435" s="24"/>
      <c r="J435" s="24"/>
      <c r="K435" s="25"/>
      <c r="L435" s="25"/>
      <c r="M435" s="26" t="str">
        <f aca="false">IF(G435="","",G435-N(H435))</f>
        <v/>
      </c>
      <c r="N435" s="26" t="str">
        <f aca="false">IF(G435="","",G435-N(K435)-N(L435))</f>
        <v/>
      </c>
      <c r="O435" s="27" t="str">
        <f aca="false">IF(G435="","",IF(N(H435)&gt;=G435,"Pago",IF(N(H435)&gt;0,"Parcial","Pendente")))</f>
        <v/>
      </c>
      <c r="P435" s="24"/>
    </row>
    <row r="436" customFormat="false" ht="15" hidden="false" customHeight="false" outlineLevel="0" collapsed="false">
      <c r="A436" s="22"/>
      <c r="B436" s="23"/>
      <c r="C436" s="24"/>
      <c r="D436" s="24"/>
      <c r="E436" s="24"/>
      <c r="F436" s="24"/>
      <c r="G436" s="25"/>
      <c r="H436" s="25"/>
      <c r="I436" s="24"/>
      <c r="J436" s="24"/>
      <c r="K436" s="25"/>
      <c r="L436" s="25"/>
      <c r="M436" s="26" t="str">
        <f aca="false">IF(G436="","",G436-N(H436))</f>
        <v/>
      </c>
      <c r="N436" s="26" t="str">
        <f aca="false">IF(G436="","",G436-N(K436)-N(L436))</f>
        <v/>
      </c>
      <c r="O436" s="27" t="str">
        <f aca="false">IF(G436="","",IF(N(H436)&gt;=G436,"Pago",IF(N(H436)&gt;0,"Parcial","Pendente")))</f>
        <v/>
      </c>
      <c r="P436" s="24"/>
    </row>
    <row r="437" customFormat="false" ht="15" hidden="false" customHeight="false" outlineLevel="0" collapsed="false">
      <c r="A437" s="22"/>
      <c r="B437" s="23"/>
      <c r="C437" s="24"/>
      <c r="D437" s="24"/>
      <c r="E437" s="24"/>
      <c r="F437" s="24"/>
      <c r="G437" s="25"/>
      <c r="H437" s="25"/>
      <c r="I437" s="24"/>
      <c r="J437" s="24"/>
      <c r="K437" s="25"/>
      <c r="L437" s="25"/>
      <c r="M437" s="26" t="str">
        <f aca="false">IF(G437="","",G437-N(H437))</f>
        <v/>
      </c>
      <c r="N437" s="26" t="str">
        <f aca="false">IF(G437="","",G437-N(K437)-N(L437))</f>
        <v/>
      </c>
      <c r="O437" s="27" t="str">
        <f aca="false">IF(G437="","",IF(N(H437)&gt;=G437,"Pago",IF(N(H437)&gt;0,"Parcial","Pendente")))</f>
        <v/>
      </c>
      <c r="P437" s="24"/>
    </row>
    <row r="438" customFormat="false" ht="15" hidden="false" customHeight="false" outlineLevel="0" collapsed="false">
      <c r="A438" s="22"/>
      <c r="B438" s="23"/>
      <c r="C438" s="24"/>
      <c r="D438" s="24"/>
      <c r="E438" s="24"/>
      <c r="F438" s="24"/>
      <c r="G438" s="25"/>
      <c r="H438" s="25"/>
      <c r="I438" s="24"/>
      <c r="J438" s="24"/>
      <c r="K438" s="25"/>
      <c r="L438" s="25"/>
      <c r="M438" s="26" t="str">
        <f aca="false">IF(G438="","",G438-N(H438))</f>
        <v/>
      </c>
      <c r="N438" s="26" t="str">
        <f aca="false">IF(G438="","",G438-N(K438)-N(L438))</f>
        <v/>
      </c>
      <c r="O438" s="27" t="str">
        <f aca="false">IF(G438="","",IF(N(H438)&gt;=G438,"Pago",IF(N(H438)&gt;0,"Parcial","Pendente")))</f>
        <v/>
      </c>
      <c r="P438" s="24"/>
    </row>
    <row r="439" customFormat="false" ht="15" hidden="false" customHeight="false" outlineLevel="0" collapsed="false">
      <c r="A439" s="22"/>
      <c r="B439" s="23"/>
      <c r="C439" s="24"/>
      <c r="D439" s="24"/>
      <c r="E439" s="24"/>
      <c r="F439" s="24"/>
      <c r="G439" s="25"/>
      <c r="H439" s="25"/>
      <c r="I439" s="24"/>
      <c r="J439" s="24"/>
      <c r="K439" s="25"/>
      <c r="L439" s="25"/>
      <c r="M439" s="26" t="str">
        <f aca="false">IF(G439="","",G439-N(H439))</f>
        <v/>
      </c>
      <c r="N439" s="26" t="str">
        <f aca="false">IF(G439="","",G439-N(K439)-N(L439))</f>
        <v/>
      </c>
      <c r="O439" s="27" t="str">
        <f aca="false">IF(G439="","",IF(N(H439)&gt;=G439,"Pago",IF(N(H439)&gt;0,"Parcial","Pendente")))</f>
        <v/>
      </c>
      <c r="P439" s="24"/>
    </row>
    <row r="440" customFormat="false" ht="15" hidden="false" customHeight="false" outlineLevel="0" collapsed="false">
      <c r="A440" s="22"/>
      <c r="B440" s="23"/>
      <c r="C440" s="24"/>
      <c r="D440" s="24"/>
      <c r="E440" s="24"/>
      <c r="F440" s="24"/>
      <c r="G440" s="25"/>
      <c r="H440" s="25"/>
      <c r="I440" s="24"/>
      <c r="J440" s="24"/>
      <c r="K440" s="25"/>
      <c r="L440" s="25"/>
      <c r="M440" s="26" t="str">
        <f aca="false">IF(G440="","",G440-N(H440))</f>
        <v/>
      </c>
      <c r="N440" s="26" t="str">
        <f aca="false">IF(G440="","",G440-N(K440)-N(L440))</f>
        <v/>
      </c>
      <c r="O440" s="27" t="str">
        <f aca="false">IF(G440="","",IF(N(H440)&gt;=G440,"Pago",IF(N(H440)&gt;0,"Parcial","Pendente")))</f>
        <v/>
      </c>
      <c r="P440" s="24"/>
    </row>
    <row r="441" customFormat="false" ht="15" hidden="false" customHeight="false" outlineLevel="0" collapsed="false">
      <c r="A441" s="22"/>
      <c r="B441" s="23"/>
      <c r="C441" s="24"/>
      <c r="D441" s="24"/>
      <c r="E441" s="24"/>
      <c r="F441" s="24"/>
      <c r="G441" s="25"/>
      <c r="H441" s="25"/>
      <c r="I441" s="24"/>
      <c r="J441" s="24"/>
      <c r="K441" s="25"/>
      <c r="L441" s="25"/>
      <c r="M441" s="26" t="str">
        <f aca="false">IF(G441="","",G441-N(H441))</f>
        <v/>
      </c>
      <c r="N441" s="26" t="str">
        <f aca="false">IF(G441="","",G441-N(K441)-N(L441))</f>
        <v/>
      </c>
      <c r="O441" s="27" t="str">
        <f aca="false">IF(G441="","",IF(N(H441)&gt;=G441,"Pago",IF(N(H441)&gt;0,"Parcial","Pendente")))</f>
        <v/>
      </c>
      <c r="P441" s="24"/>
    </row>
    <row r="442" customFormat="false" ht="15" hidden="false" customHeight="false" outlineLevel="0" collapsed="false">
      <c r="A442" s="22"/>
      <c r="B442" s="23"/>
      <c r="C442" s="24"/>
      <c r="D442" s="24"/>
      <c r="E442" s="24"/>
      <c r="F442" s="24"/>
      <c r="G442" s="25"/>
      <c r="H442" s="25"/>
      <c r="I442" s="24"/>
      <c r="J442" s="24"/>
      <c r="K442" s="25"/>
      <c r="L442" s="25"/>
      <c r="M442" s="26" t="str">
        <f aca="false">IF(G442="","",G442-N(H442))</f>
        <v/>
      </c>
      <c r="N442" s="26" t="str">
        <f aca="false">IF(G442="","",G442-N(K442)-N(L442))</f>
        <v/>
      </c>
      <c r="O442" s="27" t="str">
        <f aca="false">IF(G442="","",IF(N(H442)&gt;=G442,"Pago",IF(N(H442)&gt;0,"Parcial","Pendente")))</f>
        <v/>
      </c>
      <c r="P442" s="24"/>
    </row>
    <row r="443" customFormat="false" ht="15" hidden="false" customHeight="false" outlineLevel="0" collapsed="false">
      <c r="A443" s="22"/>
      <c r="B443" s="23"/>
      <c r="C443" s="24"/>
      <c r="D443" s="24"/>
      <c r="E443" s="24"/>
      <c r="F443" s="24"/>
      <c r="G443" s="25"/>
      <c r="H443" s="25"/>
      <c r="I443" s="24"/>
      <c r="J443" s="24"/>
      <c r="K443" s="25"/>
      <c r="L443" s="25"/>
      <c r="M443" s="26" t="str">
        <f aca="false">IF(G443="","",G443-N(H443))</f>
        <v/>
      </c>
      <c r="N443" s="26" t="str">
        <f aca="false">IF(G443="","",G443-N(K443)-N(L443))</f>
        <v/>
      </c>
      <c r="O443" s="27" t="str">
        <f aca="false">IF(G443="","",IF(N(H443)&gt;=G443,"Pago",IF(N(H443)&gt;0,"Parcial","Pendente")))</f>
        <v/>
      </c>
      <c r="P443" s="24"/>
    </row>
    <row r="444" customFormat="false" ht="15" hidden="false" customHeight="false" outlineLevel="0" collapsed="false">
      <c r="A444" s="22"/>
      <c r="B444" s="23"/>
      <c r="C444" s="24"/>
      <c r="D444" s="24"/>
      <c r="E444" s="24"/>
      <c r="F444" s="24"/>
      <c r="G444" s="25"/>
      <c r="H444" s="25"/>
      <c r="I444" s="24"/>
      <c r="J444" s="24"/>
      <c r="K444" s="25"/>
      <c r="L444" s="25"/>
      <c r="M444" s="26" t="str">
        <f aca="false">IF(G444="","",G444-N(H444))</f>
        <v/>
      </c>
      <c r="N444" s="26" t="str">
        <f aca="false">IF(G444="","",G444-N(K444)-N(L444))</f>
        <v/>
      </c>
      <c r="O444" s="27" t="str">
        <f aca="false">IF(G444="","",IF(N(H444)&gt;=G444,"Pago",IF(N(H444)&gt;0,"Parcial","Pendente")))</f>
        <v/>
      </c>
      <c r="P444" s="24"/>
    </row>
    <row r="445" customFormat="false" ht="15" hidden="false" customHeight="false" outlineLevel="0" collapsed="false">
      <c r="A445" s="22"/>
      <c r="B445" s="23"/>
      <c r="C445" s="24"/>
      <c r="D445" s="24"/>
      <c r="E445" s="24"/>
      <c r="F445" s="24"/>
      <c r="G445" s="25"/>
      <c r="H445" s="25"/>
      <c r="I445" s="24"/>
      <c r="J445" s="24"/>
      <c r="K445" s="25"/>
      <c r="L445" s="25"/>
      <c r="M445" s="26" t="str">
        <f aca="false">IF(G445="","",G445-N(H445))</f>
        <v/>
      </c>
      <c r="N445" s="26" t="str">
        <f aca="false">IF(G445="","",G445-N(K445)-N(L445))</f>
        <v/>
      </c>
      <c r="O445" s="27" t="str">
        <f aca="false">IF(G445="","",IF(N(H445)&gt;=G445,"Pago",IF(N(H445)&gt;0,"Parcial","Pendente")))</f>
        <v/>
      </c>
      <c r="P445" s="24"/>
    </row>
    <row r="446" customFormat="false" ht="15" hidden="false" customHeight="false" outlineLevel="0" collapsed="false">
      <c r="A446" s="22"/>
      <c r="B446" s="23"/>
      <c r="C446" s="24"/>
      <c r="D446" s="24"/>
      <c r="E446" s="24"/>
      <c r="F446" s="24"/>
      <c r="G446" s="25"/>
      <c r="H446" s="25"/>
      <c r="I446" s="24"/>
      <c r="J446" s="24"/>
      <c r="K446" s="25"/>
      <c r="L446" s="25"/>
      <c r="M446" s="26" t="str">
        <f aca="false">IF(G446="","",G446-N(H446))</f>
        <v/>
      </c>
      <c r="N446" s="26" t="str">
        <f aca="false">IF(G446="","",G446-N(K446)-N(L446))</f>
        <v/>
      </c>
      <c r="O446" s="27" t="str">
        <f aca="false">IF(G446="","",IF(N(H446)&gt;=G446,"Pago",IF(N(H446)&gt;0,"Parcial","Pendente")))</f>
        <v/>
      </c>
      <c r="P446" s="24"/>
    </row>
    <row r="447" customFormat="false" ht="15" hidden="false" customHeight="false" outlineLevel="0" collapsed="false">
      <c r="A447" s="22"/>
      <c r="B447" s="23"/>
      <c r="C447" s="24"/>
      <c r="D447" s="24"/>
      <c r="E447" s="24"/>
      <c r="F447" s="24"/>
      <c r="G447" s="25"/>
      <c r="H447" s="25"/>
      <c r="I447" s="24"/>
      <c r="J447" s="24"/>
      <c r="K447" s="25"/>
      <c r="L447" s="25"/>
      <c r="M447" s="26" t="str">
        <f aca="false">IF(G447="","",G447-N(H447))</f>
        <v/>
      </c>
      <c r="N447" s="26" t="str">
        <f aca="false">IF(G447="","",G447-N(K447)-N(L447))</f>
        <v/>
      </c>
      <c r="O447" s="27" t="str">
        <f aca="false">IF(G447="","",IF(N(H447)&gt;=G447,"Pago",IF(N(H447)&gt;0,"Parcial","Pendente")))</f>
        <v/>
      </c>
      <c r="P447" s="24"/>
    </row>
    <row r="448" customFormat="false" ht="15" hidden="false" customHeight="false" outlineLevel="0" collapsed="false">
      <c r="A448" s="22"/>
      <c r="B448" s="23"/>
      <c r="C448" s="24"/>
      <c r="D448" s="24"/>
      <c r="E448" s="24"/>
      <c r="F448" s="24"/>
      <c r="G448" s="25"/>
      <c r="H448" s="25"/>
      <c r="I448" s="24"/>
      <c r="J448" s="24"/>
      <c r="K448" s="25"/>
      <c r="L448" s="25"/>
      <c r="M448" s="26" t="str">
        <f aca="false">IF(G448="","",G448-N(H448))</f>
        <v/>
      </c>
      <c r="N448" s="26" t="str">
        <f aca="false">IF(G448="","",G448-N(K448)-N(L448))</f>
        <v/>
      </c>
      <c r="O448" s="27" t="str">
        <f aca="false">IF(G448="","",IF(N(H448)&gt;=G448,"Pago",IF(N(H448)&gt;0,"Parcial","Pendente")))</f>
        <v/>
      </c>
      <c r="P448" s="24"/>
    </row>
    <row r="449" customFormat="false" ht="15" hidden="false" customHeight="false" outlineLevel="0" collapsed="false">
      <c r="A449" s="22"/>
      <c r="B449" s="23"/>
      <c r="C449" s="24"/>
      <c r="D449" s="24"/>
      <c r="E449" s="24"/>
      <c r="F449" s="24"/>
      <c r="G449" s="25"/>
      <c r="H449" s="25"/>
      <c r="I449" s="24"/>
      <c r="J449" s="24"/>
      <c r="K449" s="25"/>
      <c r="L449" s="25"/>
      <c r="M449" s="26" t="str">
        <f aca="false">IF(G449="","",G449-N(H449))</f>
        <v/>
      </c>
      <c r="N449" s="26" t="str">
        <f aca="false">IF(G449="","",G449-N(K449)-N(L449))</f>
        <v/>
      </c>
      <c r="O449" s="27" t="str">
        <f aca="false">IF(G449="","",IF(N(H449)&gt;=G449,"Pago",IF(N(H449)&gt;0,"Parcial","Pendente")))</f>
        <v/>
      </c>
      <c r="P449" s="24"/>
    </row>
    <row r="450" customFormat="false" ht="15" hidden="false" customHeight="false" outlineLevel="0" collapsed="false">
      <c r="A450" s="22"/>
      <c r="B450" s="23"/>
      <c r="C450" s="24"/>
      <c r="D450" s="24"/>
      <c r="E450" s="24"/>
      <c r="F450" s="24"/>
      <c r="G450" s="25"/>
      <c r="H450" s="25"/>
      <c r="I450" s="24"/>
      <c r="J450" s="24"/>
      <c r="K450" s="25"/>
      <c r="L450" s="25"/>
      <c r="M450" s="26" t="str">
        <f aca="false">IF(G450="","",G450-N(H450))</f>
        <v/>
      </c>
      <c r="N450" s="26" t="str">
        <f aca="false">IF(G450="","",G450-N(K450)-N(L450))</f>
        <v/>
      </c>
      <c r="O450" s="27" t="str">
        <f aca="false">IF(G450="","",IF(N(H450)&gt;=G450,"Pago",IF(N(H450)&gt;0,"Parcial","Pendente")))</f>
        <v/>
      </c>
      <c r="P450" s="24"/>
    </row>
    <row r="451" customFormat="false" ht="15" hidden="false" customHeight="false" outlineLevel="0" collapsed="false">
      <c r="A451" s="22"/>
      <c r="B451" s="23"/>
      <c r="C451" s="24"/>
      <c r="D451" s="24"/>
      <c r="E451" s="24"/>
      <c r="F451" s="24"/>
      <c r="G451" s="25"/>
      <c r="H451" s="25"/>
      <c r="I451" s="24"/>
      <c r="J451" s="24"/>
      <c r="K451" s="25"/>
      <c r="L451" s="25"/>
      <c r="M451" s="26" t="str">
        <f aca="false">IF(G451="","",G451-N(H451))</f>
        <v/>
      </c>
      <c r="N451" s="26" t="str">
        <f aca="false">IF(G451="","",G451-N(K451)-N(L451))</f>
        <v/>
      </c>
      <c r="O451" s="27" t="str">
        <f aca="false">IF(G451="","",IF(N(H451)&gt;=G451,"Pago",IF(N(H451)&gt;0,"Parcial","Pendente")))</f>
        <v/>
      </c>
      <c r="P451" s="24"/>
    </row>
    <row r="452" customFormat="false" ht="15" hidden="false" customHeight="false" outlineLevel="0" collapsed="false">
      <c r="A452" s="22"/>
      <c r="B452" s="23"/>
      <c r="C452" s="24"/>
      <c r="D452" s="24"/>
      <c r="E452" s="24"/>
      <c r="F452" s="24"/>
      <c r="G452" s="25"/>
      <c r="H452" s="25"/>
      <c r="I452" s="24"/>
      <c r="J452" s="24"/>
      <c r="K452" s="25"/>
      <c r="L452" s="25"/>
      <c r="M452" s="26" t="str">
        <f aca="false">IF(G452="","",G452-N(H452))</f>
        <v/>
      </c>
      <c r="N452" s="26" t="str">
        <f aca="false">IF(G452="","",G452-N(K452)-N(L452))</f>
        <v/>
      </c>
      <c r="O452" s="27" t="str">
        <f aca="false">IF(G452="","",IF(N(H452)&gt;=G452,"Pago",IF(N(H452)&gt;0,"Parcial","Pendente")))</f>
        <v/>
      </c>
      <c r="P452" s="24"/>
    </row>
    <row r="453" customFormat="false" ht="15" hidden="false" customHeight="false" outlineLevel="0" collapsed="false">
      <c r="A453" s="22"/>
      <c r="B453" s="23"/>
      <c r="C453" s="24"/>
      <c r="D453" s="24"/>
      <c r="E453" s="24"/>
      <c r="F453" s="24"/>
      <c r="G453" s="25"/>
      <c r="H453" s="25"/>
      <c r="I453" s="24"/>
      <c r="J453" s="24"/>
      <c r="K453" s="25"/>
      <c r="L453" s="25"/>
      <c r="M453" s="26" t="str">
        <f aca="false">IF(G453="","",G453-N(H453))</f>
        <v/>
      </c>
      <c r="N453" s="26" t="str">
        <f aca="false">IF(G453="","",G453-N(K453)-N(L453))</f>
        <v/>
      </c>
      <c r="O453" s="27" t="str">
        <f aca="false">IF(G453="","",IF(N(H453)&gt;=G453,"Pago",IF(N(H453)&gt;0,"Parcial","Pendente")))</f>
        <v/>
      </c>
      <c r="P453" s="24"/>
    </row>
    <row r="454" customFormat="false" ht="15" hidden="false" customHeight="false" outlineLevel="0" collapsed="false">
      <c r="A454" s="22"/>
      <c r="B454" s="23"/>
      <c r="C454" s="24"/>
      <c r="D454" s="24"/>
      <c r="E454" s="24"/>
      <c r="F454" s="24"/>
      <c r="G454" s="25"/>
      <c r="H454" s="25"/>
      <c r="I454" s="24"/>
      <c r="J454" s="24"/>
      <c r="K454" s="25"/>
      <c r="L454" s="25"/>
      <c r="M454" s="26" t="str">
        <f aca="false">IF(G454="","",G454-N(H454))</f>
        <v/>
      </c>
      <c r="N454" s="26" t="str">
        <f aca="false">IF(G454="","",G454-N(K454)-N(L454))</f>
        <v/>
      </c>
      <c r="O454" s="27" t="str">
        <f aca="false">IF(G454="","",IF(N(H454)&gt;=G454,"Pago",IF(N(H454)&gt;0,"Parcial","Pendente")))</f>
        <v/>
      </c>
      <c r="P454" s="24"/>
    </row>
    <row r="455" customFormat="false" ht="15" hidden="false" customHeight="false" outlineLevel="0" collapsed="false">
      <c r="A455" s="22"/>
      <c r="B455" s="23"/>
      <c r="C455" s="24"/>
      <c r="D455" s="24"/>
      <c r="E455" s="24"/>
      <c r="F455" s="24"/>
      <c r="G455" s="25"/>
      <c r="H455" s="25"/>
      <c r="I455" s="24"/>
      <c r="J455" s="24"/>
      <c r="K455" s="25"/>
      <c r="L455" s="25"/>
      <c r="M455" s="26" t="str">
        <f aca="false">IF(G455="","",G455-N(H455))</f>
        <v/>
      </c>
      <c r="N455" s="26" t="str">
        <f aca="false">IF(G455="","",G455-N(K455)-N(L455))</f>
        <v/>
      </c>
      <c r="O455" s="27" t="str">
        <f aca="false">IF(G455="","",IF(N(H455)&gt;=G455,"Pago",IF(N(H455)&gt;0,"Parcial","Pendente")))</f>
        <v/>
      </c>
      <c r="P455" s="24"/>
    </row>
    <row r="456" customFormat="false" ht="15" hidden="false" customHeight="false" outlineLevel="0" collapsed="false">
      <c r="A456" s="22"/>
      <c r="B456" s="23"/>
      <c r="C456" s="24"/>
      <c r="D456" s="24"/>
      <c r="E456" s="24"/>
      <c r="F456" s="24"/>
      <c r="G456" s="25"/>
      <c r="H456" s="25"/>
      <c r="I456" s="24"/>
      <c r="J456" s="24"/>
      <c r="K456" s="25"/>
      <c r="L456" s="25"/>
      <c r="M456" s="26" t="str">
        <f aca="false">IF(G456="","",G456-N(H456))</f>
        <v/>
      </c>
      <c r="N456" s="26" t="str">
        <f aca="false">IF(G456="","",G456-N(K456)-N(L456))</f>
        <v/>
      </c>
      <c r="O456" s="27" t="str">
        <f aca="false">IF(G456="","",IF(N(H456)&gt;=G456,"Pago",IF(N(H456)&gt;0,"Parcial","Pendente")))</f>
        <v/>
      </c>
      <c r="P456" s="24"/>
    </row>
    <row r="457" customFormat="false" ht="15" hidden="false" customHeight="false" outlineLevel="0" collapsed="false">
      <c r="A457" s="22"/>
      <c r="B457" s="23"/>
      <c r="C457" s="24"/>
      <c r="D457" s="24"/>
      <c r="E457" s="24"/>
      <c r="F457" s="24"/>
      <c r="G457" s="25"/>
      <c r="H457" s="25"/>
      <c r="I457" s="24"/>
      <c r="J457" s="24"/>
      <c r="K457" s="25"/>
      <c r="L457" s="25"/>
      <c r="M457" s="26" t="str">
        <f aca="false">IF(G457="","",G457-N(H457))</f>
        <v/>
      </c>
      <c r="N457" s="26" t="str">
        <f aca="false">IF(G457="","",G457-N(K457)-N(L457))</f>
        <v/>
      </c>
      <c r="O457" s="27" t="str">
        <f aca="false">IF(G457="","",IF(N(H457)&gt;=G457,"Pago",IF(N(H457)&gt;0,"Parcial","Pendente")))</f>
        <v/>
      </c>
      <c r="P457" s="24"/>
    </row>
    <row r="458" customFormat="false" ht="15" hidden="false" customHeight="false" outlineLevel="0" collapsed="false">
      <c r="A458" s="22"/>
      <c r="B458" s="23"/>
      <c r="C458" s="24"/>
      <c r="D458" s="24"/>
      <c r="E458" s="24"/>
      <c r="F458" s="24"/>
      <c r="G458" s="25"/>
      <c r="H458" s="25"/>
      <c r="I458" s="24"/>
      <c r="J458" s="24"/>
      <c r="K458" s="25"/>
      <c r="L458" s="25"/>
      <c r="M458" s="26" t="str">
        <f aca="false">IF(G458="","",G458-N(H458))</f>
        <v/>
      </c>
      <c r="N458" s="26" t="str">
        <f aca="false">IF(G458="","",G458-N(K458)-N(L458))</f>
        <v/>
      </c>
      <c r="O458" s="27" t="str">
        <f aca="false">IF(G458="","",IF(N(H458)&gt;=G458,"Pago",IF(N(H458)&gt;0,"Parcial","Pendente")))</f>
        <v/>
      </c>
      <c r="P458" s="24"/>
    </row>
    <row r="459" customFormat="false" ht="15" hidden="false" customHeight="false" outlineLevel="0" collapsed="false">
      <c r="A459" s="22"/>
      <c r="B459" s="23"/>
      <c r="C459" s="24"/>
      <c r="D459" s="24"/>
      <c r="E459" s="24"/>
      <c r="F459" s="24"/>
      <c r="G459" s="25"/>
      <c r="H459" s="25"/>
      <c r="I459" s="24"/>
      <c r="J459" s="24"/>
      <c r="K459" s="25"/>
      <c r="L459" s="25"/>
      <c r="M459" s="26" t="str">
        <f aca="false">IF(G459="","",G459-N(H459))</f>
        <v/>
      </c>
      <c r="N459" s="26" t="str">
        <f aca="false">IF(G459="","",G459-N(K459)-N(L459))</f>
        <v/>
      </c>
      <c r="O459" s="27" t="str">
        <f aca="false">IF(G459="","",IF(N(H459)&gt;=G459,"Pago",IF(N(H459)&gt;0,"Parcial","Pendente")))</f>
        <v/>
      </c>
      <c r="P459" s="24"/>
    </row>
    <row r="460" customFormat="false" ht="15" hidden="false" customHeight="false" outlineLevel="0" collapsed="false">
      <c r="A460" s="22"/>
      <c r="B460" s="23"/>
      <c r="C460" s="24"/>
      <c r="D460" s="24"/>
      <c r="E460" s="24"/>
      <c r="F460" s="24"/>
      <c r="G460" s="25"/>
      <c r="H460" s="25"/>
      <c r="I460" s="24"/>
      <c r="J460" s="24"/>
      <c r="K460" s="25"/>
      <c r="L460" s="25"/>
      <c r="M460" s="26" t="str">
        <f aca="false">IF(G460="","",G460-N(H460))</f>
        <v/>
      </c>
      <c r="N460" s="26" t="str">
        <f aca="false">IF(G460="","",G460-N(K460)-N(L460))</f>
        <v/>
      </c>
      <c r="O460" s="27" t="str">
        <f aca="false">IF(G460="","",IF(N(H460)&gt;=G460,"Pago",IF(N(H460)&gt;0,"Parcial","Pendente")))</f>
        <v/>
      </c>
      <c r="P460" s="24"/>
    </row>
    <row r="461" customFormat="false" ht="15" hidden="false" customHeight="false" outlineLevel="0" collapsed="false">
      <c r="A461" s="22"/>
      <c r="B461" s="23"/>
      <c r="C461" s="24"/>
      <c r="D461" s="24"/>
      <c r="E461" s="24"/>
      <c r="F461" s="24"/>
      <c r="G461" s="25"/>
      <c r="H461" s="25"/>
      <c r="I461" s="24"/>
      <c r="J461" s="24"/>
      <c r="K461" s="25"/>
      <c r="L461" s="25"/>
      <c r="M461" s="26" t="str">
        <f aca="false">IF(G461="","",G461-N(H461))</f>
        <v/>
      </c>
      <c r="N461" s="26" t="str">
        <f aca="false">IF(G461="","",G461-N(K461)-N(L461))</f>
        <v/>
      </c>
      <c r="O461" s="27" t="str">
        <f aca="false">IF(G461="","",IF(N(H461)&gt;=G461,"Pago",IF(N(H461)&gt;0,"Parcial","Pendente")))</f>
        <v/>
      </c>
      <c r="P461" s="24"/>
    </row>
    <row r="462" customFormat="false" ht="15" hidden="false" customHeight="false" outlineLevel="0" collapsed="false">
      <c r="A462" s="22"/>
      <c r="B462" s="23"/>
      <c r="C462" s="24"/>
      <c r="D462" s="24"/>
      <c r="E462" s="24"/>
      <c r="F462" s="24"/>
      <c r="G462" s="25"/>
      <c r="H462" s="25"/>
      <c r="I462" s="24"/>
      <c r="J462" s="24"/>
      <c r="K462" s="25"/>
      <c r="L462" s="25"/>
      <c r="M462" s="26" t="str">
        <f aca="false">IF(G462="","",G462-N(H462))</f>
        <v/>
      </c>
      <c r="N462" s="26" t="str">
        <f aca="false">IF(G462="","",G462-N(K462)-N(L462))</f>
        <v/>
      </c>
      <c r="O462" s="27" t="str">
        <f aca="false">IF(G462="","",IF(N(H462)&gt;=G462,"Pago",IF(N(H462)&gt;0,"Parcial","Pendente")))</f>
        <v/>
      </c>
      <c r="P462" s="24"/>
    </row>
    <row r="463" customFormat="false" ht="15" hidden="false" customHeight="false" outlineLevel="0" collapsed="false">
      <c r="A463" s="22"/>
      <c r="B463" s="23"/>
      <c r="C463" s="24"/>
      <c r="D463" s="24"/>
      <c r="E463" s="24"/>
      <c r="F463" s="24"/>
      <c r="G463" s="25"/>
      <c r="H463" s="25"/>
      <c r="I463" s="24"/>
      <c r="J463" s="24"/>
      <c r="K463" s="25"/>
      <c r="L463" s="25"/>
      <c r="M463" s="26" t="str">
        <f aca="false">IF(G463="","",G463-N(H463))</f>
        <v/>
      </c>
      <c r="N463" s="26" t="str">
        <f aca="false">IF(G463="","",G463-N(K463)-N(L463))</f>
        <v/>
      </c>
      <c r="O463" s="27" t="str">
        <f aca="false">IF(G463="","",IF(N(H463)&gt;=G463,"Pago",IF(N(H463)&gt;0,"Parcial","Pendente")))</f>
        <v/>
      </c>
      <c r="P463" s="24"/>
    </row>
    <row r="464" customFormat="false" ht="15" hidden="false" customHeight="false" outlineLevel="0" collapsed="false">
      <c r="A464" s="22"/>
      <c r="B464" s="23"/>
      <c r="C464" s="24"/>
      <c r="D464" s="24"/>
      <c r="E464" s="24"/>
      <c r="F464" s="24"/>
      <c r="G464" s="25"/>
      <c r="H464" s="25"/>
      <c r="I464" s="24"/>
      <c r="J464" s="24"/>
      <c r="K464" s="25"/>
      <c r="L464" s="25"/>
      <c r="M464" s="26" t="str">
        <f aca="false">IF(G464="","",G464-N(H464))</f>
        <v/>
      </c>
      <c r="N464" s="26" t="str">
        <f aca="false">IF(G464="","",G464-N(K464)-N(L464))</f>
        <v/>
      </c>
      <c r="O464" s="27" t="str">
        <f aca="false">IF(G464="","",IF(N(H464)&gt;=G464,"Pago",IF(N(H464)&gt;0,"Parcial","Pendente")))</f>
        <v/>
      </c>
      <c r="P464" s="24"/>
    </row>
    <row r="465" customFormat="false" ht="15" hidden="false" customHeight="false" outlineLevel="0" collapsed="false">
      <c r="A465" s="22"/>
      <c r="B465" s="23"/>
      <c r="C465" s="24"/>
      <c r="D465" s="24"/>
      <c r="E465" s="24"/>
      <c r="F465" s="24"/>
      <c r="G465" s="25"/>
      <c r="H465" s="25"/>
      <c r="I465" s="24"/>
      <c r="J465" s="24"/>
      <c r="K465" s="25"/>
      <c r="L465" s="25"/>
      <c r="M465" s="26" t="str">
        <f aca="false">IF(G465="","",G465-N(H465))</f>
        <v/>
      </c>
      <c r="N465" s="26" t="str">
        <f aca="false">IF(G465="","",G465-N(K465)-N(L465))</f>
        <v/>
      </c>
      <c r="O465" s="27" t="str">
        <f aca="false">IF(G465="","",IF(N(H465)&gt;=G465,"Pago",IF(N(H465)&gt;0,"Parcial","Pendente")))</f>
        <v/>
      </c>
      <c r="P465" s="24"/>
    </row>
    <row r="466" customFormat="false" ht="15" hidden="false" customHeight="false" outlineLevel="0" collapsed="false">
      <c r="A466" s="22"/>
      <c r="B466" s="23"/>
      <c r="C466" s="24"/>
      <c r="D466" s="24"/>
      <c r="E466" s="24"/>
      <c r="F466" s="24"/>
      <c r="G466" s="25"/>
      <c r="H466" s="25"/>
      <c r="I466" s="24"/>
      <c r="J466" s="24"/>
      <c r="K466" s="25"/>
      <c r="L466" s="25"/>
      <c r="M466" s="26" t="str">
        <f aca="false">IF(G466="","",G466-N(H466))</f>
        <v/>
      </c>
      <c r="N466" s="26" t="str">
        <f aca="false">IF(G466="","",G466-N(K466)-N(L466))</f>
        <v/>
      </c>
      <c r="O466" s="27" t="str">
        <f aca="false">IF(G466="","",IF(N(H466)&gt;=G466,"Pago",IF(N(H466)&gt;0,"Parcial","Pendente")))</f>
        <v/>
      </c>
      <c r="P466" s="24"/>
    </row>
    <row r="467" customFormat="false" ht="15" hidden="false" customHeight="false" outlineLevel="0" collapsed="false">
      <c r="A467" s="22"/>
      <c r="B467" s="23"/>
      <c r="C467" s="24"/>
      <c r="D467" s="24"/>
      <c r="E467" s="24"/>
      <c r="F467" s="24"/>
      <c r="G467" s="25"/>
      <c r="H467" s="25"/>
      <c r="I467" s="24"/>
      <c r="J467" s="24"/>
      <c r="K467" s="25"/>
      <c r="L467" s="25"/>
      <c r="M467" s="26" t="str">
        <f aca="false">IF(G467="","",G467-N(H467))</f>
        <v/>
      </c>
      <c r="N467" s="26" t="str">
        <f aca="false">IF(G467="","",G467-N(K467)-N(L467))</f>
        <v/>
      </c>
      <c r="O467" s="27" t="str">
        <f aca="false">IF(G467="","",IF(N(H467)&gt;=G467,"Pago",IF(N(H467)&gt;0,"Parcial","Pendente")))</f>
        <v/>
      </c>
      <c r="P467" s="24"/>
    </row>
    <row r="468" customFormat="false" ht="15" hidden="false" customHeight="false" outlineLevel="0" collapsed="false">
      <c r="A468" s="22"/>
      <c r="B468" s="23"/>
      <c r="C468" s="24"/>
      <c r="D468" s="24"/>
      <c r="E468" s="24"/>
      <c r="F468" s="24"/>
      <c r="G468" s="25"/>
      <c r="H468" s="25"/>
      <c r="I468" s="24"/>
      <c r="J468" s="24"/>
      <c r="K468" s="25"/>
      <c r="L468" s="25"/>
      <c r="M468" s="26" t="str">
        <f aca="false">IF(G468="","",G468-N(H468))</f>
        <v/>
      </c>
      <c r="N468" s="26" t="str">
        <f aca="false">IF(G468="","",G468-N(K468)-N(L468))</f>
        <v/>
      </c>
      <c r="O468" s="27" t="str">
        <f aca="false">IF(G468="","",IF(N(H468)&gt;=G468,"Pago",IF(N(H468)&gt;0,"Parcial","Pendente")))</f>
        <v/>
      </c>
      <c r="P468" s="24"/>
    </row>
    <row r="469" customFormat="false" ht="15" hidden="false" customHeight="false" outlineLevel="0" collapsed="false">
      <c r="A469" s="22"/>
      <c r="B469" s="23"/>
      <c r="C469" s="24"/>
      <c r="D469" s="24"/>
      <c r="E469" s="24"/>
      <c r="F469" s="24"/>
      <c r="G469" s="25"/>
      <c r="H469" s="25"/>
      <c r="I469" s="24"/>
      <c r="J469" s="24"/>
      <c r="K469" s="25"/>
      <c r="L469" s="25"/>
      <c r="M469" s="26" t="str">
        <f aca="false">IF(G469="","",G469-N(H469))</f>
        <v/>
      </c>
      <c r="N469" s="26" t="str">
        <f aca="false">IF(G469="","",G469-N(K469)-N(L469))</f>
        <v/>
      </c>
      <c r="O469" s="27" t="str">
        <f aca="false">IF(G469="","",IF(N(H469)&gt;=G469,"Pago",IF(N(H469)&gt;0,"Parcial","Pendente")))</f>
        <v/>
      </c>
      <c r="P469" s="24"/>
    </row>
    <row r="470" customFormat="false" ht="15" hidden="false" customHeight="false" outlineLevel="0" collapsed="false">
      <c r="A470" s="22"/>
      <c r="B470" s="23"/>
      <c r="C470" s="24"/>
      <c r="D470" s="24"/>
      <c r="E470" s="24"/>
      <c r="F470" s="24"/>
      <c r="G470" s="25"/>
      <c r="H470" s="25"/>
      <c r="I470" s="24"/>
      <c r="J470" s="24"/>
      <c r="K470" s="25"/>
      <c r="L470" s="25"/>
      <c r="M470" s="26" t="str">
        <f aca="false">IF(G470="","",G470-N(H470))</f>
        <v/>
      </c>
      <c r="N470" s="26" t="str">
        <f aca="false">IF(G470="","",G470-N(K470)-N(L470))</f>
        <v/>
      </c>
      <c r="O470" s="27" t="str">
        <f aca="false">IF(G470="","",IF(N(H470)&gt;=G470,"Pago",IF(N(H470)&gt;0,"Parcial","Pendente")))</f>
        <v/>
      </c>
      <c r="P470" s="24"/>
    </row>
    <row r="471" customFormat="false" ht="15" hidden="false" customHeight="false" outlineLevel="0" collapsed="false">
      <c r="A471" s="22"/>
      <c r="B471" s="23"/>
      <c r="C471" s="24"/>
      <c r="D471" s="24"/>
      <c r="E471" s="24"/>
      <c r="F471" s="24"/>
      <c r="G471" s="25"/>
      <c r="H471" s="25"/>
      <c r="I471" s="24"/>
      <c r="J471" s="24"/>
      <c r="K471" s="25"/>
      <c r="L471" s="25"/>
      <c r="M471" s="26" t="str">
        <f aca="false">IF(G471="","",G471-N(H471))</f>
        <v/>
      </c>
      <c r="N471" s="26" t="str">
        <f aca="false">IF(G471="","",G471-N(K471)-N(L471))</f>
        <v/>
      </c>
      <c r="O471" s="27" t="str">
        <f aca="false">IF(G471="","",IF(N(H471)&gt;=G471,"Pago",IF(N(H471)&gt;0,"Parcial","Pendente")))</f>
        <v/>
      </c>
      <c r="P471" s="24"/>
    </row>
    <row r="472" customFormat="false" ht="15" hidden="false" customHeight="false" outlineLevel="0" collapsed="false">
      <c r="A472" s="22"/>
      <c r="B472" s="23"/>
      <c r="C472" s="24"/>
      <c r="D472" s="24"/>
      <c r="E472" s="24"/>
      <c r="F472" s="24"/>
      <c r="G472" s="25"/>
      <c r="H472" s="25"/>
      <c r="I472" s="24"/>
      <c r="J472" s="24"/>
      <c r="K472" s="25"/>
      <c r="L472" s="25"/>
      <c r="M472" s="26" t="str">
        <f aca="false">IF(G472="","",G472-N(H472))</f>
        <v/>
      </c>
      <c r="N472" s="26" t="str">
        <f aca="false">IF(G472="","",G472-N(K472)-N(L472))</f>
        <v/>
      </c>
      <c r="O472" s="27" t="str">
        <f aca="false">IF(G472="","",IF(N(H472)&gt;=G472,"Pago",IF(N(H472)&gt;0,"Parcial","Pendente")))</f>
        <v/>
      </c>
      <c r="P472" s="24"/>
    </row>
    <row r="473" customFormat="false" ht="15" hidden="false" customHeight="false" outlineLevel="0" collapsed="false">
      <c r="A473" s="22"/>
      <c r="B473" s="23"/>
      <c r="C473" s="24"/>
      <c r="D473" s="24"/>
      <c r="E473" s="24"/>
      <c r="F473" s="24"/>
      <c r="G473" s="25"/>
      <c r="H473" s="25"/>
      <c r="I473" s="24"/>
      <c r="J473" s="24"/>
      <c r="K473" s="25"/>
      <c r="L473" s="25"/>
      <c r="M473" s="26" t="str">
        <f aca="false">IF(G473="","",G473-N(H473))</f>
        <v/>
      </c>
      <c r="N473" s="26" t="str">
        <f aca="false">IF(G473="","",G473-N(K473)-N(L473))</f>
        <v/>
      </c>
      <c r="O473" s="27" t="str">
        <f aca="false">IF(G473="","",IF(N(H473)&gt;=G473,"Pago",IF(N(H473)&gt;0,"Parcial","Pendente")))</f>
        <v/>
      </c>
      <c r="P473" s="24"/>
    </row>
    <row r="474" customFormat="false" ht="15" hidden="false" customHeight="false" outlineLevel="0" collapsed="false">
      <c r="A474" s="22"/>
      <c r="B474" s="23"/>
      <c r="C474" s="24"/>
      <c r="D474" s="24"/>
      <c r="E474" s="24"/>
      <c r="F474" s="24"/>
      <c r="G474" s="25"/>
      <c r="H474" s="25"/>
      <c r="I474" s="24"/>
      <c r="J474" s="24"/>
      <c r="K474" s="25"/>
      <c r="L474" s="25"/>
      <c r="M474" s="26" t="str">
        <f aca="false">IF(G474="","",G474-N(H474))</f>
        <v/>
      </c>
      <c r="N474" s="26" t="str">
        <f aca="false">IF(G474="","",G474-N(K474)-N(L474))</f>
        <v/>
      </c>
      <c r="O474" s="27" t="str">
        <f aca="false">IF(G474="","",IF(N(H474)&gt;=G474,"Pago",IF(N(H474)&gt;0,"Parcial","Pendente")))</f>
        <v/>
      </c>
      <c r="P474" s="24"/>
    </row>
    <row r="475" customFormat="false" ht="15" hidden="false" customHeight="false" outlineLevel="0" collapsed="false">
      <c r="A475" s="22"/>
      <c r="B475" s="23"/>
      <c r="C475" s="24"/>
      <c r="D475" s="24"/>
      <c r="E475" s="24"/>
      <c r="F475" s="24"/>
      <c r="G475" s="25"/>
      <c r="H475" s="25"/>
      <c r="I475" s="24"/>
      <c r="J475" s="24"/>
      <c r="K475" s="25"/>
      <c r="L475" s="25"/>
      <c r="M475" s="26" t="str">
        <f aca="false">IF(G475="","",G475-N(H475))</f>
        <v/>
      </c>
      <c r="N475" s="26" t="str">
        <f aca="false">IF(G475="","",G475-N(K475)-N(L475))</f>
        <v/>
      </c>
      <c r="O475" s="27" t="str">
        <f aca="false">IF(G475="","",IF(N(H475)&gt;=G475,"Pago",IF(N(H475)&gt;0,"Parcial","Pendente")))</f>
        <v/>
      </c>
      <c r="P475" s="24"/>
    </row>
    <row r="476" customFormat="false" ht="15" hidden="false" customHeight="false" outlineLevel="0" collapsed="false">
      <c r="A476" s="22"/>
      <c r="B476" s="23"/>
      <c r="C476" s="24"/>
      <c r="D476" s="24"/>
      <c r="E476" s="24"/>
      <c r="F476" s="24"/>
      <c r="G476" s="25"/>
      <c r="H476" s="25"/>
      <c r="I476" s="24"/>
      <c r="J476" s="24"/>
      <c r="K476" s="25"/>
      <c r="L476" s="25"/>
      <c r="M476" s="26" t="str">
        <f aca="false">IF(G476="","",G476-N(H476))</f>
        <v/>
      </c>
      <c r="N476" s="26" t="str">
        <f aca="false">IF(G476="","",G476-N(K476)-N(L476))</f>
        <v/>
      </c>
      <c r="O476" s="27" t="str">
        <f aca="false">IF(G476="","",IF(N(H476)&gt;=G476,"Pago",IF(N(H476)&gt;0,"Parcial","Pendente")))</f>
        <v/>
      </c>
      <c r="P476" s="24"/>
    </row>
    <row r="477" customFormat="false" ht="15" hidden="false" customHeight="false" outlineLevel="0" collapsed="false">
      <c r="A477" s="22"/>
      <c r="B477" s="23"/>
      <c r="C477" s="24"/>
      <c r="D477" s="24"/>
      <c r="E477" s="24"/>
      <c r="F477" s="24"/>
      <c r="G477" s="25"/>
      <c r="H477" s="25"/>
      <c r="I477" s="24"/>
      <c r="J477" s="24"/>
      <c r="K477" s="25"/>
      <c r="L477" s="25"/>
      <c r="M477" s="26" t="str">
        <f aca="false">IF(G477="","",G477-N(H477))</f>
        <v/>
      </c>
      <c r="N477" s="26" t="str">
        <f aca="false">IF(G477="","",G477-N(K477)-N(L477))</f>
        <v/>
      </c>
      <c r="O477" s="27" t="str">
        <f aca="false">IF(G477="","",IF(N(H477)&gt;=G477,"Pago",IF(N(H477)&gt;0,"Parcial","Pendente")))</f>
        <v/>
      </c>
      <c r="P477" s="24"/>
    </row>
    <row r="478" customFormat="false" ht="15" hidden="false" customHeight="false" outlineLevel="0" collapsed="false">
      <c r="A478" s="22"/>
      <c r="B478" s="23"/>
      <c r="C478" s="24"/>
      <c r="D478" s="24"/>
      <c r="E478" s="24"/>
      <c r="F478" s="24"/>
      <c r="G478" s="25"/>
      <c r="H478" s="25"/>
      <c r="I478" s="24"/>
      <c r="J478" s="24"/>
      <c r="K478" s="25"/>
      <c r="L478" s="25"/>
      <c r="M478" s="26" t="str">
        <f aca="false">IF(G478="","",G478-N(H478))</f>
        <v/>
      </c>
      <c r="N478" s="26" t="str">
        <f aca="false">IF(G478="","",G478-N(K478)-N(L478))</f>
        <v/>
      </c>
      <c r="O478" s="27" t="str">
        <f aca="false">IF(G478="","",IF(N(H478)&gt;=G478,"Pago",IF(N(H478)&gt;0,"Parcial","Pendente")))</f>
        <v/>
      </c>
      <c r="P478" s="24"/>
    </row>
    <row r="479" customFormat="false" ht="15" hidden="false" customHeight="false" outlineLevel="0" collapsed="false">
      <c r="A479" s="22"/>
      <c r="B479" s="23"/>
      <c r="C479" s="24"/>
      <c r="D479" s="24"/>
      <c r="E479" s="24"/>
      <c r="F479" s="24"/>
      <c r="G479" s="25"/>
      <c r="H479" s="25"/>
      <c r="I479" s="24"/>
      <c r="J479" s="24"/>
      <c r="K479" s="25"/>
      <c r="L479" s="25"/>
      <c r="M479" s="26" t="str">
        <f aca="false">IF(G479="","",G479-N(H479))</f>
        <v/>
      </c>
      <c r="N479" s="26" t="str">
        <f aca="false">IF(G479="","",G479-N(K479)-N(L479))</f>
        <v/>
      </c>
      <c r="O479" s="27" t="str">
        <f aca="false">IF(G479="","",IF(N(H479)&gt;=G479,"Pago",IF(N(H479)&gt;0,"Parcial","Pendente")))</f>
        <v/>
      </c>
      <c r="P479" s="24"/>
    </row>
    <row r="480" customFormat="false" ht="15" hidden="false" customHeight="false" outlineLevel="0" collapsed="false">
      <c r="A480" s="22"/>
      <c r="B480" s="23"/>
      <c r="C480" s="24"/>
      <c r="D480" s="24"/>
      <c r="E480" s="24"/>
      <c r="F480" s="24"/>
      <c r="G480" s="25"/>
      <c r="H480" s="25"/>
      <c r="I480" s="24"/>
      <c r="J480" s="24"/>
      <c r="K480" s="25"/>
      <c r="L480" s="25"/>
      <c r="M480" s="26" t="str">
        <f aca="false">IF(G480="","",G480-N(H480))</f>
        <v/>
      </c>
      <c r="N480" s="26" t="str">
        <f aca="false">IF(G480="","",G480-N(K480)-N(L480))</f>
        <v/>
      </c>
      <c r="O480" s="27" t="str">
        <f aca="false">IF(G480="","",IF(N(H480)&gt;=G480,"Pago",IF(N(H480)&gt;0,"Parcial","Pendente")))</f>
        <v/>
      </c>
      <c r="P480" s="24"/>
    </row>
    <row r="481" customFormat="false" ht="15" hidden="false" customHeight="false" outlineLevel="0" collapsed="false">
      <c r="A481" s="22"/>
      <c r="B481" s="23"/>
      <c r="C481" s="24"/>
      <c r="D481" s="24"/>
      <c r="E481" s="24"/>
      <c r="F481" s="24"/>
      <c r="G481" s="25"/>
      <c r="H481" s="25"/>
      <c r="I481" s="24"/>
      <c r="J481" s="24"/>
      <c r="K481" s="25"/>
      <c r="L481" s="25"/>
      <c r="M481" s="26" t="str">
        <f aca="false">IF(G481="","",G481-N(H481))</f>
        <v/>
      </c>
      <c r="N481" s="26" t="str">
        <f aca="false">IF(G481="","",G481-N(K481)-N(L481))</f>
        <v/>
      </c>
      <c r="O481" s="27" t="str">
        <f aca="false">IF(G481="","",IF(N(H481)&gt;=G481,"Pago",IF(N(H481)&gt;0,"Parcial","Pendente")))</f>
        <v/>
      </c>
      <c r="P481" s="24"/>
    </row>
    <row r="482" customFormat="false" ht="15" hidden="false" customHeight="false" outlineLevel="0" collapsed="false">
      <c r="A482" s="22"/>
      <c r="B482" s="23"/>
      <c r="C482" s="24"/>
      <c r="D482" s="24"/>
      <c r="E482" s="24"/>
      <c r="F482" s="24"/>
      <c r="G482" s="25"/>
      <c r="H482" s="25"/>
      <c r="I482" s="24"/>
      <c r="J482" s="24"/>
      <c r="K482" s="25"/>
      <c r="L482" s="25"/>
      <c r="M482" s="26" t="str">
        <f aca="false">IF(G482="","",G482-N(H482))</f>
        <v/>
      </c>
      <c r="N482" s="26" t="str">
        <f aca="false">IF(G482="","",G482-N(K482)-N(L482))</f>
        <v/>
      </c>
      <c r="O482" s="27" t="str">
        <f aca="false">IF(G482="","",IF(N(H482)&gt;=G482,"Pago",IF(N(H482)&gt;0,"Parcial","Pendente")))</f>
        <v/>
      </c>
      <c r="P482" s="24"/>
    </row>
    <row r="483" customFormat="false" ht="15" hidden="false" customHeight="false" outlineLevel="0" collapsed="false">
      <c r="A483" s="22"/>
      <c r="B483" s="23"/>
      <c r="C483" s="24"/>
      <c r="D483" s="24"/>
      <c r="E483" s="24"/>
      <c r="F483" s="24"/>
      <c r="G483" s="25"/>
      <c r="H483" s="25"/>
      <c r="I483" s="24"/>
      <c r="J483" s="24"/>
      <c r="K483" s="25"/>
      <c r="L483" s="25"/>
      <c r="M483" s="26" t="str">
        <f aca="false">IF(G483="","",G483-N(H483))</f>
        <v/>
      </c>
      <c r="N483" s="26" t="str">
        <f aca="false">IF(G483="","",G483-N(K483)-N(L483))</f>
        <v/>
      </c>
      <c r="O483" s="27" t="str">
        <f aca="false">IF(G483="","",IF(N(H483)&gt;=G483,"Pago",IF(N(H483)&gt;0,"Parcial","Pendente")))</f>
        <v/>
      </c>
      <c r="P483" s="24"/>
    </row>
    <row r="484" customFormat="false" ht="15" hidden="false" customHeight="false" outlineLevel="0" collapsed="false">
      <c r="A484" s="22"/>
      <c r="B484" s="23"/>
      <c r="C484" s="24"/>
      <c r="D484" s="24"/>
      <c r="E484" s="24"/>
      <c r="F484" s="24"/>
      <c r="G484" s="25"/>
      <c r="H484" s="25"/>
      <c r="I484" s="24"/>
      <c r="J484" s="24"/>
      <c r="K484" s="25"/>
      <c r="L484" s="25"/>
      <c r="M484" s="26" t="str">
        <f aca="false">IF(G484="","",G484-N(H484))</f>
        <v/>
      </c>
      <c r="N484" s="26" t="str">
        <f aca="false">IF(G484="","",G484-N(K484)-N(L484))</f>
        <v/>
      </c>
      <c r="O484" s="27" t="str">
        <f aca="false">IF(G484="","",IF(N(H484)&gt;=G484,"Pago",IF(N(H484)&gt;0,"Parcial","Pendente")))</f>
        <v/>
      </c>
      <c r="P484" s="24"/>
    </row>
    <row r="485" customFormat="false" ht="15" hidden="false" customHeight="false" outlineLevel="0" collapsed="false">
      <c r="A485" s="22"/>
      <c r="B485" s="23"/>
      <c r="C485" s="24"/>
      <c r="D485" s="24"/>
      <c r="E485" s="24"/>
      <c r="F485" s="24"/>
      <c r="G485" s="25"/>
      <c r="H485" s="25"/>
      <c r="I485" s="24"/>
      <c r="J485" s="24"/>
      <c r="K485" s="25"/>
      <c r="L485" s="25"/>
      <c r="M485" s="26" t="str">
        <f aca="false">IF(G485="","",G485-N(H485))</f>
        <v/>
      </c>
      <c r="N485" s="26" t="str">
        <f aca="false">IF(G485="","",G485-N(K485)-N(L485))</f>
        <v/>
      </c>
      <c r="O485" s="27" t="str">
        <f aca="false">IF(G485="","",IF(N(H485)&gt;=G485,"Pago",IF(N(H485)&gt;0,"Parcial","Pendente")))</f>
        <v/>
      </c>
      <c r="P485" s="24"/>
    </row>
    <row r="486" customFormat="false" ht="15" hidden="false" customHeight="false" outlineLevel="0" collapsed="false">
      <c r="A486" s="22"/>
      <c r="B486" s="23"/>
      <c r="C486" s="24"/>
      <c r="D486" s="24"/>
      <c r="E486" s="24"/>
      <c r="F486" s="24"/>
      <c r="G486" s="25"/>
      <c r="H486" s="25"/>
      <c r="I486" s="24"/>
      <c r="J486" s="24"/>
      <c r="K486" s="25"/>
      <c r="L486" s="25"/>
      <c r="M486" s="26" t="str">
        <f aca="false">IF(G486="","",G486-N(H486))</f>
        <v/>
      </c>
      <c r="N486" s="26" t="str">
        <f aca="false">IF(G486="","",G486-N(K486)-N(L486))</f>
        <v/>
      </c>
      <c r="O486" s="27" t="str">
        <f aca="false">IF(G486="","",IF(N(H486)&gt;=G486,"Pago",IF(N(H486)&gt;0,"Parcial","Pendente")))</f>
        <v/>
      </c>
      <c r="P486" s="24"/>
    </row>
    <row r="487" customFormat="false" ht="15" hidden="false" customHeight="false" outlineLevel="0" collapsed="false">
      <c r="A487" s="22"/>
      <c r="B487" s="23"/>
      <c r="C487" s="24"/>
      <c r="D487" s="24"/>
      <c r="E487" s="24"/>
      <c r="F487" s="24"/>
      <c r="G487" s="25"/>
      <c r="H487" s="25"/>
      <c r="I487" s="24"/>
      <c r="J487" s="24"/>
      <c r="K487" s="25"/>
      <c r="L487" s="25"/>
      <c r="M487" s="26" t="str">
        <f aca="false">IF(G487="","",G487-N(H487))</f>
        <v/>
      </c>
      <c r="N487" s="26" t="str">
        <f aca="false">IF(G487="","",G487-N(K487)-N(L487))</f>
        <v/>
      </c>
      <c r="O487" s="27" t="str">
        <f aca="false">IF(G487="","",IF(N(H487)&gt;=G487,"Pago",IF(N(H487)&gt;0,"Parcial","Pendente")))</f>
        <v/>
      </c>
      <c r="P487" s="24"/>
    </row>
    <row r="488" customFormat="false" ht="15" hidden="false" customHeight="false" outlineLevel="0" collapsed="false">
      <c r="A488" s="22"/>
      <c r="B488" s="23"/>
      <c r="C488" s="24"/>
      <c r="D488" s="24"/>
      <c r="E488" s="24"/>
      <c r="F488" s="24"/>
      <c r="G488" s="25"/>
      <c r="H488" s="25"/>
      <c r="I488" s="24"/>
      <c r="J488" s="24"/>
      <c r="K488" s="25"/>
      <c r="L488" s="25"/>
      <c r="M488" s="26" t="str">
        <f aca="false">IF(G488="","",G488-N(H488))</f>
        <v/>
      </c>
      <c r="N488" s="26" t="str">
        <f aca="false">IF(G488="","",G488-N(K488)-N(L488))</f>
        <v/>
      </c>
      <c r="O488" s="27" t="str">
        <f aca="false">IF(G488="","",IF(N(H488)&gt;=G488,"Pago",IF(N(H488)&gt;0,"Parcial","Pendente")))</f>
        <v/>
      </c>
      <c r="P488" s="24"/>
    </row>
    <row r="489" customFormat="false" ht="15" hidden="false" customHeight="false" outlineLevel="0" collapsed="false">
      <c r="A489" s="22"/>
      <c r="B489" s="23"/>
      <c r="C489" s="24"/>
      <c r="D489" s="24"/>
      <c r="E489" s="24"/>
      <c r="F489" s="24"/>
      <c r="G489" s="25"/>
      <c r="H489" s="25"/>
      <c r="I489" s="24"/>
      <c r="J489" s="24"/>
      <c r="K489" s="25"/>
      <c r="L489" s="25"/>
      <c r="M489" s="26" t="str">
        <f aca="false">IF(G489="","",G489-N(H489))</f>
        <v/>
      </c>
      <c r="N489" s="26" t="str">
        <f aca="false">IF(G489="","",G489-N(K489)-N(L489))</f>
        <v/>
      </c>
      <c r="O489" s="27" t="str">
        <f aca="false">IF(G489="","",IF(N(H489)&gt;=G489,"Pago",IF(N(H489)&gt;0,"Parcial","Pendente")))</f>
        <v/>
      </c>
      <c r="P489" s="24"/>
    </row>
    <row r="490" customFormat="false" ht="15" hidden="false" customHeight="false" outlineLevel="0" collapsed="false">
      <c r="A490" s="22"/>
      <c r="B490" s="23"/>
      <c r="C490" s="24"/>
      <c r="D490" s="24"/>
      <c r="E490" s="24"/>
      <c r="F490" s="24"/>
      <c r="G490" s="25"/>
      <c r="H490" s="25"/>
      <c r="I490" s="24"/>
      <c r="J490" s="24"/>
      <c r="K490" s="25"/>
      <c r="L490" s="25"/>
      <c r="M490" s="26" t="str">
        <f aca="false">IF(G490="","",G490-N(H490))</f>
        <v/>
      </c>
      <c r="N490" s="26" t="str">
        <f aca="false">IF(G490="","",G490-N(K490)-N(L490))</f>
        <v/>
      </c>
      <c r="O490" s="27" t="str">
        <f aca="false">IF(G490="","",IF(N(H490)&gt;=G490,"Pago",IF(N(H490)&gt;0,"Parcial","Pendente")))</f>
        <v/>
      </c>
      <c r="P490" s="24"/>
    </row>
    <row r="491" customFormat="false" ht="15" hidden="false" customHeight="false" outlineLevel="0" collapsed="false">
      <c r="A491" s="22"/>
      <c r="B491" s="23"/>
      <c r="C491" s="24"/>
      <c r="D491" s="24"/>
      <c r="E491" s="24"/>
      <c r="F491" s="24"/>
      <c r="G491" s="25"/>
      <c r="H491" s="25"/>
      <c r="I491" s="24"/>
      <c r="J491" s="24"/>
      <c r="K491" s="25"/>
      <c r="L491" s="25"/>
      <c r="M491" s="26" t="str">
        <f aca="false">IF(G491="","",G491-N(H491))</f>
        <v/>
      </c>
      <c r="N491" s="26" t="str">
        <f aca="false">IF(G491="","",G491-N(K491)-N(L491))</f>
        <v/>
      </c>
      <c r="O491" s="27" t="str">
        <f aca="false">IF(G491="","",IF(N(H491)&gt;=G491,"Pago",IF(N(H491)&gt;0,"Parcial","Pendente")))</f>
        <v/>
      </c>
      <c r="P491" s="24"/>
    </row>
    <row r="492" customFormat="false" ht="15" hidden="false" customHeight="false" outlineLevel="0" collapsed="false">
      <c r="A492" s="22"/>
      <c r="B492" s="23"/>
      <c r="C492" s="24"/>
      <c r="D492" s="24"/>
      <c r="E492" s="24"/>
      <c r="F492" s="24"/>
      <c r="G492" s="25"/>
      <c r="H492" s="25"/>
      <c r="I492" s="24"/>
      <c r="J492" s="24"/>
      <c r="K492" s="25"/>
      <c r="L492" s="25"/>
      <c r="M492" s="26" t="str">
        <f aca="false">IF(G492="","",G492-N(H492))</f>
        <v/>
      </c>
      <c r="N492" s="26" t="str">
        <f aca="false">IF(G492="","",G492-N(K492)-N(L492))</f>
        <v/>
      </c>
      <c r="O492" s="27" t="str">
        <f aca="false">IF(G492="","",IF(N(H492)&gt;=G492,"Pago",IF(N(H492)&gt;0,"Parcial","Pendente")))</f>
        <v/>
      </c>
      <c r="P492" s="24"/>
    </row>
    <row r="493" customFormat="false" ht="15" hidden="false" customHeight="false" outlineLevel="0" collapsed="false">
      <c r="A493" s="22"/>
      <c r="B493" s="23"/>
      <c r="C493" s="24"/>
      <c r="D493" s="24"/>
      <c r="E493" s="24"/>
      <c r="F493" s="24"/>
      <c r="G493" s="25"/>
      <c r="H493" s="25"/>
      <c r="I493" s="24"/>
      <c r="J493" s="24"/>
      <c r="K493" s="25"/>
      <c r="L493" s="25"/>
      <c r="M493" s="26" t="str">
        <f aca="false">IF(G493="","",G493-N(H493))</f>
        <v/>
      </c>
      <c r="N493" s="26" t="str">
        <f aca="false">IF(G493="","",G493-N(K493)-N(L493))</f>
        <v/>
      </c>
      <c r="O493" s="27" t="str">
        <f aca="false">IF(G493="","",IF(N(H493)&gt;=G493,"Pago",IF(N(H493)&gt;0,"Parcial","Pendente")))</f>
        <v/>
      </c>
      <c r="P493" s="24"/>
    </row>
    <row r="494" customFormat="false" ht="15" hidden="false" customHeight="false" outlineLevel="0" collapsed="false">
      <c r="A494" s="22"/>
      <c r="B494" s="23"/>
      <c r="C494" s="24"/>
      <c r="D494" s="24"/>
      <c r="E494" s="24"/>
      <c r="F494" s="24"/>
      <c r="G494" s="25"/>
      <c r="H494" s="25"/>
      <c r="I494" s="24"/>
      <c r="J494" s="24"/>
      <c r="K494" s="25"/>
      <c r="L494" s="25"/>
      <c r="M494" s="26" t="str">
        <f aca="false">IF(G494="","",G494-N(H494))</f>
        <v/>
      </c>
      <c r="N494" s="26" t="str">
        <f aca="false">IF(G494="","",G494-N(K494)-N(L494))</f>
        <v/>
      </c>
      <c r="O494" s="27" t="str">
        <f aca="false">IF(G494="","",IF(N(H494)&gt;=G494,"Pago",IF(N(H494)&gt;0,"Parcial","Pendente")))</f>
        <v/>
      </c>
      <c r="P494" s="24"/>
    </row>
    <row r="495" customFormat="false" ht="15" hidden="false" customHeight="false" outlineLevel="0" collapsed="false">
      <c r="A495" s="22"/>
      <c r="B495" s="23"/>
      <c r="C495" s="24"/>
      <c r="D495" s="24"/>
      <c r="E495" s="24"/>
      <c r="F495" s="24"/>
      <c r="G495" s="25"/>
      <c r="H495" s="25"/>
      <c r="I495" s="24"/>
      <c r="J495" s="24"/>
      <c r="K495" s="25"/>
      <c r="L495" s="25"/>
      <c r="M495" s="26" t="str">
        <f aca="false">IF(G495="","",G495-N(H495))</f>
        <v/>
      </c>
      <c r="N495" s="26" t="str">
        <f aca="false">IF(G495="","",G495-N(K495)-N(L495))</f>
        <v/>
      </c>
      <c r="O495" s="27" t="str">
        <f aca="false">IF(G495="","",IF(N(H495)&gt;=G495,"Pago",IF(N(H495)&gt;0,"Parcial","Pendente")))</f>
        <v/>
      </c>
      <c r="P495" s="24"/>
    </row>
    <row r="496" customFormat="false" ht="15" hidden="false" customHeight="false" outlineLevel="0" collapsed="false">
      <c r="A496" s="22"/>
      <c r="B496" s="23"/>
      <c r="C496" s="24"/>
      <c r="D496" s="24"/>
      <c r="E496" s="24"/>
      <c r="F496" s="24"/>
      <c r="G496" s="25"/>
      <c r="H496" s="25"/>
      <c r="I496" s="24"/>
      <c r="J496" s="24"/>
      <c r="K496" s="25"/>
      <c r="L496" s="25"/>
      <c r="M496" s="26" t="str">
        <f aca="false">IF(G496="","",G496-N(H496))</f>
        <v/>
      </c>
      <c r="N496" s="26" t="str">
        <f aca="false">IF(G496="","",G496-N(K496)-N(L496))</f>
        <v/>
      </c>
      <c r="O496" s="27" t="str">
        <f aca="false">IF(G496="","",IF(N(H496)&gt;=G496,"Pago",IF(N(H496)&gt;0,"Parcial","Pendente")))</f>
        <v/>
      </c>
      <c r="P496" s="24"/>
    </row>
    <row r="497" customFormat="false" ht="15" hidden="false" customHeight="false" outlineLevel="0" collapsed="false">
      <c r="A497" s="22"/>
      <c r="B497" s="23"/>
      <c r="C497" s="24"/>
      <c r="D497" s="24"/>
      <c r="E497" s="24"/>
      <c r="F497" s="24"/>
      <c r="G497" s="25"/>
      <c r="H497" s="25"/>
      <c r="I497" s="24"/>
      <c r="J497" s="24"/>
      <c r="K497" s="25"/>
      <c r="L497" s="25"/>
      <c r="M497" s="26" t="str">
        <f aca="false">IF(G497="","",G497-N(H497))</f>
        <v/>
      </c>
      <c r="N497" s="26" t="str">
        <f aca="false">IF(G497="","",G497-N(K497)-N(L497))</f>
        <v/>
      </c>
      <c r="O497" s="27" t="str">
        <f aca="false">IF(G497="","",IF(N(H497)&gt;=G497,"Pago",IF(N(H497)&gt;0,"Parcial","Pendente")))</f>
        <v/>
      </c>
      <c r="P497" s="24"/>
    </row>
    <row r="498" customFormat="false" ht="15" hidden="false" customHeight="false" outlineLevel="0" collapsed="false">
      <c r="A498" s="22"/>
      <c r="B498" s="23"/>
      <c r="C498" s="24"/>
      <c r="D498" s="24"/>
      <c r="E498" s="24"/>
      <c r="F498" s="24"/>
      <c r="G498" s="25"/>
      <c r="H498" s="25"/>
      <c r="I498" s="24"/>
      <c r="J498" s="24"/>
      <c r="K498" s="25"/>
      <c r="L498" s="25"/>
      <c r="M498" s="26" t="str">
        <f aca="false">IF(G498="","",G498-N(H498))</f>
        <v/>
      </c>
      <c r="N498" s="26" t="str">
        <f aca="false">IF(G498="","",G498-N(K498)-N(L498))</f>
        <v/>
      </c>
      <c r="O498" s="27" t="str">
        <f aca="false">IF(G498="","",IF(N(H498)&gt;=G498,"Pago",IF(N(H498)&gt;0,"Parcial","Pendente")))</f>
        <v/>
      </c>
      <c r="P498" s="24"/>
    </row>
    <row r="499" customFormat="false" ht="15" hidden="false" customHeight="false" outlineLevel="0" collapsed="false">
      <c r="A499" s="22"/>
      <c r="B499" s="23"/>
      <c r="C499" s="24"/>
      <c r="D499" s="24"/>
      <c r="E499" s="24"/>
      <c r="F499" s="24"/>
      <c r="G499" s="25"/>
      <c r="H499" s="25"/>
      <c r="I499" s="24"/>
      <c r="J499" s="24"/>
      <c r="K499" s="25"/>
      <c r="L499" s="25"/>
      <c r="M499" s="26" t="str">
        <f aca="false">IF(G499="","",G499-N(H499))</f>
        <v/>
      </c>
      <c r="N499" s="26" t="str">
        <f aca="false">IF(G499="","",G499-N(K499)-N(L499))</f>
        <v/>
      </c>
      <c r="O499" s="27" t="str">
        <f aca="false">IF(G499="","",IF(N(H499)&gt;=G499,"Pago",IF(N(H499)&gt;0,"Parcial","Pendente")))</f>
        <v/>
      </c>
      <c r="P499" s="24"/>
    </row>
    <row r="500" customFormat="false" ht="15" hidden="false" customHeight="false" outlineLevel="0" collapsed="false">
      <c r="A500" s="22"/>
      <c r="B500" s="23"/>
      <c r="C500" s="24"/>
      <c r="D500" s="24"/>
      <c r="E500" s="24"/>
      <c r="F500" s="24"/>
      <c r="G500" s="25"/>
      <c r="H500" s="25"/>
      <c r="I500" s="24"/>
      <c r="J500" s="24"/>
      <c r="K500" s="25"/>
      <c r="L500" s="25"/>
      <c r="M500" s="26" t="str">
        <f aca="false">IF(G500="","",G500-N(H500))</f>
        <v/>
      </c>
      <c r="N500" s="26" t="str">
        <f aca="false">IF(G500="","",G500-N(K500)-N(L500))</f>
        <v/>
      </c>
      <c r="O500" s="27" t="str">
        <f aca="false">IF(G500="","",IF(N(H500)&gt;=G500,"Pago",IF(N(H500)&gt;0,"Parcial","Pendente")))</f>
        <v/>
      </c>
      <c r="P500" s="24"/>
    </row>
    <row r="501" customFormat="false" ht="15" hidden="false" customHeight="false" outlineLevel="0" collapsed="false">
      <c r="A501" s="22"/>
      <c r="B501" s="23"/>
      <c r="C501" s="24"/>
      <c r="D501" s="24"/>
      <c r="E501" s="24"/>
      <c r="F501" s="24"/>
      <c r="G501" s="25"/>
      <c r="H501" s="25"/>
      <c r="I501" s="24"/>
      <c r="J501" s="24"/>
      <c r="K501" s="25"/>
      <c r="L501" s="25"/>
      <c r="M501" s="26" t="str">
        <f aca="false">IF(G501="","",G501-N(H501))</f>
        <v/>
      </c>
      <c r="N501" s="26" t="str">
        <f aca="false">IF(G501="","",G501-N(K501)-N(L501))</f>
        <v/>
      </c>
      <c r="O501" s="27" t="str">
        <f aca="false">IF(G501="","",IF(N(H501)&gt;=G501,"Pago",IF(N(H501)&gt;0,"Parcial","Pendente")))</f>
        <v/>
      </c>
      <c r="P501" s="24"/>
    </row>
    <row r="502" customFormat="false" ht="15" hidden="false" customHeight="false" outlineLevel="0" collapsed="false">
      <c r="A502" s="22"/>
      <c r="B502" s="23"/>
      <c r="C502" s="24"/>
      <c r="D502" s="24"/>
      <c r="E502" s="24"/>
      <c r="F502" s="24"/>
      <c r="G502" s="25"/>
      <c r="H502" s="25"/>
      <c r="I502" s="24"/>
      <c r="J502" s="24"/>
      <c r="K502" s="25"/>
      <c r="L502" s="25"/>
      <c r="M502" s="26" t="str">
        <f aca="false">IF(G502="","",G502-N(H502))</f>
        <v/>
      </c>
      <c r="N502" s="26" t="str">
        <f aca="false">IF(G502="","",G502-N(K502)-N(L502))</f>
        <v/>
      </c>
      <c r="O502" s="27" t="str">
        <f aca="false">IF(G502="","",IF(N(H502)&gt;=G502,"Pago",IF(N(H502)&gt;0,"Parcial","Pendente")))</f>
        <v/>
      </c>
      <c r="P502" s="24"/>
    </row>
    <row r="503" customFormat="false" ht="15" hidden="false" customHeight="false" outlineLevel="0" collapsed="false">
      <c r="A503" s="22"/>
      <c r="B503" s="23"/>
      <c r="C503" s="24"/>
      <c r="D503" s="24"/>
      <c r="E503" s="24"/>
      <c r="F503" s="24"/>
      <c r="G503" s="25"/>
      <c r="H503" s="25"/>
      <c r="I503" s="24"/>
      <c r="J503" s="24"/>
      <c r="K503" s="25"/>
      <c r="L503" s="25"/>
      <c r="M503" s="26" t="str">
        <f aca="false">IF(G503="","",G503-N(H503))</f>
        <v/>
      </c>
      <c r="N503" s="26" t="str">
        <f aca="false">IF(G503="","",G503-N(K503)-N(L503))</f>
        <v/>
      </c>
      <c r="O503" s="27" t="str">
        <f aca="false">IF(G503="","",IF(N(H503)&gt;=G503,"Pago",IF(N(H503)&gt;0,"Parcial","Pendente")))</f>
        <v/>
      </c>
      <c r="P503" s="24"/>
    </row>
    <row r="504" customFormat="false" ht="15" hidden="false" customHeight="false" outlineLevel="0" collapsed="false">
      <c r="A504" s="22"/>
      <c r="B504" s="23"/>
      <c r="C504" s="24"/>
      <c r="D504" s="24"/>
      <c r="E504" s="24"/>
      <c r="F504" s="24"/>
      <c r="G504" s="25"/>
      <c r="H504" s="25"/>
      <c r="I504" s="24"/>
      <c r="J504" s="24"/>
      <c r="K504" s="25"/>
      <c r="L504" s="25"/>
      <c r="M504" s="26" t="str">
        <f aca="false">IF(G504="","",G504-N(H504))</f>
        <v/>
      </c>
      <c r="N504" s="26" t="str">
        <f aca="false">IF(G504="","",G504-N(K504)-N(L504))</f>
        <v/>
      </c>
      <c r="O504" s="27" t="str">
        <f aca="false">IF(G504="","",IF(N(H504)&gt;=G504,"Pago",IF(N(H504)&gt;0,"Parcial","Pendente")))</f>
        <v/>
      </c>
      <c r="P504" s="24"/>
    </row>
    <row r="505" customFormat="false" ht="15" hidden="false" customHeight="false" outlineLevel="0" collapsed="false">
      <c r="A505" s="22"/>
      <c r="B505" s="23"/>
      <c r="C505" s="24"/>
      <c r="D505" s="24"/>
      <c r="E505" s="24"/>
      <c r="F505" s="24"/>
      <c r="G505" s="25"/>
      <c r="H505" s="25"/>
      <c r="I505" s="24"/>
      <c r="J505" s="24"/>
      <c r="K505" s="25"/>
      <c r="L505" s="25"/>
      <c r="M505" s="26" t="str">
        <f aca="false">IF(G505="","",G505-N(H505))</f>
        <v/>
      </c>
      <c r="N505" s="26" t="str">
        <f aca="false">IF(G505="","",G505-N(K505)-N(L505))</f>
        <v/>
      </c>
      <c r="O505" s="27" t="str">
        <f aca="false">IF(G505="","",IF(N(H505)&gt;=G505,"Pago",IF(N(H505)&gt;0,"Parcial","Pendente")))</f>
        <v/>
      </c>
      <c r="P505" s="24"/>
    </row>
    <row r="506" customFormat="false" ht="15" hidden="false" customHeight="false" outlineLevel="0" collapsed="false">
      <c r="A506" s="22"/>
      <c r="B506" s="23"/>
      <c r="C506" s="24"/>
      <c r="D506" s="24"/>
      <c r="E506" s="24"/>
      <c r="F506" s="24"/>
      <c r="G506" s="25"/>
      <c r="H506" s="25"/>
      <c r="I506" s="24"/>
      <c r="J506" s="24"/>
      <c r="K506" s="25"/>
      <c r="L506" s="25"/>
      <c r="M506" s="26" t="str">
        <f aca="false">IF(G506="","",G506-N(H506))</f>
        <v/>
      </c>
      <c r="N506" s="26" t="str">
        <f aca="false">IF(G506="","",G506-N(K506)-N(L506))</f>
        <v/>
      </c>
      <c r="O506" s="27" t="str">
        <f aca="false">IF(G506="","",IF(N(H506)&gt;=G506,"Pago",IF(N(H506)&gt;0,"Parcial","Pendente")))</f>
        <v/>
      </c>
      <c r="P506" s="24"/>
    </row>
    <row r="507" customFormat="false" ht="15" hidden="false" customHeight="false" outlineLevel="0" collapsed="false">
      <c r="A507" s="22"/>
      <c r="B507" s="23"/>
      <c r="C507" s="24"/>
      <c r="D507" s="24"/>
      <c r="E507" s="24"/>
      <c r="F507" s="24"/>
      <c r="G507" s="25"/>
      <c r="H507" s="25"/>
      <c r="I507" s="24"/>
      <c r="J507" s="24"/>
      <c r="K507" s="25"/>
      <c r="L507" s="25"/>
      <c r="M507" s="26" t="str">
        <f aca="false">IF(G507="","",G507-N(H507))</f>
        <v/>
      </c>
      <c r="N507" s="26" t="str">
        <f aca="false">IF(G507="","",G507-N(K507)-N(L507))</f>
        <v/>
      </c>
      <c r="O507" s="27" t="str">
        <f aca="false">IF(G507="","",IF(N(H507)&gt;=G507,"Pago",IF(N(H507)&gt;0,"Parcial","Pendente")))</f>
        <v/>
      </c>
      <c r="P507" s="24"/>
    </row>
    <row r="508" customFormat="false" ht="15" hidden="false" customHeight="false" outlineLevel="0" collapsed="false">
      <c r="A508" s="22"/>
      <c r="B508" s="23"/>
      <c r="C508" s="24"/>
      <c r="D508" s="24"/>
      <c r="E508" s="24"/>
      <c r="F508" s="24"/>
      <c r="G508" s="25"/>
      <c r="H508" s="25"/>
      <c r="I508" s="24"/>
      <c r="J508" s="24"/>
      <c r="K508" s="25"/>
      <c r="L508" s="25"/>
      <c r="M508" s="26" t="str">
        <f aca="false">IF(G508="","",G508-N(H508))</f>
        <v/>
      </c>
      <c r="N508" s="26" t="str">
        <f aca="false">IF(G508="","",G508-N(K508)-N(L508))</f>
        <v/>
      </c>
      <c r="O508" s="27" t="str">
        <f aca="false">IF(G508="","",IF(N(H508)&gt;=G508,"Pago",IF(N(H508)&gt;0,"Parcial","Pendente")))</f>
        <v/>
      </c>
      <c r="P508" s="24"/>
    </row>
    <row r="509" customFormat="false" ht="15" hidden="false" customHeight="false" outlineLevel="0" collapsed="false">
      <c r="A509" s="22"/>
      <c r="B509" s="23"/>
      <c r="C509" s="24"/>
      <c r="D509" s="24"/>
      <c r="E509" s="24"/>
      <c r="F509" s="24"/>
      <c r="G509" s="25"/>
      <c r="H509" s="25"/>
      <c r="I509" s="24"/>
      <c r="J509" s="24"/>
      <c r="K509" s="25"/>
      <c r="L509" s="25"/>
      <c r="M509" s="26" t="str">
        <f aca="false">IF(G509="","",G509-N(H509))</f>
        <v/>
      </c>
      <c r="N509" s="26" t="str">
        <f aca="false">IF(G509="","",G509-N(K509)-N(L509))</f>
        <v/>
      </c>
      <c r="O509" s="27" t="str">
        <f aca="false">IF(G509="","",IF(N(H509)&gt;=G509,"Pago",IF(N(H509)&gt;0,"Parcial","Pendente")))</f>
        <v/>
      </c>
      <c r="P509" s="24"/>
    </row>
    <row r="510" customFormat="false" ht="15" hidden="false" customHeight="false" outlineLevel="0" collapsed="false">
      <c r="A510" s="22"/>
      <c r="B510" s="23"/>
      <c r="C510" s="24"/>
      <c r="D510" s="24"/>
      <c r="E510" s="24"/>
      <c r="F510" s="24"/>
      <c r="G510" s="25"/>
      <c r="H510" s="25"/>
      <c r="I510" s="24"/>
      <c r="J510" s="24"/>
      <c r="K510" s="25"/>
      <c r="L510" s="25"/>
      <c r="M510" s="26" t="str">
        <f aca="false">IF(G510="","",G510-N(H510))</f>
        <v/>
      </c>
      <c r="N510" s="26" t="str">
        <f aca="false">IF(G510="","",G510-N(K510)-N(L510))</f>
        <v/>
      </c>
      <c r="O510" s="27" t="str">
        <f aca="false">IF(G510="","",IF(N(H510)&gt;=G510,"Pago",IF(N(H510)&gt;0,"Parcial","Pendente")))</f>
        <v/>
      </c>
      <c r="P510" s="24"/>
    </row>
    <row r="511" customFormat="false" ht="15" hidden="false" customHeight="false" outlineLevel="0" collapsed="false">
      <c r="A511" s="22"/>
      <c r="B511" s="23"/>
      <c r="C511" s="24"/>
      <c r="D511" s="24"/>
      <c r="E511" s="24"/>
      <c r="F511" s="24"/>
      <c r="G511" s="25"/>
      <c r="H511" s="25"/>
      <c r="I511" s="24"/>
      <c r="J511" s="24"/>
      <c r="K511" s="25"/>
      <c r="L511" s="25"/>
      <c r="M511" s="26" t="str">
        <f aca="false">IF(G511="","",G511-N(H511))</f>
        <v/>
      </c>
      <c r="N511" s="26" t="str">
        <f aca="false">IF(G511="","",G511-N(K511)-N(L511))</f>
        <v/>
      </c>
      <c r="O511" s="27" t="str">
        <f aca="false">IF(G511="","",IF(N(H511)&gt;=G511,"Pago",IF(N(H511)&gt;0,"Parcial","Pendente")))</f>
        <v/>
      </c>
      <c r="P511" s="24"/>
    </row>
    <row r="512" customFormat="false" ht="15" hidden="false" customHeight="false" outlineLevel="0" collapsed="false">
      <c r="A512" s="22"/>
      <c r="B512" s="23"/>
      <c r="C512" s="24"/>
      <c r="D512" s="24"/>
      <c r="E512" s="24"/>
      <c r="F512" s="24"/>
      <c r="G512" s="25"/>
      <c r="H512" s="25"/>
      <c r="I512" s="24"/>
      <c r="J512" s="24"/>
      <c r="K512" s="25"/>
      <c r="L512" s="25"/>
      <c r="M512" s="26" t="str">
        <f aca="false">IF(G512="","",G512-N(H512))</f>
        <v/>
      </c>
      <c r="N512" s="26" t="str">
        <f aca="false">IF(G512="","",G512-N(K512)-N(L512))</f>
        <v/>
      </c>
      <c r="O512" s="27" t="str">
        <f aca="false">IF(G512="","",IF(N(H512)&gt;=G512,"Pago",IF(N(H512)&gt;0,"Parcial","Pendente")))</f>
        <v/>
      </c>
      <c r="P512" s="24"/>
    </row>
    <row r="513" customFormat="false" ht="15" hidden="false" customHeight="false" outlineLevel="0" collapsed="false">
      <c r="A513" s="22"/>
      <c r="B513" s="23"/>
      <c r="C513" s="24"/>
      <c r="D513" s="24"/>
      <c r="E513" s="24"/>
      <c r="F513" s="24"/>
      <c r="G513" s="25"/>
      <c r="H513" s="25"/>
      <c r="I513" s="24"/>
      <c r="J513" s="24"/>
      <c r="K513" s="25"/>
      <c r="L513" s="25"/>
      <c r="M513" s="26" t="str">
        <f aca="false">IF(G513="","",G513-N(H513))</f>
        <v/>
      </c>
      <c r="N513" s="26" t="str">
        <f aca="false">IF(G513="","",G513-N(K513)-N(L513))</f>
        <v/>
      </c>
      <c r="O513" s="27" t="str">
        <f aca="false">IF(G513="","",IF(N(H513)&gt;=G513,"Pago",IF(N(H513)&gt;0,"Parcial","Pendente")))</f>
        <v/>
      </c>
      <c r="P513" s="24"/>
    </row>
    <row r="514" customFormat="false" ht="15" hidden="false" customHeight="false" outlineLevel="0" collapsed="false">
      <c r="A514" s="22"/>
      <c r="B514" s="23"/>
      <c r="C514" s="24"/>
      <c r="D514" s="24"/>
      <c r="E514" s="24"/>
      <c r="F514" s="24"/>
      <c r="G514" s="25"/>
      <c r="H514" s="25"/>
      <c r="I514" s="24"/>
      <c r="J514" s="24"/>
      <c r="K514" s="25"/>
      <c r="L514" s="25"/>
      <c r="M514" s="26" t="str">
        <f aca="false">IF(G514="","",G514-N(H514))</f>
        <v/>
      </c>
      <c r="N514" s="26" t="str">
        <f aca="false">IF(G514="","",G514-N(K514)-N(L514))</f>
        <v/>
      </c>
      <c r="O514" s="27" t="str">
        <f aca="false">IF(G514="","",IF(N(H514)&gt;=G514,"Pago",IF(N(H514)&gt;0,"Parcial","Pendente")))</f>
        <v/>
      </c>
      <c r="P514" s="24"/>
    </row>
    <row r="515" customFormat="false" ht="15" hidden="false" customHeight="false" outlineLevel="0" collapsed="false">
      <c r="A515" s="22"/>
      <c r="B515" s="23"/>
      <c r="C515" s="24"/>
      <c r="D515" s="24"/>
      <c r="E515" s="24"/>
      <c r="F515" s="24"/>
      <c r="G515" s="25"/>
      <c r="H515" s="25"/>
      <c r="I515" s="24"/>
      <c r="J515" s="24"/>
      <c r="K515" s="25"/>
      <c r="L515" s="25"/>
      <c r="M515" s="26" t="str">
        <f aca="false">IF(G515="","",G515-N(H515))</f>
        <v/>
      </c>
      <c r="N515" s="26" t="str">
        <f aca="false">IF(G515="","",G515-N(K515)-N(L515))</f>
        <v/>
      </c>
      <c r="O515" s="27" t="str">
        <f aca="false">IF(G515="","",IF(N(H515)&gt;=G515,"Pago",IF(N(H515)&gt;0,"Parcial","Pendente")))</f>
        <v/>
      </c>
      <c r="P515" s="24"/>
    </row>
    <row r="516" customFormat="false" ht="15" hidden="false" customHeight="false" outlineLevel="0" collapsed="false">
      <c r="A516" s="22"/>
      <c r="B516" s="23"/>
      <c r="C516" s="24"/>
      <c r="D516" s="24"/>
      <c r="E516" s="24"/>
      <c r="F516" s="24"/>
      <c r="G516" s="25"/>
      <c r="H516" s="25"/>
      <c r="I516" s="24"/>
      <c r="J516" s="24"/>
      <c r="K516" s="25"/>
      <c r="L516" s="25"/>
      <c r="M516" s="26" t="str">
        <f aca="false">IF(G516="","",G516-N(H516))</f>
        <v/>
      </c>
      <c r="N516" s="26" t="str">
        <f aca="false">IF(G516="","",G516-N(K516)-N(L516))</f>
        <v/>
      </c>
      <c r="O516" s="27" t="str">
        <f aca="false">IF(G516="","",IF(N(H516)&gt;=G516,"Pago",IF(N(H516)&gt;0,"Parcial","Pendente")))</f>
        <v/>
      </c>
      <c r="P516" s="24"/>
    </row>
    <row r="517" customFormat="false" ht="15" hidden="false" customHeight="false" outlineLevel="0" collapsed="false">
      <c r="A517" s="22"/>
      <c r="B517" s="23"/>
      <c r="C517" s="24"/>
      <c r="D517" s="24"/>
      <c r="E517" s="24"/>
      <c r="F517" s="24"/>
      <c r="G517" s="25"/>
      <c r="H517" s="25"/>
      <c r="I517" s="24"/>
      <c r="J517" s="24"/>
      <c r="K517" s="25"/>
      <c r="L517" s="25"/>
      <c r="M517" s="26" t="str">
        <f aca="false">IF(G517="","",G517-N(H517))</f>
        <v/>
      </c>
      <c r="N517" s="26" t="str">
        <f aca="false">IF(G517="","",G517-N(K517)-N(L517))</f>
        <v/>
      </c>
      <c r="O517" s="27" t="str">
        <f aca="false">IF(G517="","",IF(N(H517)&gt;=G517,"Pago",IF(N(H517)&gt;0,"Parcial","Pendente")))</f>
        <v/>
      </c>
      <c r="P517" s="24"/>
    </row>
    <row r="518" customFormat="false" ht="15" hidden="false" customHeight="false" outlineLevel="0" collapsed="false">
      <c r="A518" s="22"/>
      <c r="B518" s="23"/>
      <c r="C518" s="24"/>
      <c r="D518" s="24"/>
      <c r="E518" s="24"/>
      <c r="F518" s="24"/>
      <c r="G518" s="25"/>
      <c r="H518" s="25"/>
      <c r="I518" s="24"/>
      <c r="J518" s="24"/>
      <c r="K518" s="25"/>
      <c r="L518" s="25"/>
      <c r="M518" s="26" t="str">
        <f aca="false">IF(G518="","",G518-N(H518))</f>
        <v/>
      </c>
      <c r="N518" s="26" t="str">
        <f aca="false">IF(G518="","",G518-N(K518)-N(L518))</f>
        <v/>
      </c>
      <c r="O518" s="27" t="str">
        <f aca="false">IF(G518="","",IF(N(H518)&gt;=G518,"Pago",IF(N(H518)&gt;0,"Parcial","Pendente")))</f>
        <v/>
      </c>
      <c r="P518" s="24"/>
    </row>
    <row r="519" customFormat="false" ht="15" hidden="false" customHeight="false" outlineLevel="0" collapsed="false">
      <c r="A519" s="22"/>
      <c r="B519" s="23"/>
      <c r="C519" s="24"/>
      <c r="D519" s="24"/>
      <c r="E519" s="24"/>
      <c r="F519" s="24"/>
      <c r="G519" s="25"/>
      <c r="H519" s="25"/>
      <c r="I519" s="24"/>
      <c r="J519" s="24"/>
      <c r="K519" s="25"/>
      <c r="L519" s="25"/>
      <c r="M519" s="26" t="str">
        <f aca="false">IF(G519="","",G519-N(H519))</f>
        <v/>
      </c>
      <c r="N519" s="26" t="str">
        <f aca="false">IF(G519="","",G519-N(K519)-N(L519))</f>
        <v/>
      </c>
      <c r="O519" s="27" t="str">
        <f aca="false">IF(G519="","",IF(N(H519)&gt;=G519,"Pago",IF(N(H519)&gt;0,"Parcial","Pendente")))</f>
        <v/>
      </c>
      <c r="P519" s="24"/>
    </row>
    <row r="520" customFormat="false" ht="15" hidden="false" customHeight="false" outlineLevel="0" collapsed="false">
      <c r="A520" s="22"/>
      <c r="B520" s="23"/>
      <c r="C520" s="24"/>
      <c r="D520" s="24"/>
      <c r="E520" s="24"/>
      <c r="F520" s="24"/>
      <c r="G520" s="25"/>
      <c r="H520" s="25"/>
      <c r="I520" s="24"/>
      <c r="J520" s="24"/>
      <c r="K520" s="25"/>
      <c r="L520" s="25"/>
      <c r="M520" s="26" t="str">
        <f aca="false">IF(G520="","",G520-N(H520))</f>
        <v/>
      </c>
      <c r="N520" s="26" t="str">
        <f aca="false">IF(G520="","",G520-N(K520)-N(L520))</f>
        <v/>
      </c>
      <c r="O520" s="27" t="str">
        <f aca="false">IF(G520="","",IF(N(H520)&gt;=G520,"Pago",IF(N(H520)&gt;0,"Parcial","Pendente")))</f>
        <v/>
      </c>
      <c r="P520" s="24"/>
    </row>
    <row r="521" customFormat="false" ht="15" hidden="false" customHeight="false" outlineLevel="0" collapsed="false">
      <c r="A521" s="22"/>
      <c r="B521" s="23"/>
      <c r="C521" s="24"/>
      <c r="D521" s="24"/>
      <c r="E521" s="24"/>
      <c r="F521" s="24"/>
      <c r="G521" s="25"/>
      <c r="H521" s="25"/>
      <c r="I521" s="24"/>
      <c r="J521" s="24"/>
      <c r="K521" s="25"/>
      <c r="L521" s="25"/>
      <c r="M521" s="26" t="str">
        <f aca="false">IF(G521="","",G521-N(H521))</f>
        <v/>
      </c>
      <c r="N521" s="26" t="str">
        <f aca="false">IF(G521="","",G521-N(K521)-N(L521))</f>
        <v/>
      </c>
      <c r="O521" s="27" t="str">
        <f aca="false">IF(G521="","",IF(N(H521)&gt;=G521,"Pago",IF(N(H521)&gt;0,"Parcial","Pendente")))</f>
        <v/>
      </c>
      <c r="P521" s="24"/>
    </row>
    <row r="522" customFormat="false" ht="15" hidden="false" customHeight="false" outlineLevel="0" collapsed="false">
      <c r="A522" s="22"/>
      <c r="B522" s="23"/>
      <c r="C522" s="24"/>
      <c r="D522" s="24"/>
      <c r="E522" s="24"/>
      <c r="F522" s="24"/>
      <c r="G522" s="25"/>
      <c r="H522" s="25"/>
      <c r="I522" s="24"/>
      <c r="J522" s="24"/>
      <c r="K522" s="25"/>
      <c r="L522" s="25"/>
      <c r="M522" s="26" t="str">
        <f aca="false">IF(G522="","",G522-N(H522))</f>
        <v/>
      </c>
      <c r="N522" s="26" t="str">
        <f aca="false">IF(G522="","",G522-N(K522)-N(L522))</f>
        <v/>
      </c>
      <c r="O522" s="27" t="str">
        <f aca="false">IF(G522="","",IF(N(H522)&gt;=G522,"Pago",IF(N(H522)&gt;0,"Parcial","Pendente")))</f>
        <v/>
      </c>
      <c r="P522" s="24"/>
    </row>
    <row r="523" customFormat="false" ht="15" hidden="false" customHeight="false" outlineLevel="0" collapsed="false">
      <c r="A523" s="22"/>
      <c r="B523" s="23"/>
      <c r="C523" s="24"/>
      <c r="D523" s="24"/>
      <c r="E523" s="24"/>
      <c r="F523" s="24"/>
      <c r="G523" s="25"/>
      <c r="H523" s="25"/>
      <c r="I523" s="24"/>
      <c r="J523" s="24"/>
      <c r="K523" s="25"/>
      <c r="L523" s="25"/>
      <c r="M523" s="26" t="str">
        <f aca="false">IF(G523="","",G523-N(H523))</f>
        <v/>
      </c>
      <c r="N523" s="26" t="str">
        <f aca="false">IF(G523="","",G523-N(K523)-N(L523))</f>
        <v/>
      </c>
      <c r="O523" s="27" t="str">
        <f aca="false">IF(G523="","",IF(N(H523)&gt;=G523,"Pago",IF(N(H523)&gt;0,"Parcial","Pendente")))</f>
        <v/>
      </c>
      <c r="P523" s="24"/>
    </row>
    <row r="524" customFormat="false" ht="15" hidden="false" customHeight="false" outlineLevel="0" collapsed="false">
      <c r="A524" s="22"/>
      <c r="B524" s="23"/>
      <c r="C524" s="24"/>
      <c r="D524" s="24"/>
      <c r="E524" s="24"/>
      <c r="F524" s="24"/>
      <c r="G524" s="25"/>
      <c r="H524" s="25"/>
      <c r="I524" s="24"/>
      <c r="J524" s="24"/>
      <c r="K524" s="25"/>
      <c r="L524" s="25"/>
      <c r="M524" s="26" t="str">
        <f aca="false">IF(G524="","",G524-N(H524))</f>
        <v/>
      </c>
      <c r="N524" s="26" t="str">
        <f aca="false">IF(G524="","",G524-N(K524)-N(L524))</f>
        <v/>
      </c>
      <c r="O524" s="27" t="str">
        <f aca="false">IF(G524="","",IF(N(H524)&gt;=G524,"Pago",IF(N(H524)&gt;0,"Parcial","Pendente")))</f>
        <v/>
      </c>
      <c r="P524" s="24"/>
    </row>
    <row r="525" customFormat="false" ht="15" hidden="false" customHeight="false" outlineLevel="0" collapsed="false">
      <c r="A525" s="22"/>
      <c r="B525" s="23"/>
      <c r="C525" s="24"/>
      <c r="D525" s="24"/>
      <c r="E525" s="24"/>
      <c r="F525" s="24"/>
      <c r="G525" s="25"/>
      <c r="H525" s="25"/>
      <c r="I525" s="24"/>
      <c r="J525" s="24"/>
      <c r="K525" s="25"/>
      <c r="L525" s="25"/>
      <c r="M525" s="26" t="str">
        <f aca="false">IF(G525="","",G525-N(H525))</f>
        <v/>
      </c>
      <c r="N525" s="26" t="str">
        <f aca="false">IF(G525="","",G525-N(K525)-N(L525))</f>
        <v/>
      </c>
      <c r="O525" s="27" t="str">
        <f aca="false">IF(G525="","",IF(N(H525)&gt;=G525,"Pago",IF(N(H525)&gt;0,"Parcial","Pendente")))</f>
        <v/>
      </c>
      <c r="P525" s="24"/>
    </row>
    <row r="526" customFormat="false" ht="15" hidden="false" customHeight="false" outlineLevel="0" collapsed="false">
      <c r="A526" s="22"/>
      <c r="B526" s="23"/>
      <c r="C526" s="24"/>
      <c r="D526" s="24"/>
      <c r="E526" s="24"/>
      <c r="F526" s="24"/>
      <c r="G526" s="25"/>
      <c r="H526" s="25"/>
      <c r="I526" s="24"/>
      <c r="J526" s="24"/>
      <c r="K526" s="25"/>
      <c r="L526" s="25"/>
      <c r="M526" s="26" t="str">
        <f aca="false">IF(G526="","",G526-N(H526))</f>
        <v/>
      </c>
      <c r="N526" s="26" t="str">
        <f aca="false">IF(G526="","",G526-N(K526)-N(L526))</f>
        <v/>
      </c>
      <c r="O526" s="27" t="str">
        <f aca="false">IF(G526="","",IF(N(H526)&gt;=G526,"Pago",IF(N(H526)&gt;0,"Parcial","Pendente")))</f>
        <v/>
      </c>
      <c r="P526" s="24"/>
    </row>
    <row r="527" customFormat="false" ht="15" hidden="false" customHeight="false" outlineLevel="0" collapsed="false">
      <c r="A527" s="22"/>
      <c r="B527" s="23"/>
      <c r="C527" s="24"/>
      <c r="D527" s="24"/>
      <c r="E527" s="24"/>
      <c r="F527" s="24"/>
      <c r="G527" s="25"/>
      <c r="H527" s="25"/>
      <c r="I527" s="24"/>
      <c r="J527" s="24"/>
      <c r="K527" s="25"/>
      <c r="L527" s="25"/>
      <c r="M527" s="26" t="str">
        <f aca="false">IF(G527="","",G527-N(H527))</f>
        <v/>
      </c>
      <c r="N527" s="26" t="str">
        <f aca="false">IF(G527="","",G527-N(K527)-N(L527))</f>
        <v/>
      </c>
      <c r="O527" s="27" t="str">
        <f aca="false">IF(G527="","",IF(N(H527)&gt;=G527,"Pago",IF(N(H527)&gt;0,"Parcial","Pendente")))</f>
        <v/>
      </c>
      <c r="P527" s="24"/>
    </row>
    <row r="528" customFormat="false" ht="15" hidden="false" customHeight="false" outlineLevel="0" collapsed="false">
      <c r="A528" s="22"/>
      <c r="B528" s="23"/>
      <c r="C528" s="24"/>
      <c r="D528" s="24"/>
      <c r="E528" s="24"/>
      <c r="F528" s="24"/>
      <c r="G528" s="25"/>
      <c r="H528" s="25"/>
      <c r="I528" s="24"/>
      <c r="J528" s="24"/>
      <c r="K528" s="25"/>
      <c r="L528" s="25"/>
      <c r="M528" s="26" t="str">
        <f aca="false">IF(G528="","",G528-N(H528))</f>
        <v/>
      </c>
      <c r="N528" s="26" t="str">
        <f aca="false">IF(G528="","",G528-N(K528)-N(L528))</f>
        <v/>
      </c>
      <c r="O528" s="27" t="str">
        <f aca="false">IF(G528="","",IF(N(H528)&gt;=G528,"Pago",IF(N(H528)&gt;0,"Parcial","Pendente")))</f>
        <v/>
      </c>
      <c r="P528" s="24"/>
    </row>
    <row r="529" customFormat="false" ht="15" hidden="false" customHeight="false" outlineLevel="0" collapsed="false">
      <c r="A529" s="22"/>
      <c r="B529" s="23"/>
      <c r="C529" s="24"/>
      <c r="D529" s="24"/>
      <c r="E529" s="24"/>
      <c r="F529" s="24"/>
      <c r="G529" s="25"/>
      <c r="H529" s="25"/>
      <c r="I529" s="24"/>
      <c r="J529" s="24"/>
      <c r="K529" s="25"/>
      <c r="L529" s="25"/>
      <c r="M529" s="26" t="str">
        <f aca="false">IF(G529="","",G529-N(H529))</f>
        <v/>
      </c>
      <c r="N529" s="26" t="str">
        <f aca="false">IF(G529="","",G529-N(K529)-N(L529))</f>
        <v/>
      </c>
      <c r="O529" s="27" t="str">
        <f aca="false">IF(G529="","",IF(N(H529)&gt;=G529,"Pago",IF(N(H529)&gt;0,"Parcial","Pendente")))</f>
        <v/>
      </c>
      <c r="P529" s="24"/>
    </row>
    <row r="530" customFormat="false" ht="15" hidden="false" customHeight="false" outlineLevel="0" collapsed="false">
      <c r="A530" s="22"/>
      <c r="B530" s="23"/>
      <c r="C530" s="24"/>
      <c r="D530" s="24"/>
      <c r="E530" s="24"/>
      <c r="F530" s="24"/>
      <c r="G530" s="25"/>
      <c r="H530" s="25"/>
      <c r="I530" s="24"/>
      <c r="J530" s="24"/>
      <c r="K530" s="25"/>
      <c r="L530" s="25"/>
      <c r="M530" s="26" t="str">
        <f aca="false">IF(G530="","",G530-N(H530))</f>
        <v/>
      </c>
      <c r="N530" s="26" t="str">
        <f aca="false">IF(G530="","",G530-N(K530)-N(L530))</f>
        <v/>
      </c>
      <c r="O530" s="27" t="str">
        <f aca="false">IF(G530="","",IF(N(H530)&gt;=G530,"Pago",IF(N(H530)&gt;0,"Parcial","Pendente")))</f>
        <v/>
      </c>
      <c r="P530" s="24"/>
    </row>
    <row r="531" customFormat="false" ht="15" hidden="false" customHeight="false" outlineLevel="0" collapsed="false">
      <c r="A531" s="22"/>
      <c r="B531" s="23"/>
      <c r="C531" s="24"/>
      <c r="D531" s="24"/>
      <c r="E531" s="24"/>
      <c r="F531" s="24"/>
      <c r="G531" s="25"/>
      <c r="H531" s="25"/>
      <c r="I531" s="24"/>
      <c r="J531" s="24"/>
      <c r="K531" s="25"/>
      <c r="L531" s="25"/>
      <c r="M531" s="26" t="str">
        <f aca="false">IF(G531="","",G531-N(H531))</f>
        <v/>
      </c>
      <c r="N531" s="26" t="str">
        <f aca="false">IF(G531="","",G531-N(K531)-N(L531))</f>
        <v/>
      </c>
      <c r="O531" s="27" t="str">
        <f aca="false">IF(G531="","",IF(N(H531)&gt;=G531,"Pago",IF(N(H531)&gt;0,"Parcial","Pendente")))</f>
        <v/>
      </c>
      <c r="P531" s="24"/>
    </row>
    <row r="532" customFormat="false" ht="15" hidden="false" customHeight="false" outlineLevel="0" collapsed="false">
      <c r="A532" s="22"/>
      <c r="B532" s="23"/>
      <c r="C532" s="24"/>
      <c r="D532" s="24"/>
      <c r="E532" s="24"/>
      <c r="F532" s="24"/>
      <c r="G532" s="25"/>
      <c r="H532" s="25"/>
      <c r="I532" s="24"/>
      <c r="J532" s="24"/>
      <c r="K532" s="25"/>
      <c r="L532" s="25"/>
      <c r="M532" s="26" t="str">
        <f aca="false">IF(G532="","",G532-N(H532))</f>
        <v/>
      </c>
      <c r="N532" s="26" t="str">
        <f aca="false">IF(G532="","",G532-N(K532)-N(L532))</f>
        <v/>
      </c>
      <c r="O532" s="27" t="str">
        <f aca="false">IF(G532="","",IF(N(H532)&gt;=G532,"Pago",IF(N(H532)&gt;0,"Parcial","Pendente")))</f>
        <v/>
      </c>
      <c r="P532" s="24"/>
    </row>
    <row r="533" customFormat="false" ht="15" hidden="false" customHeight="false" outlineLevel="0" collapsed="false">
      <c r="A533" s="22"/>
      <c r="B533" s="23"/>
      <c r="C533" s="24"/>
      <c r="D533" s="24"/>
      <c r="E533" s="24"/>
      <c r="F533" s="24"/>
      <c r="G533" s="25"/>
      <c r="H533" s="25"/>
      <c r="I533" s="24"/>
      <c r="J533" s="24"/>
      <c r="K533" s="25"/>
      <c r="L533" s="25"/>
      <c r="M533" s="26" t="str">
        <f aca="false">IF(G533="","",G533-N(H533))</f>
        <v/>
      </c>
      <c r="N533" s="26" t="str">
        <f aca="false">IF(G533="","",G533-N(K533)-N(L533))</f>
        <v/>
      </c>
      <c r="O533" s="27" t="str">
        <f aca="false">IF(G533="","",IF(N(H533)&gt;=G533,"Pago",IF(N(H533)&gt;0,"Parcial","Pendente")))</f>
        <v/>
      </c>
      <c r="P533" s="24"/>
    </row>
    <row r="534" customFormat="false" ht="15" hidden="false" customHeight="false" outlineLevel="0" collapsed="false">
      <c r="A534" s="22"/>
      <c r="B534" s="23"/>
      <c r="C534" s="24"/>
      <c r="D534" s="24"/>
      <c r="E534" s="24"/>
      <c r="F534" s="24"/>
      <c r="G534" s="25"/>
      <c r="H534" s="25"/>
      <c r="I534" s="24"/>
      <c r="J534" s="24"/>
      <c r="K534" s="25"/>
      <c r="L534" s="25"/>
      <c r="M534" s="26" t="str">
        <f aca="false">IF(G534="","",G534-N(H534))</f>
        <v/>
      </c>
      <c r="N534" s="26" t="str">
        <f aca="false">IF(G534="","",G534-N(K534)-N(L534))</f>
        <v/>
      </c>
      <c r="O534" s="27" t="str">
        <f aca="false">IF(G534="","",IF(N(H534)&gt;=G534,"Pago",IF(N(H534)&gt;0,"Parcial","Pendente")))</f>
        <v/>
      </c>
      <c r="P534" s="24"/>
    </row>
    <row r="535" customFormat="false" ht="15" hidden="false" customHeight="false" outlineLevel="0" collapsed="false">
      <c r="A535" s="22"/>
      <c r="B535" s="23"/>
      <c r="C535" s="24"/>
      <c r="D535" s="24"/>
      <c r="E535" s="24"/>
      <c r="F535" s="24"/>
      <c r="G535" s="25"/>
      <c r="H535" s="25"/>
      <c r="I535" s="24"/>
      <c r="J535" s="24"/>
      <c r="K535" s="25"/>
      <c r="L535" s="25"/>
      <c r="M535" s="26" t="str">
        <f aca="false">IF(G535="","",G535-N(H535))</f>
        <v/>
      </c>
      <c r="N535" s="26" t="str">
        <f aca="false">IF(G535="","",G535-N(K535)-N(L535))</f>
        <v/>
      </c>
      <c r="O535" s="27" t="str">
        <f aca="false">IF(G535="","",IF(N(H535)&gt;=G535,"Pago",IF(N(H535)&gt;0,"Parcial","Pendente")))</f>
        <v/>
      </c>
      <c r="P535" s="24"/>
    </row>
    <row r="536" customFormat="false" ht="15" hidden="false" customHeight="false" outlineLevel="0" collapsed="false">
      <c r="A536" s="22"/>
      <c r="B536" s="23"/>
      <c r="C536" s="24"/>
      <c r="D536" s="24"/>
      <c r="E536" s="24"/>
      <c r="F536" s="24"/>
      <c r="G536" s="25"/>
      <c r="H536" s="25"/>
      <c r="I536" s="24"/>
      <c r="J536" s="24"/>
      <c r="K536" s="25"/>
      <c r="L536" s="25"/>
      <c r="M536" s="26" t="str">
        <f aca="false">IF(G536="","",G536-N(H536))</f>
        <v/>
      </c>
      <c r="N536" s="26" t="str">
        <f aca="false">IF(G536="","",G536-N(K536)-N(L536))</f>
        <v/>
      </c>
      <c r="O536" s="27" t="str">
        <f aca="false">IF(G536="","",IF(N(H536)&gt;=G536,"Pago",IF(N(H536)&gt;0,"Parcial","Pendente")))</f>
        <v/>
      </c>
      <c r="P536" s="24"/>
    </row>
    <row r="537" customFormat="false" ht="15" hidden="false" customHeight="false" outlineLevel="0" collapsed="false">
      <c r="A537" s="22"/>
      <c r="B537" s="23"/>
      <c r="C537" s="24"/>
      <c r="D537" s="24"/>
      <c r="E537" s="24"/>
      <c r="F537" s="24"/>
      <c r="G537" s="25"/>
      <c r="H537" s="25"/>
      <c r="I537" s="24"/>
      <c r="J537" s="24"/>
      <c r="K537" s="25"/>
      <c r="L537" s="25"/>
      <c r="M537" s="26" t="str">
        <f aca="false">IF(G537="","",G537-N(H537))</f>
        <v/>
      </c>
      <c r="N537" s="26" t="str">
        <f aca="false">IF(G537="","",G537-N(K537)-N(L537))</f>
        <v/>
      </c>
      <c r="O537" s="27" t="str">
        <f aca="false">IF(G537="","",IF(N(H537)&gt;=G537,"Pago",IF(N(H537)&gt;0,"Parcial","Pendente")))</f>
        <v/>
      </c>
      <c r="P537" s="24"/>
    </row>
    <row r="538" customFormat="false" ht="15" hidden="false" customHeight="false" outlineLevel="0" collapsed="false">
      <c r="A538" s="22"/>
      <c r="B538" s="23"/>
      <c r="C538" s="24"/>
      <c r="D538" s="24"/>
      <c r="E538" s="24"/>
      <c r="F538" s="24"/>
      <c r="G538" s="25"/>
      <c r="H538" s="25"/>
      <c r="I538" s="24"/>
      <c r="J538" s="24"/>
      <c r="K538" s="25"/>
      <c r="L538" s="25"/>
      <c r="M538" s="26" t="str">
        <f aca="false">IF(G538="","",G538-N(H538))</f>
        <v/>
      </c>
      <c r="N538" s="26" t="str">
        <f aca="false">IF(G538="","",G538-N(K538)-N(L538))</f>
        <v/>
      </c>
      <c r="O538" s="27" t="str">
        <f aca="false">IF(G538="","",IF(N(H538)&gt;=G538,"Pago",IF(N(H538)&gt;0,"Parcial","Pendente")))</f>
        <v/>
      </c>
      <c r="P538" s="24"/>
    </row>
    <row r="539" customFormat="false" ht="15" hidden="false" customHeight="false" outlineLevel="0" collapsed="false">
      <c r="A539" s="22"/>
      <c r="B539" s="23"/>
      <c r="C539" s="24"/>
      <c r="D539" s="24"/>
      <c r="E539" s="24"/>
      <c r="F539" s="24"/>
      <c r="G539" s="25"/>
      <c r="H539" s="25"/>
      <c r="I539" s="24"/>
      <c r="J539" s="24"/>
      <c r="K539" s="25"/>
      <c r="L539" s="25"/>
      <c r="M539" s="26" t="str">
        <f aca="false">IF(G539="","",G539-N(H539))</f>
        <v/>
      </c>
      <c r="N539" s="26" t="str">
        <f aca="false">IF(G539="","",G539-N(K539)-N(L539))</f>
        <v/>
      </c>
      <c r="O539" s="27" t="str">
        <f aca="false">IF(G539="","",IF(N(H539)&gt;=G539,"Pago",IF(N(H539)&gt;0,"Parcial","Pendente")))</f>
        <v/>
      </c>
      <c r="P539" s="24"/>
    </row>
    <row r="540" customFormat="false" ht="15" hidden="false" customHeight="false" outlineLevel="0" collapsed="false">
      <c r="A540" s="22"/>
      <c r="B540" s="23"/>
      <c r="C540" s="24"/>
      <c r="D540" s="24"/>
      <c r="E540" s="24"/>
      <c r="F540" s="24"/>
      <c r="G540" s="25"/>
      <c r="H540" s="25"/>
      <c r="I540" s="24"/>
      <c r="J540" s="24"/>
      <c r="K540" s="25"/>
      <c r="L540" s="25"/>
      <c r="M540" s="26" t="str">
        <f aca="false">IF(G540="","",G540-N(H540))</f>
        <v/>
      </c>
      <c r="N540" s="26" t="str">
        <f aca="false">IF(G540="","",G540-N(K540)-N(L540))</f>
        <v/>
      </c>
      <c r="O540" s="27" t="str">
        <f aca="false">IF(G540="","",IF(N(H540)&gt;=G540,"Pago",IF(N(H540)&gt;0,"Parcial","Pendente")))</f>
        <v/>
      </c>
      <c r="P540" s="24"/>
    </row>
    <row r="541" customFormat="false" ht="15" hidden="false" customHeight="false" outlineLevel="0" collapsed="false">
      <c r="A541" s="22"/>
      <c r="B541" s="23"/>
      <c r="C541" s="24"/>
      <c r="D541" s="24"/>
      <c r="E541" s="24"/>
      <c r="F541" s="24"/>
      <c r="G541" s="25"/>
      <c r="H541" s="25"/>
      <c r="I541" s="24"/>
      <c r="J541" s="24"/>
      <c r="K541" s="25"/>
      <c r="L541" s="25"/>
      <c r="M541" s="26" t="str">
        <f aca="false">IF(G541="","",G541-N(H541))</f>
        <v/>
      </c>
      <c r="N541" s="26" t="str">
        <f aca="false">IF(G541="","",G541-N(K541)-N(L541))</f>
        <v/>
      </c>
      <c r="O541" s="27" t="str">
        <f aca="false">IF(G541="","",IF(N(H541)&gt;=G541,"Pago",IF(N(H541)&gt;0,"Parcial","Pendente")))</f>
        <v/>
      </c>
      <c r="P541" s="24"/>
    </row>
    <row r="542" customFormat="false" ht="15" hidden="false" customHeight="false" outlineLevel="0" collapsed="false">
      <c r="A542" s="22"/>
      <c r="B542" s="23"/>
      <c r="C542" s="24"/>
      <c r="D542" s="24"/>
      <c r="E542" s="24"/>
      <c r="F542" s="24"/>
      <c r="G542" s="25"/>
      <c r="H542" s="25"/>
      <c r="I542" s="24"/>
      <c r="J542" s="24"/>
      <c r="K542" s="25"/>
      <c r="L542" s="25"/>
      <c r="M542" s="26" t="str">
        <f aca="false">IF(G542="","",G542-N(H542))</f>
        <v/>
      </c>
      <c r="N542" s="26" t="str">
        <f aca="false">IF(G542="","",G542-N(K542)-N(L542))</f>
        <v/>
      </c>
      <c r="O542" s="27" t="str">
        <f aca="false">IF(G542="","",IF(N(H542)&gt;=G542,"Pago",IF(N(H542)&gt;0,"Parcial","Pendente")))</f>
        <v/>
      </c>
      <c r="P542" s="24"/>
    </row>
    <row r="543" customFormat="false" ht="15" hidden="false" customHeight="false" outlineLevel="0" collapsed="false">
      <c r="A543" s="22"/>
      <c r="B543" s="23"/>
      <c r="C543" s="24"/>
      <c r="D543" s="24"/>
      <c r="E543" s="24"/>
      <c r="F543" s="24"/>
      <c r="G543" s="25"/>
      <c r="H543" s="25"/>
      <c r="I543" s="24"/>
      <c r="J543" s="24"/>
      <c r="K543" s="25"/>
      <c r="L543" s="25"/>
      <c r="M543" s="26" t="str">
        <f aca="false">IF(G543="","",G543-N(H543))</f>
        <v/>
      </c>
      <c r="N543" s="26" t="str">
        <f aca="false">IF(G543="","",G543-N(K543)-N(L543))</f>
        <v/>
      </c>
      <c r="O543" s="27" t="str">
        <f aca="false">IF(G543="","",IF(N(H543)&gt;=G543,"Pago",IF(N(H543)&gt;0,"Parcial","Pendente")))</f>
        <v/>
      </c>
      <c r="P543" s="24"/>
    </row>
    <row r="544" customFormat="false" ht="15" hidden="false" customHeight="false" outlineLevel="0" collapsed="false">
      <c r="A544" s="22"/>
      <c r="B544" s="23"/>
      <c r="C544" s="24"/>
      <c r="D544" s="24"/>
      <c r="E544" s="24"/>
      <c r="F544" s="24"/>
      <c r="G544" s="25"/>
      <c r="H544" s="25"/>
      <c r="I544" s="24"/>
      <c r="J544" s="24"/>
      <c r="K544" s="25"/>
      <c r="L544" s="25"/>
      <c r="M544" s="26" t="str">
        <f aca="false">IF(G544="","",G544-N(H544))</f>
        <v/>
      </c>
      <c r="N544" s="26" t="str">
        <f aca="false">IF(G544="","",G544-N(K544)-N(L544))</f>
        <v/>
      </c>
      <c r="O544" s="27" t="str">
        <f aca="false">IF(G544="","",IF(N(H544)&gt;=G544,"Pago",IF(N(H544)&gt;0,"Parcial","Pendente")))</f>
        <v/>
      </c>
      <c r="P544" s="24"/>
    </row>
    <row r="545" customFormat="false" ht="15" hidden="false" customHeight="false" outlineLevel="0" collapsed="false">
      <c r="A545" s="22"/>
      <c r="B545" s="23"/>
      <c r="C545" s="24"/>
      <c r="D545" s="24"/>
      <c r="E545" s="24"/>
      <c r="F545" s="24"/>
      <c r="G545" s="25"/>
      <c r="H545" s="25"/>
      <c r="I545" s="24"/>
      <c r="J545" s="24"/>
      <c r="K545" s="25"/>
      <c r="L545" s="25"/>
      <c r="M545" s="26" t="str">
        <f aca="false">IF(G545="","",G545-N(H545))</f>
        <v/>
      </c>
      <c r="N545" s="26" t="str">
        <f aca="false">IF(G545="","",G545-N(K545)-N(L545))</f>
        <v/>
      </c>
      <c r="O545" s="27" t="str">
        <f aca="false">IF(G545="","",IF(N(H545)&gt;=G545,"Pago",IF(N(H545)&gt;0,"Parcial","Pendente")))</f>
        <v/>
      </c>
      <c r="P545" s="24"/>
    </row>
    <row r="546" customFormat="false" ht="15" hidden="false" customHeight="false" outlineLevel="0" collapsed="false">
      <c r="A546" s="22"/>
      <c r="B546" s="23"/>
      <c r="C546" s="24"/>
      <c r="D546" s="24"/>
      <c r="E546" s="24"/>
      <c r="F546" s="24"/>
      <c r="G546" s="25"/>
      <c r="H546" s="25"/>
      <c r="I546" s="24"/>
      <c r="J546" s="24"/>
      <c r="K546" s="25"/>
      <c r="L546" s="25"/>
      <c r="M546" s="26" t="str">
        <f aca="false">IF(G546="","",G546-N(H546))</f>
        <v/>
      </c>
      <c r="N546" s="26" t="str">
        <f aca="false">IF(G546="","",G546-N(K546)-N(L546))</f>
        <v/>
      </c>
      <c r="O546" s="27" t="str">
        <f aca="false">IF(G546="","",IF(N(H546)&gt;=G546,"Pago",IF(N(H546)&gt;0,"Parcial","Pendente")))</f>
        <v/>
      </c>
      <c r="P546" s="24"/>
    </row>
    <row r="547" customFormat="false" ht="15" hidden="false" customHeight="false" outlineLevel="0" collapsed="false">
      <c r="A547" s="22"/>
      <c r="B547" s="23"/>
      <c r="C547" s="24"/>
      <c r="D547" s="24"/>
      <c r="E547" s="24"/>
      <c r="F547" s="24"/>
      <c r="G547" s="25"/>
      <c r="H547" s="25"/>
      <c r="I547" s="24"/>
      <c r="J547" s="24"/>
      <c r="K547" s="25"/>
      <c r="L547" s="25"/>
      <c r="M547" s="26" t="str">
        <f aca="false">IF(G547="","",G547-N(H547))</f>
        <v/>
      </c>
      <c r="N547" s="26" t="str">
        <f aca="false">IF(G547="","",G547-N(K547)-N(L547))</f>
        <v/>
      </c>
      <c r="O547" s="27" t="str">
        <f aca="false">IF(G547="","",IF(N(H547)&gt;=G547,"Pago",IF(N(H547)&gt;0,"Parcial","Pendente")))</f>
        <v/>
      </c>
      <c r="P547" s="24"/>
    </row>
    <row r="548" customFormat="false" ht="15" hidden="false" customHeight="false" outlineLevel="0" collapsed="false">
      <c r="A548" s="22"/>
      <c r="B548" s="23"/>
      <c r="C548" s="24"/>
      <c r="D548" s="24"/>
      <c r="E548" s="24"/>
      <c r="F548" s="24"/>
      <c r="G548" s="25"/>
      <c r="H548" s="25"/>
      <c r="I548" s="24"/>
      <c r="J548" s="24"/>
      <c r="K548" s="25"/>
      <c r="L548" s="25"/>
      <c r="M548" s="26" t="str">
        <f aca="false">IF(G548="","",G548-N(H548))</f>
        <v/>
      </c>
      <c r="N548" s="26" t="str">
        <f aca="false">IF(G548="","",G548-N(K548)-N(L548))</f>
        <v/>
      </c>
      <c r="O548" s="27" t="str">
        <f aca="false">IF(G548="","",IF(N(H548)&gt;=G548,"Pago",IF(N(H548)&gt;0,"Parcial","Pendente")))</f>
        <v/>
      </c>
      <c r="P548" s="24"/>
    </row>
    <row r="549" customFormat="false" ht="15" hidden="false" customHeight="false" outlineLevel="0" collapsed="false">
      <c r="A549" s="22"/>
      <c r="B549" s="23"/>
      <c r="C549" s="24"/>
      <c r="D549" s="24"/>
      <c r="E549" s="24"/>
      <c r="F549" s="24"/>
      <c r="G549" s="25"/>
      <c r="H549" s="25"/>
      <c r="I549" s="24"/>
      <c r="J549" s="24"/>
      <c r="K549" s="25"/>
      <c r="L549" s="25"/>
      <c r="M549" s="26" t="str">
        <f aca="false">IF(G549="","",G549-N(H549))</f>
        <v/>
      </c>
      <c r="N549" s="26" t="str">
        <f aca="false">IF(G549="","",G549-N(K549)-N(L549))</f>
        <v/>
      </c>
      <c r="O549" s="27" t="str">
        <f aca="false">IF(G549="","",IF(N(H549)&gt;=G549,"Pago",IF(N(H549)&gt;0,"Parcial","Pendente")))</f>
        <v/>
      </c>
      <c r="P549" s="24"/>
    </row>
    <row r="550" customFormat="false" ht="15" hidden="false" customHeight="false" outlineLevel="0" collapsed="false">
      <c r="A550" s="22"/>
      <c r="B550" s="23"/>
      <c r="C550" s="24"/>
      <c r="D550" s="24"/>
      <c r="E550" s="24"/>
      <c r="F550" s="24"/>
      <c r="G550" s="25"/>
      <c r="H550" s="25"/>
      <c r="I550" s="24"/>
      <c r="J550" s="24"/>
      <c r="K550" s="25"/>
      <c r="L550" s="25"/>
      <c r="M550" s="26" t="str">
        <f aca="false">IF(G550="","",G550-N(H550))</f>
        <v/>
      </c>
      <c r="N550" s="26" t="str">
        <f aca="false">IF(G550="","",G550-N(K550)-N(L550))</f>
        <v/>
      </c>
      <c r="O550" s="27" t="str">
        <f aca="false">IF(G550="","",IF(N(H550)&gt;=G550,"Pago",IF(N(H550)&gt;0,"Parcial","Pendente")))</f>
        <v/>
      </c>
      <c r="P550" s="24"/>
    </row>
    <row r="551" customFormat="false" ht="15" hidden="false" customHeight="false" outlineLevel="0" collapsed="false">
      <c r="A551" s="22"/>
      <c r="B551" s="23"/>
      <c r="C551" s="24"/>
      <c r="D551" s="24"/>
      <c r="E551" s="24"/>
      <c r="F551" s="24"/>
      <c r="G551" s="25"/>
      <c r="H551" s="25"/>
      <c r="I551" s="24"/>
      <c r="J551" s="24"/>
      <c r="K551" s="25"/>
      <c r="L551" s="25"/>
      <c r="M551" s="26" t="str">
        <f aca="false">IF(G551="","",G551-N(H551))</f>
        <v/>
      </c>
      <c r="N551" s="26" t="str">
        <f aca="false">IF(G551="","",G551-N(K551)-N(L551))</f>
        <v/>
      </c>
      <c r="O551" s="27" t="str">
        <f aca="false">IF(G551="","",IF(N(H551)&gt;=G551,"Pago",IF(N(H551)&gt;0,"Parcial","Pendente")))</f>
        <v/>
      </c>
      <c r="P551" s="24"/>
    </row>
    <row r="552" customFormat="false" ht="15" hidden="false" customHeight="false" outlineLevel="0" collapsed="false">
      <c r="A552" s="22"/>
      <c r="B552" s="23"/>
      <c r="C552" s="24"/>
      <c r="D552" s="24"/>
      <c r="E552" s="24"/>
      <c r="F552" s="24"/>
      <c r="G552" s="25"/>
      <c r="H552" s="25"/>
      <c r="I552" s="24"/>
      <c r="J552" s="24"/>
      <c r="K552" s="25"/>
      <c r="L552" s="25"/>
      <c r="M552" s="26" t="str">
        <f aca="false">IF(G552="","",G552-N(H552))</f>
        <v/>
      </c>
      <c r="N552" s="26" t="str">
        <f aca="false">IF(G552="","",G552-N(K552)-N(L552))</f>
        <v/>
      </c>
      <c r="O552" s="27" t="str">
        <f aca="false">IF(G552="","",IF(N(H552)&gt;=G552,"Pago",IF(N(H552)&gt;0,"Parcial","Pendente")))</f>
        <v/>
      </c>
      <c r="P552" s="24"/>
    </row>
    <row r="553" customFormat="false" ht="15" hidden="false" customHeight="false" outlineLevel="0" collapsed="false">
      <c r="A553" s="22"/>
      <c r="B553" s="23"/>
      <c r="C553" s="24"/>
      <c r="D553" s="24"/>
      <c r="E553" s="24"/>
      <c r="F553" s="24"/>
      <c r="G553" s="25"/>
      <c r="H553" s="25"/>
      <c r="I553" s="24"/>
      <c r="J553" s="24"/>
      <c r="K553" s="25"/>
      <c r="L553" s="25"/>
      <c r="M553" s="26" t="str">
        <f aca="false">IF(G553="","",G553-N(H553))</f>
        <v/>
      </c>
      <c r="N553" s="26" t="str">
        <f aca="false">IF(G553="","",G553-N(K553)-N(L553))</f>
        <v/>
      </c>
      <c r="O553" s="27" t="str">
        <f aca="false">IF(G553="","",IF(N(H553)&gt;=G553,"Pago",IF(N(H553)&gt;0,"Parcial","Pendente")))</f>
        <v/>
      </c>
      <c r="P553" s="24"/>
    </row>
    <row r="554" customFormat="false" ht="15" hidden="false" customHeight="false" outlineLevel="0" collapsed="false">
      <c r="A554" s="22"/>
      <c r="B554" s="23"/>
      <c r="C554" s="24"/>
      <c r="D554" s="24"/>
      <c r="E554" s="24"/>
      <c r="F554" s="24"/>
      <c r="G554" s="25"/>
      <c r="H554" s="25"/>
      <c r="I554" s="24"/>
      <c r="J554" s="24"/>
      <c r="K554" s="25"/>
      <c r="L554" s="25"/>
      <c r="M554" s="26" t="str">
        <f aca="false">IF(G554="","",G554-N(H554))</f>
        <v/>
      </c>
      <c r="N554" s="26" t="str">
        <f aca="false">IF(G554="","",G554-N(K554)-N(L554))</f>
        <v/>
      </c>
      <c r="O554" s="27" t="str">
        <f aca="false">IF(G554="","",IF(N(H554)&gt;=G554,"Pago",IF(N(H554)&gt;0,"Parcial","Pendente")))</f>
        <v/>
      </c>
      <c r="P554" s="24"/>
    </row>
    <row r="555" customFormat="false" ht="15" hidden="false" customHeight="false" outlineLevel="0" collapsed="false">
      <c r="A555" s="22"/>
      <c r="B555" s="23"/>
      <c r="C555" s="24"/>
      <c r="D555" s="24"/>
      <c r="E555" s="24"/>
      <c r="F555" s="24"/>
      <c r="G555" s="25"/>
      <c r="H555" s="25"/>
      <c r="I555" s="24"/>
      <c r="J555" s="24"/>
      <c r="K555" s="25"/>
      <c r="L555" s="25"/>
      <c r="M555" s="26" t="str">
        <f aca="false">IF(G555="","",G555-N(H555))</f>
        <v/>
      </c>
      <c r="N555" s="26" t="str">
        <f aca="false">IF(G555="","",G555-N(K555)-N(L555))</f>
        <v/>
      </c>
      <c r="O555" s="27" t="str">
        <f aca="false">IF(G555="","",IF(N(H555)&gt;=G555,"Pago",IF(N(H555)&gt;0,"Parcial","Pendente")))</f>
        <v/>
      </c>
      <c r="P555" s="24"/>
    </row>
    <row r="556" customFormat="false" ht="15" hidden="false" customHeight="false" outlineLevel="0" collapsed="false">
      <c r="A556" s="22"/>
      <c r="B556" s="23"/>
      <c r="C556" s="24"/>
      <c r="D556" s="24"/>
      <c r="E556" s="24"/>
      <c r="F556" s="24"/>
      <c r="G556" s="25"/>
      <c r="H556" s="25"/>
      <c r="I556" s="24"/>
      <c r="J556" s="24"/>
      <c r="K556" s="25"/>
      <c r="L556" s="25"/>
      <c r="M556" s="26" t="str">
        <f aca="false">IF(G556="","",G556-N(H556))</f>
        <v/>
      </c>
      <c r="N556" s="26" t="str">
        <f aca="false">IF(G556="","",G556-N(K556)-N(L556))</f>
        <v/>
      </c>
      <c r="O556" s="27" t="str">
        <f aca="false">IF(G556="","",IF(N(H556)&gt;=G556,"Pago",IF(N(H556)&gt;0,"Parcial","Pendente")))</f>
        <v/>
      </c>
      <c r="P556" s="24"/>
    </row>
    <row r="557" customFormat="false" ht="15" hidden="false" customHeight="false" outlineLevel="0" collapsed="false">
      <c r="A557" s="22"/>
      <c r="B557" s="23"/>
      <c r="C557" s="24"/>
      <c r="D557" s="24"/>
      <c r="E557" s="24"/>
      <c r="F557" s="24"/>
      <c r="G557" s="25"/>
      <c r="H557" s="25"/>
      <c r="I557" s="24"/>
      <c r="J557" s="24"/>
      <c r="K557" s="25"/>
      <c r="L557" s="25"/>
      <c r="M557" s="26" t="str">
        <f aca="false">IF(G557="","",G557-N(H557))</f>
        <v/>
      </c>
      <c r="N557" s="26" t="str">
        <f aca="false">IF(G557="","",G557-N(K557)-N(L557))</f>
        <v/>
      </c>
      <c r="O557" s="27" t="str">
        <f aca="false">IF(G557="","",IF(N(H557)&gt;=G557,"Pago",IF(N(H557)&gt;0,"Parcial","Pendente")))</f>
        <v/>
      </c>
      <c r="P557" s="24"/>
    </row>
    <row r="558" customFormat="false" ht="15" hidden="false" customHeight="false" outlineLevel="0" collapsed="false">
      <c r="A558" s="22"/>
      <c r="B558" s="23"/>
      <c r="C558" s="24"/>
      <c r="D558" s="24"/>
      <c r="E558" s="24"/>
      <c r="F558" s="24"/>
      <c r="G558" s="25"/>
      <c r="H558" s="25"/>
      <c r="I558" s="24"/>
      <c r="J558" s="24"/>
      <c r="K558" s="25"/>
      <c r="L558" s="25"/>
      <c r="M558" s="26" t="str">
        <f aca="false">IF(G558="","",G558-N(H558))</f>
        <v/>
      </c>
      <c r="N558" s="26" t="str">
        <f aca="false">IF(G558="","",G558-N(K558)-N(L558))</f>
        <v/>
      </c>
      <c r="O558" s="27" t="str">
        <f aca="false">IF(G558="","",IF(N(H558)&gt;=G558,"Pago",IF(N(H558)&gt;0,"Parcial","Pendente")))</f>
        <v/>
      </c>
      <c r="P558" s="24"/>
    </row>
    <row r="559" customFormat="false" ht="15" hidden="false" customHeight="false" outlineLevel="0" collapsed="false">
      <c r="A559" s="22"/>
      <c r="B559" s="23"/>
      <c r="C559" s="24"/>
      <c r="D559" s="24"/>
      <c r="E559" s="24"/>
      <c r="F559" s="24"/>
      <c r="G559" s="25"/>
      <c r="H559" s="25"/>
      <c r="I559" s="24"/>
      <c r="J559" s="24"/>
      <c r="K559" s="25"/>
      <c r="L559" s="25"/>
      <c r="M559" s="26" t="str">
        <f aca="false">IF(G559="","",G559-N(H559))</f>
        <v/>
      </c>
      <c r="N559" s="26" t="str">
        <f aca="false">IF(G559="","",G559-N(K559)-N(L559))</f>
        <v/>
      </c>
      <c r="O559" s="27" t="str">
        <f aca="false">IF(G559="","",IF(N(H559)&gt;=G559,"Pago",IF(N(H559)&gt;0,"Parcial","Pendente")))</f>
        <v/>
      </c>
      <c r="P559" s="24"/>
    </row>
    <row r="560" customFormat="false" ht="15" hidden="false" customHeight="false" outlineLevel="0" collapsed="false">
      <c r="A560" s="22"/>
      <c r="B560" s="23"/>
      <c r="C560" s="24"/>
      <c r="D560" s="24"/>
      <c r="E560" s="24"/>
      <c r="F560" s="24"/>
      <c r="G560" s="25"/>
      <c r="H560" s="25"/>
      <c r="I560" s="24"/>
      <c r="J560" s="24"/>
      <c r="K560" s="25"/>
      <c r="L560" s="25"/>
      <c r="M560" s="26" t="str">
        <f aca="false">IF(G560="","",G560-N(H560))</f>
        <v/>
      </c>
      <c r="N560" s="26" t="str">
        <f aca="false">IF(G560="","",G560-N(K560)-N(L560))</f>
        <v/>
      </c>
      <c r="O560" s="27" t="str">
        <f aca="false">IF(G560="","",IF(N(H560)&gt;=G560,"Pago",IF(N(H560)&gt;0,"Parcial","Pendente")))</f>
        <v/>
      </c>
      <c r="P560" s="24"/>
    </row>
    <row r="561" customFormat="false" ht="15" hidden="false" customHeight="false" outlineLevel="0" collapsed="false">
      <c r="A561" s="22"/>
      <c r="B561" s="23"/>
      <c r="C561" s="24"/>
      <c r="D561" s="24"/>
      <c r="E561" s="24"/>
      <c r="F561" s="24"/>
      <c r="G561" s="25"/>
      <c r="H561" s="25"/>
      <c r="I561" s="24"/>
      <c r="J561" s="24"/>
      <c r="K561" s="25"/>
      <c r="L561" s="25"/>
      <c r="M561" s="26" t="str">
        <f aca="false">IF(G561="","",G561-N(H561))</f>
        <v/>
      </c>
      <c r="N561" s="26" t="str">
        <f aca="false">IF(G561="","",G561-N(K561)-N(L561))</f>
        <v/>
      </c>
      <c r="O561" s="27" t="str">
        <f aca="false">IF(G561="","",IF(N(H561)&gt;=G561,"Pago",IF(N(H561)&gt;0,"Parcial","Pendente")))</f>
        <v/>
      </c>
      <c r="P561" s="24"/>
    </row>
    <row r="562" customFormat="false" ht="15" hidden="false" customHeight="false" outlineLevel="0" collapsed="false">
      <c r="A562" s="22"/>
      <c r="B562" s="23"/>
      <c r="C562" s="24"/>
      <c r="D562" s="24"/>
      <c r="E562" s="24"/>
      <c r="F562" s="24"/>
      <c r="G562" s="25"/>
      <c r="H562" s="25"/>
      <c r="I562" s="24"/>
      <c r="J562" s="24"/>
      <c r="K562" s="25"/>
      <c r="L562" s="25"/>
      <c r="M562" s="26" t="str">
        <f aca="false">IF(G562="","",G562-N(H562))</f>
        <v/>
      </c>
      <c r="N562" s="26" t="str">
        <f aca="false">IF(G562="","",G562-N(K562)-N(L562))</f>
        <v/>
      </c>
      <c r="O562" s="27" t="str">
        <f aca="false">IF(G562="","",IF(N(H562)&gt;=G562,"Pago",IF(N(H562)&gt;0,"Parcial","Pendente")))</f>
        <v/>
      </c>
      <c r="P562" s="24"/>
    </row>
    <row r="563" customFormat="false" ht="15" hidden="false" customHeight="false" outlineLevel="0" collapsed="false">
      <c r="A563" s="22"/>
      <c r="B563" s="23"/>
      <c r="C563" s="24"/>
      <c r="D563" s="24"/>
      <c r="E563" s="24"/>
      <c r="F563" s="24"/>
      <c r="G563" s="25"/>
      <c r="H563" s="25"/>
      <c r="I563" s="24"/>
      <c r="J563" s="24"/>
      <c r="K563" s="25"/>
      <c r="L563" s="25"/>
      <c r="M563" s="26" t="str">
        <f aca="false">IF(G563="","",G563-N(H563))</f>
        <v/>
      </c>
      <c r="N563" s="26" t="str">
        <f aca="false">IF(G563="","",G563-N(K563)-N(L563))</f>
        <v/>
      </c>
      <c r="O563" s="27" t="str">
        <f aca="false">IF(G563="","",IF(N(H563)&gt;=G563,"Pago",IF(N(H563)&gt;0,"Parcial","Pendente")))</f>
        <v/>
      </c>
      <c r="P563" s="24"/>
    </row>
    <row r="564" customFormat="false" ht="15" hidden="false" customHeight="false" outlineLevel="0" collapsed="false">
      <c r="A564" s="22"/>
      <c r="B564" s="23"/>
      <c r="C564" s="24"/>
      <c r="D564" s="24"/>
      <c r="E564" s="24"/>
      <c r="F564" s="24"/>
      <c r="G564" s="25"/>
      <c r="H564" s="25"/>
      <c r="I564" s="24"/>
      <c r="J564" s="24"/>
      <c r="K564" s="25"/>
      <c r="L564" s="25"/>
      <c r="M564" s="26" t="str">
        <f aca="false">IF(G564="","",G564-N(H564))</f>
        <v/>
      </c>
      <c r="N564" s="26" t="str">
        <f aca="false">IF(G564="","",G564-N(K564)-N(L564))</f>
        <v/>
      </c>
      <c r="O564" s="27" t="str">
        <f aca="false">IF(G564="","",IF(N(H564)&gt;=G564,"Pago",IF(N(H564)&gt;0,"Parcial","Pendente")))</f>
        <v/>
      </c>
      <c r="P564" s="24"/>
    </row>
    <row r="565" customFormat="false" ht="15" hidden="false" customHeight="false" outlineLevel="0" collapsed="false">
      <c r="A565" s="22"/>
      <c r="B565" s="23"/>
      <c r="C565" s="24"/>
      <c r="D565" s="24"/>
      <c r="E565" s="24"/>
      <c r="F565" s="24"/>
      <c r="G565" s="25"/>
      <c r="H565" s="25"/>
      <c r="I565" s="24"/>
      <c r="J565" s="24"/>
      <c r="K565" s="25"/>
      <c r="L565" s="25"/>
      <c r="M565" s="26" t="str">
        <f aca="false">IF(G565="","",G565-N(H565))</f>
        <v/>
      </c>
      <c r="N565" s="26" t="str">
        <f aca="false">IF(G565="","",G565-N(K565)-N(L565))</f>
        <v/>
      </c>
      <c r="O565" s="27" t="str">
        <f aca="false">IF(G565="","",IF(N(H565)&gt;=G565,"Pago",IF(N(H565)&gt;0,"Parcial","Pendente")))</f>
        <v/>
      </c>
      <c r="P565" s="24"/>
    </row>
    <row r="566" customFormat="false" ht="15" hidden="false" customHeight="false" outlineLevel="0" collapsed="false">
      <c r="A566" s="22"/>
      <c r="B566" s="23"/>
      <c r="C566" s="24"/>
      <c r="D566" s="24"/>
      <c r="E566" s="24"/>
      <c r="F566" s="24"/>
      <c r="G566" s="25"/>
      <c r="H566" s="25"/>
      <c r="I566" s="24"/>
      <c r="J566" s="24"/>
      <c r="K566" s="25"/>
      <c r="L566" s="25"/>
      <c r="M566" s="26" t="str">
        <f aca="false">IF(G566="","",G566-N(H566))</f>
        <v/>
      </c>
      <c r="N566" s="26" t="str">
        <f aca="false">IF(G566="","",G566-N(K566)-N(L566))</f>
        <v/>
      </c>
      <c r="O566" s="27" t="str">
        <f aca="false">IF(G566="","",IF(N(H566)&gt;=G566,"Pago",IF(N(H566)&gt;0,"Parcial","Pendente")))</f>
        <v/>
      </c>
      <c r="P566" s="24"/>
    </row>
    <row r="567" customFormat="false" ht="15" hidden="false" customHeight="false" outlineLevel="0" collapsed="false">
      <c r="A567" s="22"/>
      <c r="B567" s="23"/>
      <c r="C567" s="24"/>
      <c r="D567" s="24"/>
      <c r="E567" s="24"/>
      <c r="F567" s="24"/>
      <c r="G567" s="25"/>
      <c r="H567" s="25"/>
      <c r="I567" s="24"/>
      <c r="J567" s="24"/>
      <c r="K567" s="25"/>
      <c r="L567" s="25"/>
      <c r="M567" s="26" t="str">
        <f aca="false">IF(G567="","",G567-N(H567))</f>
        <v/>
      </c>
      <c r="N567" s="26" t="str">
        <f aca="false">IF(G567="","",G567-N(K567)-N(L567))</f>
        <v/>
      </c>
      <c r="O567" s="27" t="str">
        <f aca="false">IF(G567="","",IF(N(H567)&gt;=G567,"Pago",IF(N(H567)&gt;0,"Parcial","Pendente")))</f>
        <v/>
      </c>
      <c r="P567" s="24"/>
    </row>
    <row r="568" customFormat="false" ht="15" hidden="false" customHeight="false" outlineLevel="0" collapsed="false">
      <c r="A568" s="22"/>
      <c r="B568" s="23"/>
      <c r="C568" s="24"/>
      <c r="D568" s="24"/>
      <c r="E568" s="24"/>
      <c r="F568" s="24"/>
      <c r="G568" s="25"/>
      <c r="H568" s="25"/>
      <c r="I568" s="24"/>
      <c r="J568" s="24"/>
      <c r="K568" s="25"/>
      <c r="L568" s="25"/>
      <c r="M568" s="26" t="str">
        <f aca="false">IF(G568="","",G568-N(H568))</f>
        <v/>
      </c>
      <c r="N568" s="26" t="str">
        <f aca="false">IF(G568="","",G568-N(K568)-N(L568))</f>
        <v/>
      </c>
      <c r="O568" s="27" t="str">
        <f aca="false">IF(G568="","",IF(N(H568)&gt;=G568,"Pago",IF(N(H568)&gt;0,"Parcial","Pendente")))</f>
        <v/>
      </c>
      <c r="P568" s="24"/>
    </row>
    <row r="569" customFormat="false" ht="15" hidden="false" customHeight="false" outlineLevel="0" collapsed="false">
      <c r="A569" s="22"/>
      <c r="B569" s="23"/>
      <c r="C569" s="24"/>
      <c r="D569" s="24"/>
      <c r="E569" s="24"/>
      <c r="F569" s="24"/>
      <c r="G569" s="25"/>
      <c r="H569" s="25"/>
      <c r="I569" s="24"/>
      <c r="J569" s="24"/>
      <c r="K569" s="25"/>
      <c r="L569" s="25"/>
      <c r="M569" s="26" t="str">
        <f aca="false">IF(G569="","",G569-N(H569))</f>
        <v/>
      </c>
      <c r="N569" s="26" t="str">
        <f aca="false">IF(G569="","",G569-N(K569)-N(L569))</f>
        <v/>
      </c>
      <c r="O569" s="27" t="str">
        <f aca="false">IF(G569="","",IF(N(H569)&gt;=G569,"Pago",IF(N(H569)&gt;0,"Parcial","Pendente")))</f>
        <v/>
      </c>
      <c r="P569" s="24"/>
    </row>
    <row r="570" customFormat="false" ht="15" hidden="false" customHeight="false" outlineLevel="0" collapsed="false">
      <c r="A570" s="22"/>
      <c r="B570" s="23"/>
      <c r="C570" s="24"/>
      <c r="D570" s="24"/>
      <c r="E570" s="24"/>
      <c r="F570" s="24"/>
      <c r="G570" s="25"/>
      <c r="H570" s="25"/>
      <c r="I570" s="24"/>
      <c r="J570" s="24"/>
      <c r="K570" s="25"/>
      <c r="L570" s="25"/>
      <c r="M570" s="26" t="str">
        <f aca="false">IF(G570="","",G570-N(H570))</f>
        <v/>
      </c>
      <c r="N570" s="26" t="str">
        <f aca="false">IF(G570="","",G570-N(K570)-N(L570))</f>
        <v/>
      </c>
      <c r="O570" s="27" t="str">
        <f aca="false">IF(G570="","",IF(N(H570)&gt;=G570,"Pago",IF(N(H570)&gt;0,"Parcial","Pendente")))</f>
        <v/>
      </c>
      <c r="P570" s="24"/>
    </row>
    <row r="571" customFormat="false" ht="15" hidden="false" customHeight="false" outlineLevel="0" collapsed="false">
      <c r="A571" s="22"/>
      <c r="B571" s="23"/>
      <c r="C571" s="24"/>
      <c r="D571" s="24"/>
      <c r="E571" s="24"/>
      <c r="F571" s="24"/>
      <c r="G571" s="25"/>
      <c r="H571" s="25"/>
      <c r="I571" s="24"/>
      <c r="J571" s="24"/>
      <c r="K571" s="25"/>
      <c r="L571" s="25"/>
      <c r="M571" s="26" t="str">
        <f aca="false">IF(G571="","",G571-N(H571))</f>
        <v/>
      </c>
      <c r="N571" s="26" t="str">
        <f aca="false">IF(G571="","",G571-N(K571)-N(L571))</f>
        <v/>
      </c>
      <c r="O571" s="27" t="str">
        <f aca="false">IF(G571="","",IF(N(H571)&gt;=G571,"Pago",IF(N(H571)&gt;0,"Parcial","Pendente")))</f>
        <v/>
      </c>
      <c r="P571" s="24"/>
    </row>
    <row r="572" customFormat="false" ht="15" hidden="false" customHeight="false" outlineLevel="0" collapsed="false">
      <c r="A572" s="22"/>
      <c r="B572" s="23"/>
      <c r="C572" s="24"/>
      <c r="D572" s="24"/>
      <c r="E572" s="24"/>
      <c r="F572" s="24"/>
      <c r="G572" s="25"/>
      <c r="H572" s="25"/>
      <c r="I572" s="24"/>
      <c r="J572" s="24"/>
      <c r="K572" s="25"/>
      <c r="L572" s="25"/>
      <c r="M572" s="26" t="str">
        <f aca="false">IF(G572="","",G572-N(H572))</f>
        <v/>
      </c>
      <c r="N572" s="26" t="str">
        <f aca="false">IF(G572="","",G572-N(K572)-N(L572))</f>
        <v/>
      </c>
      <c r="O572" s="27" t="str">
        <f aca="false">IF(G572="","",IF(N(H572)&gt;=G572,"Pago",IF(N(H572)&gt;0,"Parcial","Pendente")))</f>
        <v/>
      </c>
      <c r="P572" s="24"/>
    </row>
    <row r="573" customFormat="false" ht="15" hidden="false" customHeight="false" outlineLevel="0" collapsed="false">
      <c r="A573" s="22"/>
      <c r="B573" s="23"/>
      <c r="C573" s="24"/>
      <c r="D573" s="24"/>
      <c r="E573" s="24"/>
      <c r="F573" s="24"/>
      <c r="G573" s="25"/>
      <c r="H573" s="25"/>
      <c r="I573" s="24"/>
      <c r="J573" s="24"/>
      <c r="K573" s="25"/>
      <c r="L573" s="25"/>
      <c r="M573" s="26" t="str">
        <f aca="false">IF(G573="","",G573-N(H573))</f>
        <v/>
      </c>
      <c r="N573" s="26" t="str">
        <f aca="false">IF(G573="","",G573-N(K573)-N(L573))</f>
        <v/>
      </c>
      <c r="O573" s="27" t="str">
        <f aca="false">IF(G573="","",IF(N(H573)&gt;=G573,"Pago",IF(N(H573)&gt;0,"Parcial","Pendente")))</f>
        <v/>
      </c>
      <c r="P573" s="24"/>
    </row>
    <row r="574" customFormat="false" ht="15" hidden="false" customHeight="false" outlineLevel="0" collapsed="false">
      <c r="A574" s="22"/>
      <c r="B574" s="23"/>
      <c r="C574" s="24"/>
      <c r="D574" s="24"/>
      <c r="E574" s="24"/>
      <c r="F574" s="24"/>
      <c r="G574" s="25"/>
      <c r="H574" s="25"/>
      <c r="I574" s="24"/>
      <c r="J574" s="24"/>
      <c r="K574" s="25"/>
      <c r="L574" s="25"/>
      <c r="M574" s="26" t="str">
        <f aca="false">IF(G574="","",G574-N(H574))</f>
        <v/>
      </c>
      <c r="N574" s="26" t="str">
        <f aca="false">IF(G574="","",G574-N(K574)-N(L574))</f>
        <v/>
      </c>
      <c r="O574" s="27" t="str">
        <f aca="false">IF(G574="","",IF(N(H574)&gt;=G574,"Pago",IF(N(H574)&gt;0,"Parcial","Pendente")))</f>
        <v/>
      </c>
      <c r="P574" s="24"/>
    </row>
    <row r="575" customFormat="false" ht="15" hidden="false" customHeight="false" outlineLevel="0" collapsed="false">
      <c r="A575" s="22"/>
      <c r="B575" s="23"/>
      <c r="C575" s="24"/>
      <c r="D575" s="24"/>
      <c r="E575" s="24"/>
      <c r="F575" s="24"/>
      <c r="G575" s="25"/>
      <c r="H575" s="25"/>
      <c r="I575" s="24"/>
      <c r="J575" s="24"/>
      <c r="K575" s="25"/>
      <c r="L575" s="25"/>
      <c r="M575" s="26" t="str">
        <f aca="false">IF(G575="","",G575-N(H575))</f>
        <v/>
      </c>
      <c r="N575" s="26" t="str">
        <f aca="false">IF(G575="","",G575-N(K575)-N(L575))</f>
        <v/>
      </c>
      <c r="O575" s="27" t="str">
        <f aca="false">IF(G575="","",IF(N(H575)&gt;=G575,"Pago",IF(N(H575)&gt;0,"Parcial","Pendente")))</f>
        <v/>
      </c>
      <c r="P575" s="24"/>
    </row>
    <row r="576" customFormat="false" ht="15" hidden="false" customHeight="false" outlineLevel="0" collapsed="false">
      <c r="A576" s="22"/>
      <c r="B576" s="23"/>
      <c r="C576" s="24"/>
      <c r="D576" s="24"/>
      <c r="E576" s="24"/>
      <c r="F576" s="24"/>
      <c r="G576" s="25"/>
      <c r="H576" s="25"/>
      <c r="I576" s="24"/>
      <c r="J576" s="24"/>
      <c r="K576" s="25"/>
      <c r="L576" s="25"/>
      <c r="M576" s="26" t="str">
        <f aca="false">IF(G576="","",G576-N(H576))</f>
        <v/>
      </c>
      <c r="N576" s="26" t="str">
        <f aca="false">IF(G576="","",G576-N(K576)-N(L576))</f>
        <v/>
      </c>
      <c r="O576" s="27" t="str">
        <f aca="false">IF(G576="","",IF(N(H576)&gt;=G576,"Pago",IF(N(H576)&gt;0,"Parcial","Pendente")))</f>
        <v/>
      </c>
      <c r="P576" s="24"/>
    </row>
    <row r="577" customFormat="false" ht="15" hidden="false" customHeight="false" outlineLevel="0" collapsed="false">
      <c r="A577" s="22"/>
      <c r="B577" s="23"/>
      <c r="C577" s="24"/>
      <c r="D577" s="24"/>
      <c r="E577" s="24"/>
      <c r="F577" s="24"/>
      <c r="G577" s="25"/>
      <c r="H577" s="25"/>
      <c r="I577" s="24"/>
      <c r="J577" s="24"/>
      <c r="K577" s="25"/>
      <c r="L577" s="25"/>
      <c r="M577" s="26" t="str">
        <f aca="false">IF(G577="","",G577-N(H577))</f>
        <v/>
      </c>
      <c r="N577" s="26" t="str">
        <f aca="false">IF(G577="","",G577-N(K577)-N(L577))</f>
        <v/>
      </c>
      <c r="O577" s="27" t="str">
        <f aca="false">IF(G577="","",IF(N(H577)&gt;=G577,"Pago",IF(N(H577)&gt;0,"Parcial","Pendente")))</f>
        <v/>
      </c>
      <c r="P577" s="24"/>
    </row>
    <row r="578" customFormat="false" ht="15" hidden="false" customHeight="false" outlineLevel="0" collapsed="false">
      <c r="A578" s="22"/>
      <c r="B578" s="23"/>
      <c r="C578" s="24"/>
      <c r="D578" s="24"/>
      <c r="E578" s="24"/>
      <c r="F578" s="24"/>
      <c r="G578" s="25"/>
      <c r="H578" s="25"/>
      <c r="I578" s="24"/>
      <c r="J578" s="24"/>
      <c r="K578" s="25"/>
      <c r="L578" s="25"/>
      <c r="M578" s="26" t="str">
        <f aca="false">IF(G578="","",G578-N(H578))</f>
        <v/>
      </c>
      <c r="N578" s="26" t="str">
        <f aca="false">IF(G578="","",G578-N(K578)-N(L578))</f>
        <v/>
      </c>
      <c r="O578" s="27" t="str">
        <f aca="false">IF(G578="","",IF(N(H578)&gt;=G578,"Pago",IF(N(H578)&gt;0,"Parcial","Pendente")))</f>
        <v/>
      </c>
      <c r="P578" s="24"/>
    </row>
    <row r="579" customFormat="false" ht="15" hidden="false" customHeight="false" outlineLevel="0" collapsed="false">
      <c r="A579" s="22"/>
      <c r="B579" s="23"/>
      <c r="C579" s="24"/>
      <c r="D579" s="24"/>
      <c r="E579" s="24"/>
      <c r="F579" s="24"/>
      <c r="G579" s="25"/>
      <c r="H579" s="25"/>
      <c r="I579" s="24"/>
      <c r="J579" s="24"/>
      <c r="K579" s="25"/>
      <c r="L579" s="25"/>
      <c r="M579" s="26" t="str">
        <f aca="false">IF(G579="","",G579-N(H579))</f>
        <v/>
      </c>
      <c r="N579" s="26" t="str">
        <f aca="false">IF(G579="","",G579-N(K579)-N(L579))</f>
        <v/>
      </c>
      <c r="O579" s="27" t="str">
        <f aca="false">IF(G579="","",IF(N(H579)&gt;=G579,"Pago",IF(N(H579)&gt;0,"Parcial","Pendente")))</f>
        <v/>
      </c>
      <c r="P579" s="24"/>
    </row>
    <row r="580" customFormat="false" ht="15" hidden="false" customHeight="false" outlineLevel="0" collapsed="false">
      <c r="A580" s="22"/>
      <c r="B580" s="23"/>
      <c r="C580" s="24"/>
      <c r="D580" s="24"/>
      <c r="E580" s="24"/>
      <c r="F580" s="24"/>
      <c r="G580" s="25"/>
      <c r="H580" s="25"/>
      <c r="I580" s="24"/>
      <c r="J580" s="24"/>
      <c r="K580" s="25"/>
      <c r="L580" s="25"/>
      <c r="M580" s="26" t="str">
        <f aca="false">IF(G580="","",G580-N(H580))</f>
        <v/>
      </c>
      <c r="N580" s="26" t="str">
        <f aca="false">IF(G580="","",G580-N(K580)-N(L580))</f>
        <v/>
      </c>
      <c r="O580" s="27" t="str">
        <f aca="false">IF(G580="","",IF(N(H580)&gt;=G580,"Pago",IF(N(H580)&gt;0,"Parcial","Pendente")))</f>
        <v/>
      </c>
      <c r="P580" s="24"/>
    </row>
    <row r="581" customFormat="false" ht="15" hidden="false" customHeight="false" outlineLevel="0" collapsed="false">
      <c r="A581" s="22"/>
      <c r="B581" s="23"/>
      <c r="C581" s="24"/>
      <c r="D581" s="24"/>
      <c r="E581" s="24"/>
      <c r="F581" s="24"/>
      <c r="G581" s="25"/>
      <c r="H581" s="25"/>
      <c r="I581" s="24"/>
      <c r="J581" s="24"/>
      <c r="K581" s="25"/>
      <c r="L581" s="25"/>
      <c r="M581" s="26" t="str">
        <f aca="false">IF(G581="","",G581-N(H581))</f>
        <v/>
      </c>
      <c r="N581" s="26" t="str">
        <f aca="false">IF(G581="","",G581-N(K581)-N(L581))</f>
        <v/>
      </c>
      <c r="O581" s="27" t="str">
        <f aca="false">IF(G581="","",IF(N(H581)&gt;=G581,"Pago",IF(N(H581)&gt;0,"Parcial","Pendente")))</f>
        <v/>
      </c>
      <c r="P581" s="24"/>
    </row>
    <row r="582" customFormat="false" ht="15" hidden="false" customHeight="false" outlineLevel="0" collapsed="false">
      <c r="A582" s="22"/>
      <c r="B582" s="23"/>
      <c r="C582" s="24"/>
      <c r="D582" s="24"/>
      <c r="E582" s="24"/>
      <c r="F582" s="24"/>
      <c r="G582" s="25"/>
      <c r="H582" s="25"/>
      <c r="I582" s="24"/>
      <c r="J582" s="24"/>
      <c r="K582" s="25"/>
      <c r="L582" s="25"/>
      <c r="M582" s="26" t="str">
        <f aca="false">IF(G582="","",G582-N(H582))</f>
        <v/>
      </c>
      <c r="N582" s="26" t="str">
        <f aca="false">IF(G582="","",G582-N(K582)-N(L582))</f>
        <v/>
      </c>
      <c r="O582" s="27" t="str">
        <f aca="false">IF(G582="","",IF(N(H582)&gt;=G582,"Pago",IF(N(H582)&gt;0,"Parcial","Pendente")))</f>
        <v/>
      </c>
      <c r="P582" s="24"/>
    </row>
    <row r="583" customFormat="false" ht="15" hidden="false" customHeight="false" outlineLevel="0" collapsed="false">
      <c r="A583" s="22"/>
      <c r="B583" s="23"/>
      <c r="C583" s="24"/>
      <c r="D583" s="24"/>
      <c r="E583" s="24"/>
      <c r="F583" s="24"/>
      <c r="G583" s="25"/>
      <c r="H583" s="25"/>
      <c r="I583" s="24"/>
      <c r="J583" s="24"/>
      <c r="K583" s="25"/>
      <c r="L583" s="25"/>
      <c r="M583" s="26" t="str">
        <f aca="false">IF(G583="","",G583-N(H583))</f>
        <v/>
      </c>
      <c r="N583" s="26" t="str">
        <f aca="false">IF(G583="","",G583-N(K583)-N(L583))</f>
        <v/>
      </c>
      <c r="O583" s="27" t="str">
        <f aca="false">IF(G583="","",IF(N(H583)&gt;=G583,"Pago",IF(N(H583)&gt;0,"Parcial","Pendente")))</f>
        <v/>
      </c>
      <c r="P583" s="24"/>
    </row>
    <row r="584" customFormat="false" ht="15" hidden="false" customHeight="false" outlineLevel="0" collapsed="false">
      <c r="A584" s="22"/>
      <c r="B584" s="23"/>
      <c r="C584" s="24"/>
      <c r="D584" s="24"/>
      <c r="E584" s="24"/>
      <c r="F584" s="24"/>
      <c r="G584" s="25"/>
      <c r="H584" s="25"/>
      <c r="I584" s="24"/>
      <c r="J584" s="24"/>
      <c r="K584" s="25"/>
      <c r="L584" s="25"/>
      <c r="M584" s="26" t="str">
        <f aca="false">IF(G584="","",G584-N(H584))</f>
        <v/>
      </c>
      <c r="N584" s="26" t="str">
        <f aca="false">IF(G584="","",G584-N(K584)-N(L584))</f>
        <v/>
      </c>
      <c r="O584" s="27" t="str">
        <f aca="false">IF(G584="","",IF(N(H584)&gt;=G584,"Pago",IF(N(H584)&gt;0,"Parcial","Pendente")))</f>
        <v/>
      </c>
      <c r="P584" s="24"/>
    </row>
    <row r="585" customFormat="false" ht="15" hidden="false" customHeight="false" outlineLevel="0" collapsed="false">
      <c r="A585" s="22"/>
      <c r="B585" s="23"/>
      <c r="C585" s="24"/>
      <c r="D585" s="24"/>
      <c r="E585" s="24"/>
      <c r="F585" s="24"/>
      <c r="G585" s="25"/>
      <c r="H585" s="25"/>
      <c r="I585" s="24"/>
      <c r="J585" s="24"/>
      <c r="K585" s="25"/>
      <c r="L585" s="25"/>
      <c r="M585" s="26" t="str">
        <f aca="false">IF(G585="","",G585-N(H585))</f>
        <v/>
      </c>
      <c r="N585" s="26" t="str">
        <f aca="false">IF(G585="","",G585-N(K585)-N(L585))</f>
        <v/>
      </c>
      <c r="O585" s="27" t="str">
        <f aca="false">IF(G585="","",IF(N(H585)&gt;=G585,"Pago",IF(N(H585)&gt;0,"Parcial","Pendente")))</f>
        <v/>
      </c>
      <c r="P585" s="24"/>
    </row>
    <row r="586" customFormat="false" ht="15" hidden="false" customHeight="false" outlineLevel="0" collapsed="false">
      <c r="A586" s="22"/>
      <c r="B586" s="23"/>
      <c r="C586" s="24"/>
      <c r="D586" s="24"/>
      <c r="E586" s="24"/>
      <c r="F586" s="24"/>
      <c r="G586" s="25"/>
      <c r="H586" s="25"/>
      <c r="I586" s="24"/>
      <c r="J586" s="24"/>
      <c r="K586" s="25"/>
      <c r="L586" s="25"/>
      <c r="M586" s="26" t="str">
        <f aca="false">IF(G586="","",G586-N(H586))</f>
        <v/>
      </c>
      <c r="N586" s="26" t="str">
        <f aca="false">IF(G586="","",G586-N(K586)-N(L586))</f>
        <v/>
      </c>
      <c r="O586" s="27" t="str">
        <f aca="false">IF(G586="","",IF(N(H586)&gt;=G586,"Pago",IF(N(H586)&gt;0,"Parcial","Pendente")))</f>
        <v/>
      </c>
      <c r="P586" s="24"/>
    </row>
    <row r="587" customFormat="false" ht="15" hidden="false" customHeight="false" outlineLevel="0" collapsed="false">
      <c r="A587" s="22"/>
      <c r="B587" s="23"/>
      <c r="C587" s="24"/>
      <c r="D587" s="24"/>
      <c r="E587" s="24"/>
      <c r="F587" s="24"/>
      <c r="G587" s="25"/>
      <c r="H587" s="25"/>
      <c r="I587" s="24"/>
      <c r="J587" s="24"/>
      <c r="K587" s="25"/>
      <c r="L587" s="25"/>
      <c r="M587" s="26" t="str">
        <f aca="false">IF(G587="","",G587-N(H587))</f>
        <v/>
      </c>
      <c r="N587" s="26" t="str">
        <f aca="false">IF(G587="","",G587-N(K587)-N(L587))</f>
        <v/>
      </c>
      <c r="O587" s="27" t="str">
        <f aca="false">IF(G587="","",IF(N(H587)&gt;=G587,"Pago",IF(N(H587)&gt;0,"Parcial","Pendente")))</f>
        <v/>
      </c>
      <c r="P587" s="24"/>
    </row>
    <row r="588" customFormat="false" ht="15" hidden="false" customHeight="false" outlineLevel="0" collapsed="false">
      <c r="A588" s="22"/>
      <c r="B588" s="23"/>
      <c r="C588" s="24"/>
      <c r="D588" s="24"/>
      <c r="E588" s="24"/>
      <c r="F588" s="24"/>
      <c r="G588" s="25"/>
      <c r="H588" s="25"/>
      <c r="I588" s="24"/>
      <c r="J588" s="24"/>
      <c r="K588" s="25"/>
      <c r="L588" s="25"/>
      <c r="M588" s="26" t="str">
        <f aca="false">IF(G588="","",G588-N(H588))</f>
        <v/>
      </c>
      <c r="N588" s="26" t="str">
        <f aca="false">IF(G588="","",G588-N(K588)-N(L588))</f>
        <v/>
      </c>
      <c r="O588" s="27" t="str">
        <f aca="false">IF(G588="","",IF(N(H588)&gt;=G588,"Pago",IF(N(H588)&gt;0,"Parcial","Pendente")))</f>
        <v/>
      </c>
      <c r="P588" s="24"/>
    </row>
    <row r="589" customFormat="false" ht="15" hidden="false" customHeight="false" outlineLevel="0" collapsed="false">
      <c r="A589" s="22"/>
      <c r="B589" s="23"/>
      <c r="C589" s="24"/>
      <c r="D589" s="24"/>
      <c r="E589" s="24"/>
      <c r="F589" s="24"/>
      <c r="G589" s="25"/>
      <c r="H589" s="25"/>
      <c r="I589" s="24"/>
      <c r="J589" s="24"/>
      <c r="K589" s="25"/>
      <c r="L589" s="25"/>
      <c r="M589" s="26" t="str">
        <f aca="false">IF(G589="","",G589-N(H589))</f>
        <v/>
      </c>
      <c r="N589" s="26" t="str">
        <f aca="false">IF(G589="","",G589-N(K589)-N(L589))</f>
        <v/>
      </c>
      <c r="O589" s="27" t="str">
        <f aca="false">IF(G589="","",IF(N(H589)&gt;=G589,"Pago",IF(N(H589)&gt;0,"Parcial","Pendente")))</f>
        <v/>
      </c>
      <c r="P589" s="24"/>
    </row>
    <row r="590" customFormat="false" ht="15" hidden="false" customHeight="false" outlineLevel="0" collapsed="false">
      <c r="A590" s="22"/>
      <c r="B590" s="23"/>
      <c r="C590" s="24"/>
      <c r="D590" s="24"/>
      <c r="E590" s="24"/>
      <c r="F590" s="24"/>
      <c r="G590" s="25"/>
      <c r="H590" s="25"/>
      <c r="I590" s="24"/>
      <c r="J590" s="24"/>
      <c r="K590" s="25"/>
      <c r="L590" s="25"/>
      <c r="M590" s="26" t="str">
        <f aca="false">IF(G590="","",G590-N(H590))</f>
        <v/>
      </c>
      <c r="N590" s="26" t="str">
        <f aca="false">IF(G590="","",G590-N(K590)-N(L590))</f>
        <v/>
      </c>
      <c r="O590" s="27" t="str">
        <f aca="false">IF(G590="","",IF(N(H590)&gt;=G590,"Pago",IF(N(H590)&gt;0,"Parcial","Pendente")))</f>
        <v/>
      </c>
      <c r="P590" s="24"/>
    </row>
    <row r="591" customFormat="false" ht="15" hidden="false" customHeight="false" outlineLevel="0" collapsed="false">
      <c r="A591" s="22"/>
      <c r="B591" s="23"/>
      <c r="C591" s="24"/>
      <c r="D591" s="24"/>
      <c r="E591" s="24"/>
      <c r="F591" s="24"/>
      <c r="G591" s="25"/>
      <c r="H591" s="25"/>
      <c r="I591" s="24"/>
      <c r="J591" s="24"/>
      <c r="K591" s="25"/>
      <c r="L591" s="25"/>
      <c r="M591" s="26" t="str">
        <f aca="false">IF(G591="","",G591-N(H591))</f>
        <v/>
      </c>
      <c r="N591" s="26" t="str">
        <f aca="false">IF(G591="","",G591-N(K591)-N(L591))</f>
        <v/>
      </c>
      <c r="O591" s="27" t="str">
        <f aca="false">IF(G591="","",IF(N(H591)&gt;=G591,"Pago",IF(N(H591)&gt;0,"Parcial","Pendente")))</f>
        <v/>
      </c>
      <c r="P591" s="24"/>
    </row>
    <row r="592" customFormat="false" ht="15" hidden="false" customHeight="false" outlineLevel="0" collapsed="false">
      <c r="A592" s="22"/>
      <c r="B592" s="23"/>
      <c r="C592" s="24"/>
      <c r="D592" s="24"/>
      <c r="E592" s="24"/>
      <c r="F592" s="24"/>
      <c r="G592" s="25"/>
      <c r="H592" s="25"/>
      <c r="I592" s="24"/>
      <c r="J592" s="24"/>
      <c r="K592" s="25"/>
      <c r="L592" s="25"/>
      <c r="M592" s="26" t="str">
        <f aca="false">IF(G592="","",G592-N(H592))</f>
        <v/>
      </c>
      <c r="N592" s="26" t="str">
        <f aca="false">IF(G592="","",G592-N(K592)-N(L592))</f>
        <v/>
      </c>
      <c r="O592" s="27" t="str">
        <f aca="false">IF(G592="","",IF(N(H592)&gt;=G592,"Pago",IF(N(H592)&gt;0,"Parcial","Pendente")))</f>
        <v/>
      </c>
      <c r="P592" s="24"/>
    </row>
    <row r="593" customFormat="false" ht="15" hidden="false" customHeight="false" outlineLevel="0" collapsed="false">
      <c r="A593" s="22"/>
      <c r="B593" s="23"/>
      <c r="C593" s="24"/>
      <c r="D593" s="24"/>
      <c r="E593" s="24"/>
      <c r="F593" s="24"/>
      <c r="G593" s="25"/>
      <c r="H593" s="25"/>
      <c r="I593" s="24"/>
      <c r="J593" s="24"/>
      <c r="K593" s="25"/>
      <c r="L593" s="25"/>
      <c r="M593" s="26" t="str">
        <f aca="false">IF(G593="","",G593-N(H593))</f>
        <v/>
      </c>
      <c r="N593" s="26" t="str">
        <f aca="false">IF(G593="","",G593-N(K593)-N(L593))</f>
        <v/>
      </c>
      <c r="O593" s="27" t="str">
        <f aca="false">IF(G593="","",IF(N(H593)&gt;=G593,"Pago",IF(N(H593)&gt;0,"Parcial","Pendente")))</f>
        <v/>
      </c>
      <c r="P593" s="24"/>
    </row>
    <row r="594" customFormat="false" ht="15" hidden="false" customHeight="false" outlineLevel="0" collapsed="false">
      <c r="A594" s="22"/>
      <c r="B594" s="23"/>
      <c r="C594" s="24"/>
      <c r="D594" s="24"/>
      <c r="E594" s="24"/>
      <c r="F594" s="24"/>
      <c r="G594" s="25"/>
      <c r="H594" s="25"/>
      <c r="I594" s="24"/>
      <c r="J594" s="24"/>
      <c r="K594" s="25"/>
      <c r="L594" s="25"/>
      <c r="M594" s="26" t="str">
        <f aca="false">IF(G594="","",G594-N(H594))</f>
        <v/>
      </c>
      <c r="N594" s="26" t="str">
        <f aca="false">IF(G594="","",G594-N(K594)-N(L594))</f>
        <v/>
      </c>
      <c r="O594" s="27" t="str">
        <f aca="false">IF(G594="","",IF(N(H594)&gt;=G594,"Pago",IF(N(H594)&gt;0,"Parcial","Pendente")))</f>
        <v/>
      </c>
      <c r="P594" s="24"/>
    </row>
    <row r="595" customFormat="false" ht="15" hidden="false" customHeight="false" outlineLevel="0" collapsed="false">
      <c r="A595" s="22"/>
      <c r="B595" s="23"/>
      <c r="C595" s="24"/>
      <c r="D595" s="24"/>
      <c r="E595" s="24"/>
      <c r="F595" s="24"/>
      <c r="G595" s="25"/>
      <c r="H595" s="25"/>
      <c r="I595" s="24"/>
      <c r="J595" s="24"/>
      <c r="K595" s="25"/>
      <c r="L595" s="25"/>
      <c r="M595" s="26" t="str">
        <f aca="false">IF(G595="","",G595-N(H595))</f>
        <v/>
      </c>
      <c r="N595" s="26" t="str">
        <f aca="false">IF(G595="","",G595-N(K595)-N(L595))</f>
        <v/>
      </c>
      <c r="O595" s="27" t="str">
        <f aca="false">IF(G595="","",IF(N(H595)&gt;=G595,"Pago",IF(N(H595)&gt;0,"Parcial","Pendente")))</f>
        <v/>
      </c>
      <c r="P595" s="24"/>
    </row>
    <row r="596" customFormat="false" ht="15" hidden="false" customHeight="false" outlineLevel="0" collapsed="false">
      <c r="A596" s="22"/>
      <c r="B596" s="23"/>
      <c r="C596" s="24"/>
      <c r="D596" s="24"/>
      <c r="E596" s="24"/>
      <c r="F596" s="24"/>
      <c r="G596" s="25"/>
      <c r="H596" s="25"/>
      <c r="I596" s="24"/>
      <c r="J596" s="24"/>
      <c r="K596" s="25"/>
      <c r="L596" s="25"/>
      <c r="M596" s="26" t="str">
        <f aca="false">IF(G596="","",G596-N(H596))</f>
        <v/>
      </c>
      <c r="N596" s="26" t="str">
        <f aca="false">IF(G596="","",G596-N(K596)-N(L596))</f>
        <v/>
      </c>
      <c r="O596" s="27" t="str">
        <f aca="false">IF(G596="","",IF(N(H596)&gt;=G596,"Pago",IF(N(H596)&gt;0,"Parcial","Pendente")))</f>
        <v/>
      </c>
      <c r="P596" s="24"/>
    </row>
    <row r="597" customFormat="false" ht="15" hidden="false" customHeight="false" outlineLevel="0" collapsed="false">
      <c r="A597" s="22"/>
      <c r="B597" s="23"/>
      <c r="C597" s="24"/>
      <c r="D597" s="24"/>
      <c r="E597" s="24"/>
      <c r="F597" s="24"/>
      <c r="G597" s="25"/>
      <c r="H597" s="25"/>
      <c r="I597" s="24"/>
      <c r="J597" s="24"/>
      <c r="K597" s="25"/>
      <c r="L597" s="25"/>
      <c r="M597" s="26" t="str">
        <f aca="false">IF(G597="","",G597-N(H597))</f>
        <v/>
      </c>
      <c r="N597" s="26" t="str">
        <f aca="false">IF(G597="","",G597-N(K597)-N(L597))</f>
        <v/>
      </c>
      <c r="O597" s="27" t="str">
        <f aca="false">IF(G597="","",IF(N(H597)&gt;=G597,"Pago",IF(N(H597)&gt;0,"Parcial","Pendente")))</f>
        <v/>
      </c>
      <c r="P597" s="24"/>
    </row>
    <row r="598" customFormat="false" ht="15" hidden="false" customHeight="false" outlineLevel="0" collapsed="false">
      <c r="A598" s="22"/>
      <c r="B598" s="23"/>
      <c r="C598" s="24"/>
      <c r="D598" s="24"/>
      <c r="E598" s="24"/>
      <c r="F598" s="24"/>
      <c r="G598" s="25"/>
      <c r="H598" s="25"/>
      <c r="I598" s="24"/>
      <c r="J598" s="24"/>
      <c r="K598" s="25"/>
      <c r="L598" s="25"/>
      <c r="M598" s="26" t="str">
        <f aca="false">IF(G598="","",G598-N(H598))</f>
        <v/>
      </c>
      <c r="N598" s="26" t="str">
        <f aca="false">IF(G598="","",G598-N(K598)-N(L598))</f>
        <v/>
      </c>
      <c r="O598" s="27" t="str">
        <f aca="false">IF(G598="","",IF(N(H598)&gt;=G598,"Pago",IF(N(H598)&gt;0,"Parcial","Pendente")))</f>
        <v/>
      </c>
      <c r="P598" s="24"/>
    </row>
    <row r="599" customFormat="false" ht="15" hidden="false" customHeight="false" outlineLevel="0" collapsed="false">
      <c r="A599" s="22"/>
      <c r="B599" s="23"/>
      <c r="C599" s="24"/>
      <c r="D599" s="24"/>
      <c r="E599" s="24"/>
      <c r="F599" s="24"/>
      <c r="G599" s="25"/>
      <c r="H599" s="25"/>
      <c r="I599" s="24"/>
      <c r="J599" s="24"/>
      <c r="K599" s="25"/>
      <c r="L599" s="25"/>
      <c r="M599" s="26" t="str">
        <f aca="false">IF(G599="","",G599-N(H599))</f>
        <v/>
      </c>
      <c r="N599" s="26" t="str">
        <f aca="false">IF(G599="","",G599-N(K599)-N(L599))</f>
        <v/>
      </c>
      <c r="O599" s="27" t="str">
        <f aca="false">IF(G599="","",IF(N(H599)&gt;=G599,"Pago",IF(N(H599)&gt;0,"Parcial","Pendente")))</f>
        <v/>
      </c>
      <c r="P599" s="24"/>
    </row>
    <row r="600" customFormat="false" ht="15" hidden="false" customHeight="false" outlineLevel="0" collapsed="false">
      <c r="A600" s="22"/>
      <c r="B600" s="23"/>
      <c r="C600" s="24"/>
      <c r="D600" s="24"/>
      <c r="E600" s="24"/>
      <c r="F600" s="24"/>
      <c r="G600" s="25"/>
      <c r="H600" s="25"/>
      <c r="I600" s="24"/>
      <c r="J600" s="24"/>
      <c r="K600" s="25"/>
      <c r="L600" s="25"/>
      <c r="M600" s="26" t="str">
        <f aca="false">IF(G600="","",G600-N(H600))</f>
        <v/>
      </c>
      <c r="N600" s="26" t="str">
        <f aca="false">IF(G600="","",G600-N(K600)-N(L600))</f>
        <v/>
      </c>
      <c r="O600" s="27" t="str">
        <f aca="false">IF(G600="","",IF(N(H600)&gt;=G600,"Pago",IF(N(H600)&gt;0,"Parcial","Pendente")))</f>
        <v/>
      </c>
      <c r="P600" s="24"/>
    </row>
    <row r="601" customFormat="false" ht="15" hidden="false" customHeight="false" outlineLevel="0" collapsed="false">
      <c r="A601" s="22"/>
      <c r="B601" s="23"/>
      <c r="C601" s="24"/>
      <c r="D601" s="24"/>
      <c r="E601" s="24"/>
      <c r="F601" s="24"/>
      <c r="G601" s="25"/>
      <c r="H601" s="25"/>
      <c r="I601" s="24"/>
      <c r="J601" s="24"/>
      <c r="K601" s="25"/>
      <c r="L601" s="25"/>
      <c r="M601" s="26" t="str">
        <f aca="false">IF(G601="","",G601-N(H601))</f>
        <v/>
      </c>
      <c r="N601" s="26" t="str">
        <f aca="false">IF(G601="","",G601-N(K601)-N(L601))</f>
        <v/>
      </c>
      <c r="O601" s="27" t="str">
        <f aca="false">IF(G601="","",IF(N(H601)&gt;=G601,"Pago",IF(N(H601)&gt;0,"Parcial","Pendente")))</f>
        <v/>
      </c>
      <c r="P601" s="24"/>
    </row>
    <row r="602" customFormat="false" ht="15" hidden="false" customHeight="false" outlineLevel="0" collapsed="false">
      <c r="A602" s="22"/>
      <c r="B602" s="23"/>
      <c r="C602" s="24"/>
      <c r="D602" s="24"/>
      <c r="E602" s="24"/>
      <c r="F602" s="24"/>
      <c r="G602" s="25"/>
      <c r="H602" s="25"/>
      <c r="I602" s="24"/>
      <c r="J602" s="24"/>
      <c r="K602" s="25"/>
      <c r="L602" s="25"/>
      <c r="M602" s="26" t="str">
        <f aca="false">IF(G602="","",G602-N(H602))</f>
        <v/>
      </c>
      <c r="N602" s="26" t="str">
        <f aca="false">IF(G602="","",G602-N(K602)-N(L602))</f>
        <v/>
      </c>
      <c r="O602" s="27" t="str">
        <f aca="false">IF(G602="","",IF(N(H602)&gt;=G602,"Pago",IF(N(H602)&gt;0,"Parcial","Pendente")))</f>
        <v/>
      </c>
      <c r="P602" s="24"/>
    </row>
    <row r="603" customFormat="false" ht="15" hidden="false" customHeight="false" outlineLevel="0" collapsed="false">
      <c r="A603" s="22"/>
      <c r="B603" s="23"/>
      <c r="C603" s="24"/>
      <c r="D603" s="24"/>
      <c r="E603" s="24"/>
      <c r="F603" s="24"/>
      <c r="G603" s="25"/>
      <c r="H603" s="25"/>
      <c r="I603" s="24"/>
      <c r="J603" s="24"/>
      <c r="K603" s="25"/>
      <c r="L603" s="25"/>
      <c r="M603" s="26" t="str">
        <f aca="false">IF(G603="","",G603-N(H603))</f>
        <v/>
      </c>
      <c r="N603" s="26" t="str">
        <f aca="false">IF(G603="","",G603-N(K603)-N(L603))</f>
        <v/>
      </c>
      <c r="O603" s="27" t="str">
        <f aca="false">IF(G603="","",IF(N(H603)&gt;=G603,"Pago",IF(N(H603)&gt;0,"Parcial","Pendente")))</f>
        <v/>
      </c>
      <c r="P603" s="24"/>
    </row>
    <row r="604" customFormat="false" ht="15" hidden="false" customHeight="false" outlineLevel="0" collapsed="false">
      <c r="A604" s="22"/>
      <c r="B604" s="23"/>
      <c r="C604" s="24"/>
      <c r="D604" s="24"/>
      <c r="E604" s="24"/>
      <c r="F604" s="24"/>
      <c r="G604" s="25"/>
      <c r="H604" s="25"/>
      <c r="I604" s="24"/>
      <c r="J604" s="24"/>
      <c r="K604" s="25"/>
      <c r="L604" s="25"/>
      <c r="M604" s="26" t="str">
        <f aca="false">IF(G604="","",G604-N(H604))</f>
        <v/>
      </c>
      <c r="N604" s="26" t="str">
        <f aca="false">IF(G604="","",G604-N(K604)-N(L604))</f>
        <v/>
      </c>
      <c r="O604" s="27" t="str">
        <f aca="false">IF(G604="","",IF(N(H604)&gt;=G604,"Pago",IF(N(H604)&gt;0,"Parcial","Pendente")))</f>
        <v/>
      </c>
      <c r="P604" s="24"/>
    </row>
    <row r="605" customFormat="false" ht="15" hidden="false" customHeight="false" outlineLevel="0" collapsed="false">
      <c r="A605" s="22"/>
      <c r="B605" s="23"/>
      <c r="C605" s="24"/>
      <c r="D605" s="24"/>
      <c r="E605" s="24"/>
      <c r="F605" s="24"/>
      <c r="G605" s="25"/>
      <c r="H605" s="25"/>
      <c r="I605" s="24"/>
      <c r="J605" s="24"/>
      <c r="K605" s="25"/>
      <c r="L605" s="25"/>
      <c r="M605" s="26" t="str">
        <f aca="false">IF(G605="","",G605-N(H605))</f>
        <v/>
      </c>
      <c r="N605" s="26" t="str">
        <f aca="false">IF(G605="","",G605-N(K605)-N(L605))</f>
        <v/>
      </c>
      <c r="O605" s="27" t="str">
        <f aca="false">IF(G605="","",IF(N(H605)&gt;=G605,"Pago",IF(N(H605)&gt;0,"Parcial","Pendente")))</f>
        <v/>
      </c>
      <c r="P605" s="24"/>
    </row>
    <row r="606" customFormat="false" ht="15" hidden="false" customHeight="false" outlineLevel="0" collapsed="false">
      <c r="A606" s="22"/>
      <c r="B606" s="23"/>
      <c r="C606" s="24"/>
      <c r="D606" s="24"/>
      <c r="E606" s="24"/>
      <c r="F606" s="24"/>
      <c r="G606" s="25"/>
      <c r="H606" s="25"/>
      <c r="I606" s="24"/>
      <c r="J606" s="24"/>
      <c r="K606" s="25"/>
      <c r="L606" s="25"/>
      <c r="M606" s="26" t="str">
        <f aca="false">IF(G606="","",G606-N(H606))</f>
        <v/>
      </c>
      <c r="N606" s="26" t="str">
        <f aca="false">IF(G606="","",G606-N(K606)-N(L606))</f>
        <v/>
      </c>
      <c r="O606" s="27" t="str">
        <f aca="false">IF(G606="","",IF(N(H606)&gt;=G606,"Pago",IF(N(H606)&gt;0,"Parcial","Pendente")))</f>
        <v/>
      </c>
      <c r="P606" s="24"/>
    </row>
    <row r="607" customFormat="false" ht="15" hidden="false" customHeight="false" outlineLevel="0" collapsed="false">
      <c r="A607" s="22"/>
      <c r="B607" s="23"/>
      <c r="C607" s="24"/>
      <c r="D607" s="24"/>
      <c r="E607" s="24"/>
      <c r="F607" s="24"/>
      <c r="G607" s="25"/>
      <c r="H607" s="25"/>
      <c r="I607" s="24"/>
      <c r="J607" s="24"/>
      <c r="K607" s="25"/>
      <c r="L607" s="25"/>
      <c r="M607" s="26" t="str">
        <f aca="false">IF(G607="","",G607-N(H607))</f>
        <v/>
      </c>
      <c r="N607" s="26" t="str">
        <f aca="false">IF(G607="","",G607-N(K607)-N(L607))</f>
        <v/>
      </c>
      <c r="O607" s="27" t="str">
        <f aca="false">IF(G607="","",IF(N(H607)&gt;=G607,"Pago",IF(N(H607)&gt;0,"Parcial","Pendente")))</f>
        <v/>
      </c>
      <c r="P607" s="24"/>
    </row>
    <row r="608" customFormat="false" ht="15" hidden="false" customHeight="false" outlineLevel="0" collapsed="false">
      <c r="A608" s="22"/>
      <c r="B608" s="23"/>
      <c r="C608" s="24"/>
      <c r="D608" s="24"/>
      <c r="E608" s="24"/>
      <c r="F608" s="24"/>
      <c r="G608" s="25"/>
      <c r="H608" s="25"/>
      <c r="I608" s="24"/>
      <c r="J608" s="24"/>
      <c r="K608" s="25"/>
      <c r="L608" s="25"/>
      <c r="M608" s="26" t="str">
        <f aca="false">IF(G608="","",G608-N(H608))</f>
        <v/>
      </c>
      <c r="N608" s="26" t="str">
        <f aca="false">IF(G608="","",G608-N(K608)-N(L608))</f>
        <v/>
      </c>
      <c r="O608" s="27" t="str">
        <f aca="false">IF(G608="","",IF(N(H608)&gt;=G608,"Pago",IF(N(H608)&gt;0,"Parcial","Pendente")))</f>
        <v/>
      </c>
      <c r="P608" s="24"/>
    </row>
    <row r="609" customFormat="false" ht="15" hidden="false" customHeight="false" outlineLevel="0" collapsed="false">
      <c r="A609" s="22"/>
      <c r="B609" s="23"/>
      <c r="C609" s="24"/>
      <c r="D609" s="24"/>
      <c r="E609" s="24"/>
      <c r="F609" s="24"/>
      <c r="G609" s="25"/>
      <c r="H609" s="25"/>
      <c r="I609" s="24"/>
      <c r="J609" s="24"/>
      <c r="K609" s="25"/>
      <c r="L609" s="25"/>
      <c r="M609" s="26" t="str">
        <f aca="false">IF(G609="","",G609-N(H609))</f>
        <v/>
      </c>
      <c r="N609" s="26" t="str">
        <f aca="false">IF(G609="","",G609-N(K609)-N(L609))</f>
        <v/>
      </c>
      <c r="O609" s="27" t="str">
        <f aca="false">IF(G609="","",IF(N(H609)&gt;=G609,"Pago",IF(N(H609)&gt;0,"Parcial","Pendente")))</f>
        <v/>
      </c>
      <c r="P609" s="24"/>
    </row>
    <row r="610" customFormat="false" ht="15" hidden="false" customHeight="false" outlineLevel="0" collapsed="false">
      <c r="A610" s="22"/>
      <c r="B610" s="23"/>
      <c r="C610" s="24"/>
      <c r="D610" s="24"/>
      <c r="E610" s="24"/>
      <c r="F610" s="24"/>
      <c r="G610" s="25"/>
      <c r="H610" s="25"/>
      <c r="I610" s="24"/>
      <c r="J610" s="24"/>
      <c r="K610" s="25"/>
      <c r="L610" s="25"/>
      <c r="M610" s="26" t="str">
        <f aca="false">IF(G610="","",G610-N(H610))</f>
        <v/>
      </c>
      <c r="N610" s="26" t="str">
        <f aca="false">IF(G610="","",G610-N(K610)-N(L610))</f>
        <v/>
      </c>
      <c r="O610" s="27" t="str">
        <f aca="false">IF(G610="","",IF(N(H610)&gt;=G610,"Pago",IF(N(H610)&gt;0,"Parcial","Pendente")))</f>
        <v/>
      </c>
      <c r="P610" s="24"/>
    </row>
    <row r="611" customFormat="false" ht="15" hidden="false" customHeight="false" outlineLevel="0" collapsed="false">
      <c r="A611" s="22"/>
      <c r="B611" s="23"/>
      <c r="C611" s="24"/>
      <c r="D611" s="24"/>
      <c r="E611" s="24"/>
      <c r="F611" s="24"/>
      <c r="G611" s="25"/>
      <c r="H611" s="25"/>
      <c r="I611" s="24"/>
      <c r="J611" s="24"/>
      <c r="K611" s="25"/>
      <c r="L611" s="25"/>
      <c r="M611" s="26" t="str">
        <f aca="false">IF(G611="","",G611-N(H611))</f>
        <v/>
      </c>
      <c r="N611" s="26" t="str">
        <f aca="false">IF(G611="","",G611-N(K611)-N(L611))</f>
        <v/>
      </c>
      <c r="O611" s="27" t="str">
        <f aca="false">IF(G611="","",IF(N(H611)&gt;=G611,"Pago",IF(N(H611)&gt;0,"Parcial","Pendente")))</f>
        <v/>
      </c>
      <c r="P611" s="24"/>
    </row>
    <row r="612" customFormat="false" ht="15" hidden="false" customHeight="false" outlineLevel="0" collapsed="false">
      <c r="A612" s="22"/>
      <c r="B612" s="23"/>
      <c r="C612" s="24"/>
      <c r="D612" s="24"/>
      <c r="E612" s="24"/>
      <c r="F612" s="24"/>
      <c r="G612" s="25"/>
      <c r="H612" s="25"/>
      <c r="I612" s="24"/>
      <c r="J612" s="24"/>
      <c r="K612" s="25"/>
      <c r="L612" s="25"/>
      <c r="M612" s="26" t="str">
        <f aca="false">IF(G612="","",G612-N(H612))</f>
        <v/>
      </c>
      <c r="N612" s="26" t="str">
        <f aca="false">IF(G612="","",G612-N(K612)-N(L612))</f>
        <v/>
      </c>
      <c r="O612" s="27" t="str">
        <f aca="false">IF(G612="","",IF(N(H612)&gt;=G612,"Pago",IF(N(H612)&gt;0,"Parcial","Pendente")))</f>
        <v/>
      </c>
      <c r="P612" s="24"/>
    </row>
    <row r="613" customFormat="false" ht="15" hidden="false" customHeight="false" outlineLevel="0" collapsed="false">
      <c r="A613" s="22"/>
      <c r="B613" s="23"/>
      <c r="C613" s="24"/>
      <c r="D613" s="24"/>
      <c r="E613" s="24"/>
      <c r="F613" s="24"/>
      <c r="G613" s="25"/>
      <c r="H613" s="25"/>
      <c r="I613" s="24"/>
      <c r="J613" s="24"/>
      <c r="K613" s="25"/>
      <c r="L613" s="25"/>
      <c r="M613" s="26" t="str">
        <f aca="false">IF(G613="","",G613-N(H613))</f>
        <v/>
      </c>
      <c r="N613" s="26" t="str">
        <f aca="false">IF(G613="","",G613-N(K613)-N(L613))</f>
        <v/>
      </c>
      <c r="O613" s="27" t="str">
        <f aca="false">IF(G613="","",IF(N(H613)&gt;=G613,"Pago",IF(N(H613)&gt;0,"Parcial","Pendente")))</f>
        <v/>
      </c>
      <c r="P613" s="24"/>
    </row>
    <row r="614" customFormat="false" ht="15" hidden="false" customHeight="false" outlineLevel="0" collapsed="false">
      <c r="A614" s="22"/>
      <c r="B614" s="23"/>
      <c r="C614" s="24"/>
      <c r="D614" s="24"/>
      <c r="E614" s="24"/>
      <c r="F614" s="24"/>
      <c r="G614" s="25"/>
      <c r="H614" s="25"/>
      <c r="I614" s="24"/>
      <c r="J614" s="24"/>
      <c r="K614" s="25"/>
      <c r="L614" s="25"/>
      <c r="M614" s="26" t="str">
        <f aca="false">IF(G614="","",G614-N(H614))</f>
        <v/>
      </c>
      <c r="N614" s="26" t="str">
        <f aca="false">IF(G614="","",G614-N(K614)-N(L614))</f>
        <v/>
      </c>
      <c r="O614" s="27" t="str">
        <f aca="false">IF(G614="","",IF(N(H614)&gt;=G614,"Pago",IF(N(H614)&gt;0,"Parcial","Pendente")))</f>
        <v/>
      </c>
      <c r="P614" s="24"/>
    </row>
    <row r="615" customFormat="false" ht="15" hidden="false" customHeight="false" outlineLevel="0" collapsed="false">
      <c r="A615" s="22"/>
      <c r="B615" s="23"/>
      <c r="C615" s="24"/>
      <c r="D615" s="24"/>
      <c r="E615" s="24"/>
      <c r="F615" s="24"/>
      <c r="G615" s="25"/>
      <c r="H615" s="25"/>
      <c r="I615" s="24"/>
      <c r="J615" s="24"/>
      <c r="K615" s="25"/>
      <c r="L615" s="25"/>
      <c r="M615" s="26" t="str">
        <f aca="false">IF(G615="","",G615-N(H615))</f>
        <v/>
      </c>
      <c r="N615" s="26" t="str">
        <f aca="false">IF(G615="","",G615-N(K615)-N(L615))</f>
        <v/>
      </c>
      <c r="O615" s="27" t="str">
        <f aca="false">IF(G615="","",IF(N(H615)&gt;=G615,"Pago",IF(N(H615)&gt;0,"Parcial","Pendente")))</f>
        <v/>
      </c>
      <c r="P615" s="24"/>
    </row>
    <row r="616" customFormat="false" ht="15" hidden="false" customHeight="false" outlineLevel="0" collapsed="false">
      <c r="A616" s="22"/>
      <c r="B616" s="23"/>
      <c r="C616" s="24"/>
      <c r="D616" s="24"/>
      <c r="E616" s="24"/>
      <c r="F616" s="24"/>
      <c r="G616" s="25"/>
      <c r="H616" s="25"/>
      <c r="I616" s="24"/>
      <c r="J616" s="24"/>
      <c r="K616" s="25"/>
      <c r="L616" s="25"/>
      <c r="M616" s="26" t="str">
        <f aca="false">IF(G616="","",G616-N(H616))</f>
        <v/>
      </c>
      <c r="N616" s="26" t="str">
        <f aca="false">IF(G616="","",G616-N(K616)-N(L616))</f>
        <v/>
      </c>
      <c r="O616" s="27" t="str">
        <f aca="false">IF(G616="","",IF(N(H616)&gt;=G616,"Pago",IF(N(H616)&gt;0,"Parcial","Pendente")))</f>
        <v/>
      </c>
      <c r="P616" s="24"/>
    </row>
    <row r="617" customFormat="false" ht="15" hidden="false" customHeight="false" outlineLevel="0" collapsed="false">
      <c r="A617" s="22"/>
      <c r="B617" s="23"/>
      <c r="C617" s="24"/>
      <c r="D617" s="24"/>
      <c r="E617" s="24"/>
      <c r="F617" s="24"/>
      <c r="G617" s="25"/>
      <c r="H617" s="25"/>
      <c r="I617" s="24"/>
      <c r="J617" s="24"/>
      <c r="K617" s="25"/>
      <c r="L617" s="25"/>
      <c r="M617" s="26" t="str">
        <f aca="false">IF(G617="","",G617-N(H617))</f>
        <v/>
      </c>
      <c r="N617" s="26" t="str">
        <f aca="false">IF(G617="","",G617-N(K617)-N(L617))</f>
        <v/>
      </c>
      <c r="O617" s="27" t="str">
        <f aca="false">IF(G617="","",IF(N(H617)&gt;=G617,"Pago",IF(N(H617)&gt;0,"Parcial","Pendente")))</f>
        <v/>
      </c>
      <c r="P617" s="24"/>
    </row>
    <row r="618" customFormat="false" ht="15" hidden="false" customHeight="false" outlineLevel="0" collapsed="false">
      <c r="A618" s="22"/>
      <c r="B618" s="23"/>
      <c r="C618" s="24"/>
      <c r="D618" s="24"/>
      <c r="E618" s="24"/>
      <c r="F618" s="24"/>
      <c r="G618" s="25"/>
      <c r="H618" s="25"/>
      <c r="I618" s="24"/>
      <c r="J618" s="24"/>
      <c r="K618" s="25"/>
      <c r="L618" s="25"/>
      <c r="M618" s="26" t="str">
        <f aca="false">IF(G618="","",G618-N(H618))</f>
        <v/>
      </c>
      <c r="N618" s="26" t="str">
        <f aca="false">IF(G618="","",G618-N(K618)-N(L618))</f>
        <v/>
      </c>
      <c r="O618" s="27" t="str">
        <f aca="false">IF(G618="","",IF(N(H618)&gt;=G618,"Pago",IF(N(H618)&gt;0,"Parcial","Pendente")))</f>
        <v/>
      </c>
      <c r="P618" s="24"/>
    </row>
    <row r="619" customFormat="false" ht="15" hidden="false" customHeight="false" outlineLevel="0" collapsed="false">
      <c r="A619" s="22"/>
      <c r="B619" s="23"/>
      <c r="C619" s="24"/>
      <c r="D619" s="24"/>
      <c r="E619" s="24"/>
      <c r="F619" s="24"/>
      <c r="G619" s="25"/>
      <c r="H619" s="25"/>
      <c r="I619" s="24"/>
      <c r="J619" s="24"/>
      <c r="K619" s="25"/>
      <c r="L619" s="25"/>
      <c r="M619" s="26" t="str">
        <f aca="false">IF(G619="","",G619-N(H619))</f>
        <v/>
      </c>
      <c r="N619" s="26" t="str">
        <f aca="false">IF(G619="","",G619-N(K619)-N(L619))</f>
        <v/>
      </c>
      <c r="O619" s="27" t="str">
        <f aca="false">IF(G619="","",IF(N(H619)&gt;=G619,"Pago",IF(N(H619)&gt;0,"Parcial","Pendente")))</f>
        <v/>
      </c>
      <c r="P619" s="24"/>
    </row>
    <row r="620" customFormat="false" ht="15" hidden="false" customHeight="false" outlineLevel="0" collapsed="false">
      <c r="A620" s="22"/>
      <c r="B620" s="23"/>
      <c r="C620" s="24"/>
      <c r="D620" s="24"/>
      <c r="E620" s="24"/>
      <c r="F620" s="24"/>
      <c r="G620" s="25"/>
      <c r="H620" s="25"/>
      <c r="I620" s="24"/>
      <c r="J620" s="24"/>
      <c r="K620" s="25"/>
      <c r="L620" s="25"/>
      <c r="M620" s="26" t="str">
        <f aca="false">IF(G620="","",G620-N(H620))</f>
        <v/>
      </c>
      <c r="N620" s="26" t="str">
        <f aca="false">IF(G620="","",G620-N(K620)-N(L620))</f>
        <v/>
      </c>
      <c r="O620" s="27" t="str">
        <f aca="false">IF(G620="","",IF(N(H620)&gt;=G620,"Pago",IF(N(H620)&gt;0,"Parcial","Pendente")))</f>
        <v/>
      </c>
      <c r="P620" s="24"/>
    </row>
    <row r="621" customFormat="false" ht="15" hidden="false" customHeight="false" outlineLevel="0" collapsed="false">
      <c r="A621" s="22"/>
      <c r="B621" s="23"/>
      <c r="C621" s="24"/>
      <c r="D621" s="24"/>
      <c r="E621" s="24"/>
      <c r="F621" s="24"/>
      <c r="G621" s="25"/>
      <c r="H621" s="25"/>
      <c r="I621" s="24"/>
      <c r="J621" s="24"/>
      <c r="K621" s="25"/>
      <c r="L621" s="25"/>
      <c r="M621" s="26" t="str">
        <f aca="false">IF(G621="","",G621-N(H621))</f>
        <v/>
      </c>
      <c r="N621" s="26" t="str">
        <f aca="false">IF(G621="","",G621-N(K621)-N(L621))</f>
        <v/>
      </c>
      <c r="O621" s="27" t="str">
        <f aca="false">IF(G621="","",IF(N(H621)&gt;=G621,"Pago",IF(N(H621)&gt;0,"Parcial","Pendente")))</f>
        <v/>
      </c>
      <c r="P621" s="24"/>
    </row>
    <row r="622" customFormat="false" ht="15" hidden="false" customHeight="false" outlineLevel="0" collapsed="false">
      <c r="A622" s="22"/>
      <c r="B622" s="23"/>
      <c r="C622" s="24"/>
      <c r="D622" s="24"/>
      <c r="E622" s="24"/>
      <c r="F622" s="24"/>
      <c r="G622" s="25"/>
      <c r="H622" s="25"/>
      <c r="I622" s="24"/>
      <c r="J622" s="24"/>
      <c r="K622" s="25"/>
      <c r="L622" s="25"/>
      <c r="M622" s="26" t="str">
        <f aca="false">IF(G622="","",G622-N(H622))</f>
        <v/>
      </c>
      <c r="N622" s="26" t="str">
        <f aca="false">IF(G622="","",G622-N(K622)-N(L622))</f>
        <v/>
      </c>
      <c r="O622" s="27" t="str">
        <f aca="false">IF(G622="","",IF(N(H622)&gt;=G622,"Pago",IF(N(H622)&gt;0,"Parcial","Pendente")))</f>
        <v/>
      </c>
      <c r="P622" s="24"/>
    </row>
    <row r="623" customFormat="false" ht="15" hidden="false" customHeight="false" outlineLevel="0" collapsed="false">
      <c r="A623" s="22"/>
      <c r="B623" s="23"/>
      <c r="C623" s="24"/>
      <c r="D623" s="24"/>
      <c r="E623" s="24"/>
      <c r="F623" s="24"/>
      <c r="G623" s="25"/>
      <c r="H623" s="25"/>
      <c r="I623" s="24"/>
      <c r="J623" s="24"/>
      <c r="K623" s="25"/>
      <c r="L623" s="25"/>
      <c r="M623" s="26" t="str">
        <f aca="false">IF(G623="","",G623-N(H623))</f>
        <v/>
      </c>
      <c r="N623" s="26" t="str">
        <f aca="false">IF(G623="","",G623-N(K623)-N(L623))</f>
        <v/>
      </c>
      <c r="O623" s="27" t="str">
        <f aca="false">IF(G623="","",IF(N(H623)&gt;=G623,"Pago",IF(N(H623)&gt;0,"Parcial","Pendente")))</f>
        <v/>
      </c>
      <c r="P623" s="24"/>
    </row>
    <row r="624" customFormat="false" ht="15" hidden="false" customHeight="false" outlineLevel="0" collapsed="false">
      <c r="A624" s="22"/>
      <c r="B624" s="23"/>
      <c r="C624" s="24"/>
      <c r="D624" s="24"/>
      <c r="E624" s="24"/>
      <c r="F624" s="24"/>
      <c r="G624" s="25"/>
      <c r="H624" s="25"/>
      <c r="I624" s="24"/>
      <c r="J624" s="24"/>
      <c r="K624" s="25"/>
      <c r="L624" s="25"/>
      <c r="M624" s="26" t="str">
        <f aca="false">IF(G624="","",G624-N(H624))</f>
        <v/>
      </c>
      <c r="N624" s="26" t="str">
        <f aca="false">IF(G624="","",G624-N(K624)-N(L624))</f>
        <v/>
      </c>
      <c r="O624" s="27" t="str">
        <f aca="false">IF(G624="","",IF(N(H624)&gt;=G624,"Pago",IF(N(H624)&gt;0,"Parcial","Pendente")))</f>
        <v/>
      </c>
      <c r="P624" s="24"/>
    </row>
    <row r="625" customFormat="false" ht="15" hidden="false" customHeight="false" outlineLevel="0" collapsed="false">
      <c r="A625" s="22"/>
      <c r="B625" s="23"/>
      <c r="C625" s="24"/>
      <c r="D625" s="24"/>
      <c r="E625" s="24"/>
      <c r="F625" s="24"/>
      <c r="G625" s="25"/>
      <c r="H625" s="25"/>
      <c r="I625" s="24"/>
      <c r="J625" s="24"/>
      <c r="K625" s="25"/>
      <c r="L625" s="25"/>
      <c r="M625" s="26" t="str">
        <f aca="false">IF(G625="","",G625-N(H625))</f>
        <v/>
      </c>
      <c r="N625" s="26" t="str">
        <f aca="false">IF(G625="","",G625-N(K625)-N(L625))</f>
        <v/>
      </c>
      <c r="O625" s="27" t="str">
        <f aca="false">IF(G625="","",IF(N(H625)&gt;=G625,"Pago",IF(N(H625)&gt;0,"Parcial","Pendente")))</f>
        <v/>
      </c>
      <c r="P625" s="24"/>
    </row>
    <row r="626" customFormat="false" ht="15" hidden="false" customHeight="false" outlineLevel="0" collapsed="false">
      <c r="A626" s="22"/>
      <c r="B626" s="23"/>
      <c r="C626" s="24"/>
      <c r="D626" s="24"/>
      <c r="E626" s="24"/>
      <c r="F626" s="24"/>
      <c r="G626" s="25"/>
      <c r="H626" s="25"/>
      <c r="I626" s="24"/>
      <c r="J626" s="24"/>
      <c r="K626" s="25"/>
      <c r="L626" s="25"/>
      <c r="M626" s="26" t="str">
        <f aca="false">IF(G626="","",G626-N(H626))</f>
        <v/>
      </c>
      <c r="N626" s="26" t="str">
        <f aca="false">IF(G626="","",G626-N(K626)-N(L626))</f>
        <v/>
      </c>
      <c r="O626" s="27" t="str">
        <f aca="false">IF(G626="","",IF(N(H626)&gt;=G626,"Pago",IF(N(H626)&gt;0,"Parcial","Pendente")))</f>
        <v/>
      </c>
      <c r="P626" s="24"/>
    </row>
    <row r="627" customFormat="false" ht="15" hidden="false" customHeight="false" outlineLevel="0" collapsed="false">
      <c r="A627" s="22"/>
      <c r="B627" s="23"/>
      <c r="C627" s="24"/>
      <c r="D627" s="24"/>
      <c r="E627" s="24"/>
      <c r="F627" s="24"/>
      <c r="G627" s="25"/>
      <c r="H627" s="25"/>
      <c r="I627" s="24"/>
      <c r="J627" s="24"/>
      <c r="K627" s="25"/>
      <c r="L627" s="25"/>
      <c r="M627" s="26" t="str">
        <f aca="false">IF(G627="","",G627-N(H627))</f>
        <v/>
      </c>
      <c r="N627" s="26" t="str">
        <f aca="false">IF(G627="","",G627-N(K627)-N(L627))</f>
        <v/>
      </c>
      <c r="O627" s="27" t="str">
        <f aca="false">IF(G627="","",IF(N(H627)&gt;=G627,"Pago",IF(N(H627)&gt;0,"Parcial","Pendente")))</f>
        <v/>
      </c>
      <c r="P627" s="24"/>
    </row>
    <row r="628" customFormat="false" ht="15" hidden="false" customHeight="false" outlineLevel="0" collapsed="false">
      <c r="A628" s="22"/>
      <c r="B628" s="23"/>
      <c r="C628" s="24"/>
      <c r="D628" s="24"/>
      <c r="E628" s="24"/>
      <c r="F628" s="24"/>
      <c r="G628" s="25"/>
      <c r="H628" s="25"/>
      <c r="I628" s="24"/>
      <c r="J628" s="24"/>
      <c r="K628" s="25"/>
      <c r="L628" s="25"/>
      <c r="M628" s="26" t="str">
        <f aca="false">IF(G628="","",G628-N(H628))</f>
        <v/>
      </c>
      <c r="N628" s="26" t="str">
        <f aca="false">IF(G628="","",G628-N(K628)-N(L628))</f>
        <v/>
      </c>
      <c r="O628" s="27" t="str">
        <f aca="false">IF(G628="","",IF(N(H628)&gt;=G628,"Pago",IF(N(H628)&gt;0,"Parcial","Pendente")))</f>
        <v/>
      </c>
      <c r="P628" s="24"/>
    </row>
    <row r="629" customFormat="false" ht="15" hidden="false" customHeight="false" outlineLevel="0" collapsed="false">
      <c r="A629" s="22"/>
      <c r="B629" s="23"/>
      <c r="C629" s="24"/>
      <c r="D629" s="24"/>
      <c r="E629" s="24"/>
      <c r="F629" s="24"/>
      <c r="G629" s="25"/>
      <c r="H629" s="25"/>
      <c r="I629" s="24"/>
      <c r="J629" s="24"/>
      <c r="K629" s="25"/>
      <c r="L629" s="25"/>
      <c r="M629" s="26" t="str">
        <f aca="false">IF(G629="","",G629-N(H629))</f>
        <v/>
      </c>
      <c r="N629" s="26" t="str">
        <f aca="false">IF(G629="","",G629-N(K629)-N(L629))</f>
        <v/>
      </c>
      <c r="O629" s="27" t="str">
        <f aca="false">IF(G629="","",IF(N(H629)&gt;=G629,"Pago",IF(N(H629)&gt;0,"Parcial","Pendente")))</f>
        <v/>
      </c>
      <c r="P629" s="24"/>
    </row>
    <row r="630" customFormat="false" ht="15" hidden="false" customHeight="false" outlineLevel="0" collapsed="false">
      <c r="A630" s="22"/>
      <c r="B630" s="23"/>
      <c r="C630" s="24"/>
      <c r="D630" s="24"/>
      <c r="E630" s="24"/>
      <c r="F630" s="24"/>
      <c r="G630" s="25"/>
      <c r="H630" s="25"/>
      <c r="I630" s="24"/>
      <c r="J630" s="24"/>
      <c r="K630" s="25"/>
      <c r="L630" s="25"/>
      <c r="M630" s="26" t="str">
        <f aca="false">IF(G630="","",G630-N(H630))</f>
        <v/>
      </c>
      <c r="N630" s="26" t="str">
        <f aca="false">IF(G630="","",G630-N(K630)-N(L630))</f>
        <v/>
      </c>
      <c r="O630" s="27" t="str">
        <f aca="false">IF(G630="","",IF(N(H630)&gt;=G630,"Pago",IF(N(H630)&gt;0,"Parcial","Pendente")))</f>
        <v/>
      </c>
      <c r="P630" s="24"/>
    </row>
    <row r="631" customFormat="false" ht="15" hidden="false" customHeight="false" outlineLevel="0" collapsed="false">
      <c r="A631" s="22"/>
      <c r="B631" s="23"/>
      <c r="C631" s="24"/>
      <c r="D631" s="24"/>
      <c r="E631" s="24"/>
      <c r="F631" s="24"/>
      <c r="G631" s="25"/>
      <c r="H631" s="25"/>
      <c r="I631" s="24"/>
      <c r="J631" s="24"/>
      <c r="K631" s="25"/>
      <c r="L631" s="25"/>
      <c r="M631" s="26" t="str">
        <f aca="false">IF(G631="","",G631-N(H631))</f>
        <v/>
      </c>
      <c r="N631" s="26" t="str">
        <f aca="false">IF(G631="","",G631-N(K631)-N(L631))</f>
        <v/>
      </c>
      <c r="O631" s="27" t="str">
        <f aca="false">IF(G631="","",IF(N(H631)&gt;=G631,"Pago",IF(N(H631)&gt;0,"Parcial","Pendente")))</f>
        <v/>
      </c>
      <c r="P631" s="24"/>
    </row>
    <row r="632" customFormat="false" ht="15" hidden="false" customHeight="false" outlineLevel="0" collapsed="false">
      <c r="A632" s="22"/>
      <c r="B632" s="23"/>
      <c r="C632" s="24"/>
      <c r="D632" s="24"/>
      <c r="E632" s="24"/>
      <c r="F632" s="24"/>
      <c r="G632" s="25"/>
      <c r="H632" s="25"/>
      <c r="I632" s="24"/>
      <c r="J632" s="24"/>
      <c r="K632" s="25"/>
      <c r="L632" s="25"/>
      <c r="M632" s="26" t="str">
        <f aca="false">IF(G632="","",G632-N(H632))</f>
        <v/>
      </c>
      <c r="N632" s="26" t="str">
        <f aca="false">IF(G632="","",G632-N(K632)-N(L632))</f>
        <v/>
      </c>
      <c r="O632" s="27" t="str">
        <f aca="false">IF(G632="","",IF(N(H632)&gt;=G632,"Pago",IF(N(H632)&gt;0,"Parcial","Pendente")))</f>
        <v/>
      </c>
      <c r="P632" s="24"/>
    </row>
    <row r="633" customFormat="false" ht="15" hidden="false" customHeight="false" outlineLevel="0" collapsed="false">
      <c r="A633" s="22"/>
      <c r="B633" s="23"/>
      <c r="C633" s="24"/>
      <c r="D633" s="24"/>
      <c r="E633" s="24"/>
      <c r="F633" s="24"/>
      <c r="G633" s="25"/>
      <c r="H633" s="25"/>
      <c r="I633" s="24"/>
      <c r="J633" s="24"/>
      <c r="K633" s="25"/>
      <c r="L633" s="25"/>
      <c r="M633" s="26" t="str">
        <f aca="false">IF(G633="","",G633-N(H633))</f>
        <v/>
      </c>
      <c r="N633" s="26" t="str">
        <f aca="false">IF(G633="","",G633-N(K633)-N(L633))</f>
        <v/>
      </c>
      <c r="O633" s="27" t="str">
        <f aca="false">IF(G633="","",IF(N(H633)&gt;=G633,"Pago",IF(N(H633)&gt;0,"Parcial","Pendente")))</f>
        <v/>
      </c>
      <c r="P633" s="24"/>
    </row>
    <row r="634" customFormat="false" ht="15" hidden="false" customHeight="false" outlineLevel="0" collapsed="false">
      <c r="A634" s="22"/>
      <c r="B634" s="23"/>
      <c r="C634" s="24"/>
      <c r="D634" s="24"/>
      <c r="E634" s="24"/>
      <c r="F634" s="24"/>
      <c r="G634" s="25"/>
      <c r="H634" s="25"/>
      <c r="I634" s="24"/>
      <c r="J634" s="24"/>
      <c r="K634" s="25"/>
      <c r="L634" s="25"/>
      <c r="M634" s="26" t="str">
        <f aca="false">IF(G634="","",G634-N(H634))</f>
        <v/>
      </c>
      <c r="N634" s="26" t="str">
        <f aca="false">IF(G634="","",G634-N(K634)-N(L634))</f>
        <v/>
      </c>
      <c r="O634" s="27" t="str">
        <f aca="false">IF(G634="","",IF(N(H634)&gt;=G634,"Pago",IF(N(H634)&gt;0,"Parcial","Pendente")))</f>
        <v/>
      </c>
      <c r="P634" s="24"/>
    </row>
    <row r="635" customFormat="false" ht="15" hidden="false" customHeight="false" outlineLevel="0" collapsed="false">
      <c r="A635" s="22"/>
      <c r="B635" s="23"/>
      <c r="C635" s="24"/>
      <c r="D635" s="24"/>
      <c r="E635" s="24"/>
      <c r="F635" s="24"/>
      <c r="G635" s="25"/>
      <c r="H635" s="25"/>
      <c r="I635" s="24"/>
      <c r="J635" s="24"/>
      <c r="K635" s="25"/>
      <c r="L635" s="25"/>
      <c r="M635" s="26" t="str">
        <f aca="false">IF(G635="","",G635-N(H635))</f>
        <v/>
      </c>
      <c r="N635" s="26" t="str">
        <f aca="false">IF(G635="","",G635-N(K635)-N(L635))</f>
        <v/>
      </c>
      <c r="O635" s="27" t="str">
        <f aca="false">IF(G635="","",IF(N(H635)&gt;=G635,"Pago",IF(N(H635)&gt;0,"Parcial","Pendente")))</f>
        <v/>
      </c>
      <c r="P635" s="24"/>
    </row>
    <row r="636" customFormat="false" ht="15" hidden="false" customHeight="false" outlineLevel="0" collapsed="false">
      <c r="A636" s="22"/>
      <c r="B636" s="23"/>
      <c r="C636" s="24"/>
      <c r="D636" s="24"/>
      <c r="E636" s="24"/>
      <c r="F636" s="24"/>
      <c r="G636" s="25"/>
      <c r="H636" s="25"/>
      <c r="I636" s="24"/>
      <c r="J636" s="24"/>
      <c r="K636" s="25"/>
      <c r="L636" s="25"/>
      <c r="M636" s="26" t="str">
        <f aca="false">IF(G636="","",G636-N(H636))</f>
        <v/>
      </c>
      <c r="N636" s="26" t="str">
        <f aca="false">IF(G636="","",G636-N(K636)-N(L636))</f>
        <v/>
      </c>
      <c r="O636" s="27" t="str">
        <f aca="false">IF(G636="","",IF(N(H636)&gt;=G636,"Pago",IF(N(H636)&gt;0,"Parcial","Pendente")))</f>
        <v/>
      </c>
      <c r="P636" s="24"/>
    </row>
    <row r="637" customFormat="false" ht="15" hidden="false" customHeight="false" outlineLevel="0" collapsed="false">
      <c r="A637" s="22"/>
      <c r="B637" s="23"/>
      <c r="C637" s="24"/>
      <c r="D637" s="24"/>
      <c r="E637" s="24"/>
      <c r="F637" s="24"/>
      <c r="G637" s="25"/>
      <c r="H637" s="25"/>
      <c r="I637" s="24"/>
      <c r="J637" s="24"/>
      <c r="K637" s="25"/>
      <c r="L637" s="25"/>
      <c r="M637" s="26" t="str">
        <f aca="false">IF(G637="","",G637-N(H637))</f>
        <v/>
      </c>
      <c r="N637" s="26" t="str">
        <f aca="false">IF(G637="","",G637-N(K637)-N(L637))</f>
        <v/>
      </c>
      <c r="O637" s="27" t="str">
        <f aca="false">IF(G637="","",IF(N(H637)&gt;=G637,"Pago",IF(N(H637)&gt;0,"Parcial","Pendente")))</f>
        <v/>
      </c>
      <c r="P637" s="24"/>
    </row>
    <row r="638" customFormat="false" ht="15" hidden="false" customHeight="false" outlineLevel="0" collapsed="false">
      <c r="A638" s="22"/>
      <c r="B638" s="23"/>
      <c r="C638" s="24"/>
      <c r="D638" s="24"/>
      <c r="E638" s="24"/>
      <c r="F638" s="24"/>
      <c r="G638" s="25"/>
      <c r="H638" s="25"/>
      <c r="I638" s="24"/>
      <c r="J638" s="24"/>
      <c r="K638" s="25"/>
      <c r="L638" s="25"/>
      <c r="M638" s="26" t="str">
        <f aca="false">IF(G638="","",G638-N(H638))</f>
        <v/>
      </c>
      <c r="N638" s="26" t="str">
        <f aca="false">IF(G638="","",G638-N(K638)-N(L638))</f>
        <v/>
      </c>
      <c r="O638" s="27" t="str">
        <f aca="false">IF(G638="","",IF(N(H638)&gt;=G638,"Pago",IF(N(H638)&gt;0,"Parcial","Pendente")))</f>
        <v/>
      </c>
      <c r="P638" s="24"/>
    </row>
    <row r="639" customFormat="false" ht="15" hidden="false" customHeight="false" outlineLevel="0" collapsed="false">
      <c r="A639" s="22"/>
      <c r="B639" s="23"/>
      <c r="C639" s="24"/>
      <c r="D639" s="24"/>
      <c r="E639" s="24"/>
      <c r="F639" s="24"/>
      <c r="G639" s="25"/>
      <c r="H639" s="25"/>
      <c r="I639" s="24"/>
      <c r="J639" s="24"/>
      <c r="K639" s="25"/>
      <c r="L639" s="25"/>
      <c r="M639" s="26" t="str">
        <f aca="false">IF(G639="","",G639-N(H639))</f>
        <v/>
      </c>
      <c r="N639" s="26" t="str">
        <f aca="false">IF(G639="","",G639-N(K639)-N(L639))</f>
        <v/>
      </c>
      <c r="O639" s="27" t="str">
        <f aca="false">IF(G639="","",IF(N(H639)&gt;=G639,"Pago",IF(N(H639)&gt;0,"Parcial","Pendente")))</f>
        <v/>
      </c>
      <c r="P639" s="24"/>
    </row>
    <row r="640" customFormat="false" ht="15" hidden="false" customHeight="false" outlineLevel="0" collapsed="false">
      <c r="A640" s="22"/>
      <c r="B640" s="23"/>
      <c r="C640" s="24"/>
      <c r="D640" s="24"/>
      <c r="E640" s="24"/>
      <c r="F640" s="24"/>
      <c r="G640" s="25"/>
      <c r="H640" s="25"/>
      <c r="I640" s="24"/>
      <c r="J640" s="24"/>
      <c r="K640" s="25"/>
      <c r="L640" s="25"/>
      <c r="M640" s="26" t="str">
        <f aca="false">IF(G640="","",G640-N(H640))</f>
        <v/>
      </c>
      <c r="N640" s="26" t="str">
        <f aca="false">IF(G640="","",G640-N(K640)-N(L640))</f>
        <v/>
      </c>
      <c r="O640" s="27" t="str">
        <f aca="false">IF(G640="","",IF(N(H640)&gt;=G640,"Pago",IF(N(H640)&gt;0,"Parcial","Pendente")))</f>
        <v/>
      </c>
      <c r="P640" s="24"/>
    </row>
    <row r="641" customFormat="false" ht="15" hidden="false" customHeight="false" outlineLevel="0" collapsed="false">
      <c r="A641" s="22"/>
      <c r="B641" s="23"/>
      <c r="C641" s="24"/>
      <c r="D641" s="24"/>
      <c r="E641" s="24"/>
      <c r="F641" s="24"/>
      <c r="G641" s="25"/>
      <c r="H641" s="25"/>
      <c r="I641" s="24"/>
      <c r="J641" s="24"/>
      <c r="K641" s="25"/>
      <c r="L641" s="25"/>
      <c r="M641" s="26" t="str">
        <f aca="false">IF(G641="","",G641-N(H641))</f>
        <v/>
      </c>
      <c r="N641" s="26" t="str">
        <f aca="false">IF(G641="","",G641-N(K641)-N(L641))</f>
        <v/>
      </c>
      <c r="O641" s="27" t="str">
        <f aca="false">IF(G641="","",IF(N(H641)&gt;=G641,"Pago",IF(N(H641)&gt;0,"Parcial","Pendente")))</f>
        <v/>
      </c>
      <c r="P641" s="24"/>
    </row>
    <row r="642" customFormat="false" ht="15" hidden="false" customHeight="false" outlineLevel="0" collapsed="false">
      <c r="A642" s="22"/>
      <c r="B642" s="23"/>
      <c r="C642" s="24"/>
      <c r="D642" s="24"/>
      <c r="E642" s="24"/>
      <c r="F642" s="24"/>
      <c r="G642" s="25"/>
      <c r="H642" s="25"/>
      <c r="I642" s="24"/>
      <c r="J642" s="24"/>
      <c r="K642" s="25"/>
      <c r="L642" s="25"/>
      <c r="M642" s="26" t="str">
        <f aca="false">IF(G642="","",G642-N(H642))</f>
        <v/>
      </c>
      <c r="N642" s="26" t="str">
        <f aca="false">IF(G642="","",G642-N(K642)-N(L642))</f>
        <v/>
      </c>
      <c r="O642" s="27" t="str">
        <f aca="false">IF(G642="","",IF(N(H642)&gt;=G642,"Pago",IF(N(H642)&gt;0,"Parcial","Pendente")))</f>
        <v/>
      </c>
      <c r="P642" s="24"/>
    </row>
    <row r="643" customFormat="false" ht="15" hidden="false" customHeight="false" outlineLevel="0" collapsed="false">
      <c r="A643" s="22"/>
      <c r="B643" s="23"/>
      <c r="C643" s="24"/>
      <c r="D643" s="24"/>
      <c r="E643" s="24"/>
      <c r="F643" s="24"/>
      <c r="G643" s="25"/>
      <c r="H643" s="25"/>
      <c r="I643" s="24"/>
      <c r="J643" s="24"/>
      <c r="K643" s="25"/>
      <c r="L643" s="25"/>
      <c r="M643" s="26" t="str">
        <f aca="false">IF(G643="","",G643-N(H643))</f>
        <v/>
      </c>
      <c r="N643" s="26" t="str">
        <f aca="false">IF(G643="","",G643-N(K643)-N(L643))</f>
        <v/>
      </c>
      <c r="O643" s="27" t="str">
        <f aca="false">IF(G643="","",IF(N(H643)&gt;=G643,"Pago",IF(N(H643)&gt;0,"Parcial","Pendente")))</f>
        <v/>
      </c>
      <c r="P643" s="24"/>
    </row>
    <row r="644" customFormat="false" ht="15" hidden="false" customHeight="false" outlineLevel="0" collapsed="false">
      <c r="A644" s="22"/>
      <c r="B644" s="23"/>
      <c r="C644" s="24"/>
      <c r="D644" s="24"/>
      <c r="E644" s="24"/>
      <c r="F644" s="24"/>
      <c r="G644" s="25"/>
      <c r="H644" s="25"/>
      <c r="I644" s="24"/>
      <c r="J644" s="24"/>
      <c r="K644" s="25"/>
      <c r="L644" s="25"/>
      <c r="M644" s="26" t="str">
        <f aca="false">IF(G644="","",G644-N(H644))</f>
        <v/>
      </c>
      <c r="N644" s="26" t="str">
        <f aca="false">IF(G644="","",G644-N(K644)-N(L644))</f>
        <v/>
      </c>
      <c r="O644" s="27" t="str">
        <f aca="false">IF(G644="","",IF(N(H644)&gt;=G644,"Pago",IF(N(H644)&gt;0,"Parcial","Pendente")))</f>
        <v/>
      </c>
      <c r="P644" s="24"/>
    </row>
    <row r="645" customFormat="false" ht="15" hidden="false" customHeight="false" outlineLevel="0" collapsed="false">
      <c r="A645" s="22"/>
      <c r="B645" s="23"/>
      <c r="C645" s="24"/>
      <c r="D645" s="24"/>
      <c r="E645" s="24"/>
      <c r="F645" s="24"/>
      <c r="G645" s="25"/>
      <c r="H645" s="25"/>
      <c r="I645" s="24"/>
      <c r="J645" s="24"/>
      <c r="K645" s="25"/>
      <c r="L645" s="25"/>
      <c r="M645" s="26" t="str">
        <f aca="false">IF(G645="","",G645-N(H645))</f>
        <v/>
      </c>
      <c r="N645" s="26" t="str">
        <f aca="false">IF(G645="","",G645-N(K645)-N(L645))</f>
        <v/>
      </c>
      <c r="O645" s="27" t="str">
        <f aca="false">IF(G645="","",IF(N(H645)&gt;=G645,"Pago",IF(N(H645)&gt;0,"Parcial","Pendente")))</f>
        <v/>
      </c>
      <c r="P645" s="24"/>
    </row>
    <row r="646" customFormat="false" ht="15" hidden="false" customHeight="false" outlineLevel="0" collapsed="false">
      <c r="A646" s="22"/>
      <c r="B646" s="23"/>
      <c r="C646" s="24"/>
      <c r="D646" s="24"/>
      <c r="E646" s="24"/>
      <c r="F646" s="24"/>
      <c r="G646" s="25"/>
      <c r="H646" s="25"/>
      <c r="I646" s="24"/>
      <c r="J646" s="24"/>
      <c r="K646" s="25"/>
      <c r="L646" s="25"/>
      <c r="M646" s="26" t="str">
        <f aca="false">IF(G646="","",G646-N(H646))</f>
        <v/>
      </c>
      <c r="N646" s="26" t="str">
        <f aca="false">IF(G646="","",G646-N(K646)-N(L646))</f>
        <v/>
      </c>
      <c r="O646" s="27" t="str">
        <f aca="false">IF(G646="","",IF(N(H646)&gt;=G646,"Pago",IF(N(H646)&gt;0,"Parcial","Pendente")))</f>
        <v/>
      </c>
      <c r="P646" s="24"/>
    </row>
    <row r="647" customFormat="false" ht="15" hidden="false" customHeight="false" outlineLevel="0" collapsed="false">
      <c r="A647" s="22"/>
      <c r="B647" s="23"/>
      <c r="C647" s="24"/>
      <c r="D647" s="24"/>
      <c r="E647" s="24"/>
      <c r="F647" s="24"/>
      <c r="G647" s="25"/>
      <c r="H647" s="25"/>
      <c r="I647" s="24"/>
      <c r="J647" s="24"/>
      <c r="K647" s="25"/>
      <c r="L647" s="25"/>
      <c r="M647" s="26" t="str">
        <f aca="false">IF(G647="","",G647-N(H647))</f>
        <v/>
      </c>
      <c r="N647" s="26" t="str">
        <f aca="false">IF(G647="","",G647-N(K647)-N(L647))</f>
        <v/>
      </c>
      <c r="O647" s="27" t="str">
        <f aca="false">IF(G647="","",IF(N(H647)&gt;=G647,"Pago",IF(N(H647)&gt;0,"Parcial","Pendente")))</f>
        <v/>
      </c>
      <c r="P647" s="24"/>
    </row>
    <row r="648" customFormat="false" ht="15" hidden="false" customHeight="false" outlineLevel="0" collapsed="false">
      <c r="A648" s="22"/>
      <c r="B648" s="23"/>
      <c r="C648" s="24"/>
      <c r="D648" s="24"/>
      <c r="E648" s="24"/>
      <c r="F648" s="24"/>
      <c r="G648" s="25"/>
      <c r="H648" s="25"/>
      <c r="I648" s="24"/>
      <c r="J648" s="24"/>
      <c r="K648" s="25"/>
      <c r="L648" s="25"/>
      <c r="M648" s="26" t="str">
        <f aca="false">IF(G648="","",G648-N(H648))</f>
        <v/>
      </c>
      <c r="N648" s="26" t="str">
        <f aca="false">IF(G648="","",G648-N(K648)-N(L648))</f>
        <v/>
      </c>
      <c r="O648" s="27" t="str">
        <f aca="false">IF(G648="","",IF(N(H648)&gt;=G648,"Pago",IF(N(H648)&gt;0,"Parcial","Pendente")))</f>
        <v/>
      </c>
      <c r="P648" s="24"/>
    </row>
    <row r="649" customFormat="false" ht="15" hidden="false" customHeight="false" outlineLevel="0" collapsed="false">
      <c r="A649" s="22"/>
      <c r="B649" s="23"/>
      <c r="C649" s="24"/>
      <c r="D649" s="24"/>
      <c r="E649" s="24"/>
      <c r="F649" s="24"/>
      <c r="G649" s="25"/>
      <c r="H649" s="25"/>
      <c r="I649" s="24"/>
      <c r="J649" s="24"/>
      <c r="K649" s="25"/>
      <c r="L649" s="25"/>
      <c r="M649" s="26" t="str">
        <f aca="false">IF(G649="","",G649-N(H649))</f>
        <v/>
      </c>
      <c r="N649" s="26" t="str">
        <f aca="false">IF(G649="","",G649-N(K649)-N(L649))</f>
        <v/>
      </c>
      <c r="O649" s="27" t="str">
        <f aca="false">IF(G649="","",IF(N(H649)&gt;=G649,"Pago",IF(N(H649)&gt;0,"Parcial","Pendente")))</f>
        <v/>
      </c>
      <c r="P649" s="24"/>
    </row>
    <row r="650" customFormat="false" ht="15" hidden="false" customHeight="false" outlineLevel="0" collapsed="false">
      <c r="A650" s="22"/>
      <c r="B650" s="23"/>
      <c r="C650" s="24"/>
      <c r="D650" s="24"/>
      <c r="E650" s="24"/>
      <c r="F650" s="24"/>
      <c r="G650" s="25"/>
      <c r="H650" s="25"/>
      <c r="I650" s="24"/>
      <c r="J650" s="24"/>
      <c r="K650" s="25"/>
      <c r="L650" s="25"/>
      <c r="M650" s="26" t="str">
        <f aca="false">IF(G650="","",G650-N(H650))</f>
        <v/>
      </c>
      <c r="N650" s="26" t="str">
        <f aca="false">IF(G650="","",G650-N(K650)-N(L650))</f>
        <v/>
      </c>
      <c r="O650" s="27" t="str">
        <f aca="false">IF(G650="","",IF(N(H650)&gt;=G650,"Pago",IF(N(H650)&gt;0,"Parcial","Pendente")))</f>
        <v/>
      </c>
      <c r="P650" s="24"/>
    </row>
    <row r="651" customFormat="false" ht="15" hidden="false" customHeight="false" outlineLevel="0" collapsed="false">
      <c r="A651" s="22"/>
      <c r="B651" s="23"/>
      <c r="C651" s="24"/>
      <c r="D651" s="24"/>
      <c r="E651" s="24"/>
      <c r="F651" s="24"/>
      <c r="G651" s="25"/>
      <c r="H651" s="25"/>
      <c r="I651" s="24"/>
      <c r="J651" s="24"/>
      <c r="K651" s="25"/>
      <c r="L651" s="25"/>
      <c r="M651" s="26" t="str">
        <f aca="false">IF(G651="","",G651-N(H651))</f>
        <v/>
      </c>
      <c r="N651" s="26" t="str">
        <f aca="false">IF(G651="","",G651-N(K651)-N(L651))</f>
        <v/>
      </c>
      <c r="O651" s="27" t="str">
        <f aca="false">IF(G651="","",IF(N(H651)&gt;=G651,"Pago",IF(N(H651)&gt;0,"Parcial","Pendente")))</f>
        <v/>
      </c>
      <c r="P651" s="24"/>
    </row>
    <row r="652" customFormat="false" ht="15" hidden="false" customHeight="false" outlineLevel="0" collapsed="false">
      <c r="A652" s="22"/>
      <c r="B652" s="23"/>
      <c r="C652" s="24"/>
      <c r="D652" s="24"/>
      <c r="E652" s="24"/>
      <c r="F652" s="24"/>
      <c r="G652" s="25"/>
      <c r="H652" s="25"/>
      <c r="I652" s="24"/>
      <c r="J652" s="24"/>
      <c r="K652" s="25"/>
      <c r="L652" s="25"/>
      <c r="M652" s="26" t="str">
        <f aca="false">IF(G652="","",G652-N(H652))</f>
        <v/>
      </c>
      <c r="N652" s="26" t="str">
        <f aca="false">IF(G652="","",G652-N(K652)-N(L652))</f>
        <v/>
      </c>
      <c r="O652" s="27" t="str">
        <f aca="false">IF(G652="","",IF(N(H652)&gt;=G652,"Pago",IF(N(H652)&gt;0,"Parcial","Pendente")))</f>
        <v/>
      </c>
      <c r="P652" s="24"/>
    </row>
    <row r="653" customFormat="false" ht="15" hidden="false" customHeight="false" outlineLevel="0" collapsed="false">
      <c r="A653" s="22"/>
      <c r="B653" s="23"/>
      <c r="C653" s="24"/>
      <c r="D653" s="24"/>
      <c r="E653" s="24"/>
      <c r="F653" s="24"/>
      <c r="G653" s="25"/>
      <c r="H653" s="25"/>
      <c r="I653" s="24"/>
      <c r="J653" s="24"/>
      <c r="K653" s="25"/>
      <c r="L653" s="25"/>
      <c r="M653" s="26" t="str">
        <f aca="false">IF(G653="","",G653-N(H653))</f>
        <v/>
      </c>
      <c r="N653" s="26" t="str">
        <f aca="false">IF(G653="","",G653-N(K653)-N(L653))</f>
        <v/>
      </c>
      <c r="O653" s="27" t="str">
        <f aca="false">IF(G653="","",IF(N(H653)&gt;=G653,"Pago",IF(N(H653)&gt;0,"Parcial","Pendente")))</f>
        <v/>
      </c>
      <c r="P653" s="24"/>
    </row>
    <row r="654" customFormat="false" ht="15" hidden="false" customHeight="false" outlineLevel="0" collapsed="false">
      <c r="A654" s="22"/>
      <c r="B654" s="23"/>
      <c r="C654" s="24"/>
      <c r="D654" s="24"/>
      <c r="E654" s="24"/>
      <c r="F654" s="24"/>
      <c r="G654" s="25"/>
      <c r="H654" s="25"/>
      <c r="I654" s="24"/>
      <c r="J654" s="24"/>
      <c r="K654" s="25"/>
      <c r="L654" s="25"/>
      <c r="M654" s="26" t="str">
        <f aca="false">IF(G654="","",G654-N(H654))</f>
        <v/>
      </c>
      <c r="N654" s="26" t="str">
        <f aca="false">IF(G654="","",G654-N(K654)-N(L654))</f>
        <v/>
      </c>
      <c r="O654" s="27" t="str">
        <f aca="false">IF(G654="","",IF(N(H654)&gt;=G654,"Pago",IF(N(H654)&gt;0,"Parcial","Pendente")))</f>
        <v/>
      </c>
      <c r="P654" s="24"/>
    </row>
    <row r="655" customFormat="false" ht="15" hidden="false" customHeight="false" outlineLevel="0" collapsed="false">
      <c r="A655" s="22"/>
      <c r="B655" s="23"/>
      <c r="C655" s="24"/>
      <c r="D655" s="24"/>
      <c r="E655" s="24"/>
      <c r="F655" s="24"/>
      <c r="G655" s="25"/>
      <c r="H655" s="25"/>
      <c r="I655" s="24"/>
      <c r="J655" s="24"/>
      <c r="K655" s="25"/>
      <c r="L655" s="25"/>
      <c r="M655" s="26" t="str">
        <f aca="false">IF(G655="","",G655-N(H655))</f>
        <v/>
      </c>
      <c r="N655" s="26" t="str">
        <f aca="false">IF(G655="","",G655-N(K655)-N(L655))</f>
        <v/>
      </c>
      <c r="O655" s="27" t="str">
        <f aca="false">IF(G655="","",IF(N(H655)&gt;=G655,"Pago",IF(N(H655)&gt;0,"Parcial","Pendente")))</f>
        <v/>
      </c>
      <c r="P655" s="24"/>
    </row>
    <row r="656" customFormat="false" ht="15" hidden="false" customHeight="false" outlineLevel="0" collapsed="false">
      <c r="A656" s="22"/>
      <c r="B656" s="23"/>
      <c r="C656" s="24"/>
      <c r="D656" s="24"/>
      <c r="E656" s="24"/>
      <c r="F656" s="24"/>
      <c r="G656" s="25"/>
      <c r="H656" s="25"/>
      <c r="I656" s="24"/>
      <c r="J656" s="24"/>
      <c r="K656" s="25"/>
      <c r="L656" s="25"/>
      <c r="M656" s="26" t="str">
        <f aca="false">IF(G656="","",G656-N(H656))</f>
        <v/>
      </c>
      <c r="N656" s="26" t="str">
        <f aca="false">IF(G656="","",G656-N(K656)-N(L656))</f>
        <v/>
      </c>
      <c r="O656" s="27" t="str">
        <f aca="false">IF(G656="","",IF(N(H656)&gt;=G656,"Pago",IF(N(H656)&gt;0,"Parcial","Pendente")))</f>
        <v/>
      </c>
      <c r="P656" s="24"/>
    </row>
    <row r="657" customFormat="false" ht="15" hidden="false" customHeight="false" outlineLevel="0" collapsed="false">
      <c r="A657" s="22"/>
      <c r="B657" s="23"/>
      <c r="C657" s="24"/>
      <c r="D657" s="24"/>
      <c r="E657" s="24"/>
      <c r="F657" s="24"/>
      <c r="G657" s="25"/>
      <c r="H657" s="25"/>
      <c r="I657" s="24"/>
      <c r="J657" s="24"/>
      <c r="K657" s="25"/>
      <c r="L657" s="25"/>
      <c r="M657" s="26" t="str">
        <f aca="false">IF(G657="","",G657-N(H657))</f>
        <v/>
      </c>
      <c r="N657" s="26" t="str">
        <f aca="false">IF(G657="","",G657-N(K657)-N(L657))</f>
        <v/>
      </c>
      <c r="O657" s="27" t="str">
        <f aca="false">IF(G657="","",IF(N(H657)&gt;=G657,"Pago",IF(N(H657)&gt;0,"Parcial","Pendente")))</f>
        <v/>
      </c>
      <c r="P657" s="24"/>
    </row>
    <row r="658" customFormat="false" ht="15" hidden="false" customHeight="false" outlineLevel="0" collapsed="false">
      <c r="A658" s="22"/>
      <c r="B658" s="23"/>
      <c r="C658" s="24"/>
      <c r="D658" s="24"/>
      <c r="E658" s="24"/>
      <c r="F658" s="24"/>
      <c r="G658" s="25"/>
      <c r="H658" s="25"/>
      <c r="I658" s="24"/>
      <c r="J658" s="24"/>
      <c r="K658" s="25"/>
      <c r="L658" s="25"/>
      <c r="M658" s="26" t="str">
        <f aca="false">IF(G658="","",G658-N(H658))</f>
        <v/>
      </c>
      <c r="N658" s="26" t="str">
        <f aca="false">IF(G658="","",G658-N(K658)-N(L658))</f>
        <v/>
      </c>
      <c r="O658" s="27" t="str">
        <f aca="false">IF(G658="","",IF(N(H658)&gt;=G658,"Pago",IF(N(H658)&gt;0,"Parcial","Pendente")))</f>
        <v/>
      </c>
      <c r="P658" s="24"/>
    </row>
    <row r="659" customFormat="false" ht="15" hidden="false" customHeight="false" outlineLevel="0" collapsed="false">
      <c r="A659" s="22"/>
      <c r="B659" s="23"/>
      <c r="C659" s="24"/>
      <c r="D659" s="24"/>
      <c r="E659" s="24"/>
      <c r="F659" s="24"/>
      <c r="G659" s="25"/>
      <c r="H659" s="25"/>
      <c r="I659" s="24"/>
      <c r="J659" s="24"/>
      <c r="K659" s="25"/>
      <c r="L659" s="25"/>
      <c r="M659" s="26" t="str">
        <f aca="false">IF(G659="","",G659-N(H659))</f>
        <v/>
      </c>
      <c r="N659" s="26" t="str">
        <f aca="false">IF(G659="","",G659-N(K659)-N(L659))</f>
        <v/>
      </c>
      <c r="O659" s="27" t="str">
        <f aca="false">IF(G659="","",IF(N(H659)&gt;=G659,"Pago",IF(N(H659)&gt;0,"Parcial","Pendente")))</f>
        <v/>
      </c>
      <c r="P659" s="24"/>
    </row>
    <row r="660" customFormat="false" ht="15" hidden="false" customHeight="false" outlineLevel="0" collapsed="false">
      <c r="A660" s="22"/>
      <c r="B660" s="23"/>
      <c r="C660" s="24"/>
      <c r="D660" s="24"/>
      <c r="E660" s="24"/>
      <c r="F660" s="24"/>
      <c r="G660" s="25"/>
      <c r="H660" s="25"/>
      <c r="I660" s="24"/>
      <c r="J660" s="24"/>
      <c r="K660" s="25"/>
      <c r="L660" s="25"/>
      <c r="M660" s="26" t="str">
        <f aca="false">IF(G660="","",G660-N(H660))</f>
        <v/>
      </c>
      <c r="N660" s="26" t="str">
        <f aca="false">IF(G660="","",G660-N(K660)-N(L660))</f>
        <v/>
      </c>
      <c r="O660" s="27" t="str">
        <f aca="false">IF(G660="","",IF(N(H660)&gt;=G660,"Pago",IF(N(H660)&gt;0,"Parcial","Pendente")))</f>
        <v/>
      </c>
      <c r="P660" s="24"/>
    </row>
    <row r="661" customFormat="false" ht="15" hidden="false" customHeight="false" outlineLevel="0" collapsed="false">
      <c r="A661" s="22"/>
      <c r="B661" s="23"/>
      <c r="C661" s="24"/>
      <c r="D661" s="24"/>
      <c r="E661" s="24"/>
      <c r="F661" s="24"/>
      <c r="G661" s="25"/>
      <c r="H661" s="25"/>
      <c r="I661" s="24"/>
      <c r="J661" s="24"/>
      <c r="K661" s="25"/>
      <c r="L661" s="25"/>
      <c r="M661" s="26" t="str">
        <f aca="false">IF(G661="","",G661-N(H661))</f>
        <v/>
      </c>
      <c r="N661" s="26" t="str">
        <f aca="false">IF(G661="","",G661-N(K661)-N(L661))</f>
        <v/>
      </c>
      <c r="O661" s="27" t="str">
        <f aca="false">IF(G661="","",IF(N(H661)&gt;=G661,"Pago",IF(N(H661)&gt;0,"Parcial","Pendente")))</f>
        <v/>
      </c>
      <c r="P661" s="24"/>
    </row>
    <row r="662" customFormat="false" ht="15" hidden="false" customHeight="false" outlineLevel="0" collapsed="false">
      <c r="A662" s="22"/>
      <c r="B662" s="23"/>
      <c r="C662" s="24"/>
      <c r="D662" s="24"/>
      <c r="E662" s="24"/>
      <c r="F662" s="24"/>
      <c r="G662" s="25"/>
      <c r="H662" s="25"/>
      <c r="I662" s="24"/>
      <c r="J662" s="24"/>
      <c r="K662" s="25"/>
      <c r="L662" s="25"/>
      <c r="M662" s="26" t="str">
        <f aca="false">IF(G662="","",G662-N(H662))</f>
        <v/>
      </c>
      <c r="N662" s="26" t="str">
        <f aca="false">IF(G662="","",G662-N(K662)-N(L662))</f>
        <v/>
      </c>
      <c r="O662" s="27" t="str">
        <f aca="false">IF(G662="","",IF(N(H662)&gt;=G662,"Pago",IF(N(H662)&gt;0,"Parcial","Pendente")))</f>
        <v/>
      </c>
      <c r="P662" s="24"/>
    </row>
    <row r="663" customFormat="false" ht="15" hidden="false" customHeight="false" outlineLevel="0" collapsed="false">
      <c r="A663" s="22"/>
      <c r="B663" s="23"/>
      <c r="C663" s="24"/>
      <c r="D663" s="24"/>
      <c r="E663" s="24"/>
      <c r="F663" s="24"/>
      <c r="G663" s="25"/>
      <c r="H663" s="25"/>
      <c r="I663" s="24"/>
      <c r="J663" s="24"/>
      <c r="K663" s="25"/>
      <c r="L663" s="25"/>
      <c r="M663" s="26" t="str">
        <f aca="false">IF(G663="","",G663-N(H663))</f>
        <v/>
      </c>
      <c r="N663" s="26" t="str">
        <f aca="false">IF(G663="","",G663-N(K663)-N(L663))</f>
        <v/>
      </c>
      <c r="O663" s="27" t="str">
        <f aca="false">IF(G663="","",IF(N(H663)&gt;=G663,"Pago",IF(N(H663)&gt;0,"Parcial","Pendente")))</f>
        <v/>
      </c>
      <c r="P663" s="24"/>
    </row>
    <row r="664" customFormat="false" ht="15" hidden="false" customHeight="false" outlineLevel="0" collapsed="false">
      <c r="A664" s="22"/>
      <c r="B664" s="23"/>
      <c r="C664" s="24"/>
      <c r="D664" s="24"/>
      <c r="E664" s="24"/>
      <c r="F664" s="24"/>
      <c r="G664" s="25"/>
      <c r="H664" s="25"/>
      <c r="I664" s="24"/>
      <c r="J664" s="24"/>
      <c r="K664" s="25"/>
      <c r="L664" s="25"/>
      <c r="M664" s="26" t="str">
        <f aca="false">IF(G664="","",G664-N(H664))</f>
        <v/>
      </c>
      <c r="N664" s="26" t="str">
        <f aca="false">IF(G664="","",G664-N(K664)-N(L664))</f>
        <v/>
      </c>
      <c r="O664" s="27" t="str">
        <f aca="false">IF(G664="","",IF(N(H664)&gt;=G664,"Pago",IF(N(H664)&gt;0,"Parcial","Pendente")))</f>
        <v/>
      </c>
      <c r="P664" s="24"/>
    </row>
    <row r="665" customFormat="false" ht="15" hidden="false" customHeight="false" outlineLevel="0" collapsed="false">
      <c r="A665" s="22"/>
      <c r="B665" s="23"/>
      <c r="C665" s="24"/>
      <c r="D665" s="24"/>
      <c r="E665" s="24"/>
      <c r="F665" s="24"/>
      <c r="G665" s="25"/>
      <c r="H665" s="25"/>
      <c r="I665" s="24"/>
      <c r="J665" s="24"/>
      <c r="K665" s="25"/>
      <c r="L665" s="25"/>
      <c r="M665" s="26" t="str">
        <f aca="false">IF(G665="","",G665-N(H665))</f>
        <v/>
      </c>
      <c r="N665" s="26" t="str">
        <f aca="false">IF(G665="","",G665-N(K665)-N(L665))</f>
        <v/>
      </c>
      <c r="O665" s="27" t="str">
        <f aca="false">IF(G665="","",IF(N(H665)&gt;=G665,"Pago",IF(N(H665)&gt;0,"Parcial","Pendente")))</f>
        <v/>
      </c>
      <c r="P665" s="24"/>
    </row>
    <row r="666" customFormat="false" ht="15" hidden="false" customHeight="false" outlineLevel="0" collapsed="false">
      <c r="A666" s="22"/>
      <c r="B666" s="23"/>
      <c r="C666" s="24"/>
      <c r="D666" s="24"/>
      <c r="E666" s="24"/>
      <c r="F666" s="24"/>
      <c r="G666" s="25"/>
      <c r="H666" s="25"/>
      <c r="I666" s="24"/>
      <c r="J666" s="24"/>
      <c r="K666" s="25"/>
      <c r="L666" s="25"/>
      <c r="M666" s="26" t="str">
        <f aca="false">IF(G666="","",G666-N(H666))</f>
        <v/>
      </c>
      <c r="N666" s="26" t="str">
        <f aca="false">IF(G666="","",G666-N(K666)-N(L666))</f>
        <v/>
      </c>
      <c r="O666" s="27" t="str">
        <f aca="false">IF(G666="","",IF(N(H666)&gt;=G666,"Pago",IF(N(H666)&gt;0,"Parcial","Pendente")))</f>
        <v/>
      </c>
      <c r="P666" s="24"/>
    </row>
    <row r="667" customFormat="false" ht="15" hidden="false" customHeight="false" outlineLevel="0" collapsed="false">
      <c r="A667" s="22"/>
      <c r="B667" s="23"/>
      <c r="C667" s="24"/>
      <c r="D667" s="24"/>
      <c r="E667" s="24"/>
      <c r="F667" s="24"/>
      <c r="G667" s="25"/>
      <c r="H667" s="25"/>
      <c r="I667" s="24"/>
      <c r="J667" s="24"/>
      <c r="K667" s="25"/>
      <c r="L667" s="25"/>
      <c r="M667" s="26" t="str">
        <f aca="false">IF(G667="","",G667-N(H667))</f>
        <v/>
      </c>
      <c r="N667" s="26" t="str">
        <f aca="false">IF(G667="","",G667-N(K667)-N(L667))</f>
        <v/>
      </c>
      <c r="O667" s="27" t="str">
        <f aca="false">IF(G667="","",IF(N(H667)&gt;=G667,"Pago",IF(N(H667)&gt;0,"Parcial","Pendente")))</f>
        <v/>
      </c>
      <c r="P667" s="24"/>
    </row>
    <row r="668" customFormat="false" ht="15" hidden="false" customHeight="false" outlineLevel="0" collapsed="false">
      <c r="A668" s="22"/>
      <c r="B668" s="23"/>
      <c r="C668" s="24"/>
      <c r="D668" s="24"/>
      <c r="E668" s="24"/>
      <c r="F668" s="24"/>
      <c r="G668" s="25"/>
      <c r="H668" s="25"/>
      <c r="I668" s="24"/>
      <c r="J668" s="24"/>
      <c r="K668" s="25"/>
      <c r="L668" s="25"/>
      <c r="M668" s="26" t="str">
        <f aca="false">IF(G668="","",G668-N(H668))</f>
        <v/>
      </c>
      <c r="N668" s="26" t="str">
        <f aca="false">IF(G668="","",G668-N(K668)-N(L668))</f>
        <v/>
      </c>
      <c r="O668" s="27" t="str">
        <f aca="false">IF(G668="","",IF(N(H668)&gt;=G668,"Pago",IF(N(H668)&gt;0,"Parcial","Pendente")))</f>
        <v/>
      </c>
      <c r="P668" s="24"/>
    </row>
    <row r="669" customFormat="false" ht="15" hidden="false" customHeight="false" outlineLevel="0" collapsed="false">
      <c r="A669" s="22"/>
      <c r="B669" s="23"/>
      <c r="C669" s="24"/>
      <c r="D669" s="24"/>
      <c r="E669" s="24"/>
      <c r="F669" s="24"/>
      <c r="G669" s="25"/>
      <c r="H669" s="25"/>
      <c r="I669" s="24"/>
      <c r="J669" s="24"/>
      <c r="K669" s="25"/>
      <c r="L669" s="25"/>
      <c r="M669" s="26" t="str">
        <f aca="false">IF(G669="","",G669-N(H669))</f>
        <v/>
      </c>
      <c r="N669" s="26" t="str">
        <f aca="false">IF(G669="","",G669-N(K669)-N(L669))</f>
        <v/>
      </c>
      <c r="O669" s="27" t="str">
        <f aca="false">IF(G669="","",IF(N(H669)&gt;=G669,"Pago",IF(N(H669)&gt;0,"Parcial","Pendente")))</f>
        <v/>
      </c>
      <c r="P669" s="24"/>
    </row>
    <row r="670" customFormat="false" ht="15" hidden="false" customHeight="false" outlineLevel="0" collapsed="false">
      <c r="A670" s="22"/>
      <c r="B670" s="23"/>
      <c r="C670" s="24"/>
      <c r="D670" s="24"/>
      <c r="E670" s="24"/>
      <c r="F670" s="24"/>
      <c r="G670" s="25"/>
      <c r="H670" s="25"/>
      <c r="I670" s="24"/>
      <c r="J670" s="24"/>
      <c r="K670" s="25"/>
      <c r="L670" s="25"/>
      <c r="M670" s="26" t="str">
        <f aca="false">IF(G670="","",G670-N(H670))</f>
        <v/>
      </c>
      <c r="N670" s="26" t="str">
        <f aca="false">IF(G670="","",G670-N(K670)-N(L670))</f>
        <v/>
      </c>
      <c r="O670" s="27" t="str">
        <f aca="false">IF(G670="","",IF(N(H670)&gt;=G670,"Pago",IF(N(H670)&gt;0,"Parcial","Pendente")))</f>
        <v/>
      </c>
      <c r="P670" s="24"/>
    </row>
    <row r="671" customFormat="false" ht="15" hidden="false" customHeight="false" outlineLevel="0" collapsed="false">
      <c r="A671" s="22"/>
      <c r="B671" s="23"/>
      <c r="C671" s="24"/>
      <c r="D671" s="24"/>
      <c r="E671" s="24"/>
      <c r="F671" s="24"/>
      <c r="G671" s="25"/>
      <c r="H671" s="25"/>
      <c r="I671" s="24"/>
      <c r="J671" s="24"/>
      <c r="K671" s="25"/>
      <c r="L671" s="25"/>
      <c r="M671" s="26" t="str">
        <f aca="false">IF(G671="","",G671-N(H671))</f>
        <v/>
      </c>
      <c r="N671" s="26" t="str">
        <f aca="false">IF(G671="","",G671-N(K671)-N(L671))</f>
        <v/>
      </c>
      <c r="O671" s="27" t="str">
        <f aca="false">IF(G671="","",IF(N(H671)&gt;=G671,"Pago",IF(N(H671)&gt;0,"Parcial","Pendente")))</f>
        <v/>
      </c>
      <c r="P671" s="24"/>
    </row>
    <row r="672" customFormat="false" ht="15" hidden="false" customHeight="false" outlineLevel="0" collapsed="false">
      <c r="A672" s="22"/>
      <c r="B672" s="23"/>
      <c r="C672" s="24"/>
      <c r="D672" s="24"/>
      <c r="E672" s="24"/>
      <c r="F672" s="24"/>
      <c r="G672" s="25"/>
      <c r="H672" s="25"/>
      <c r="I672" s="24"/>
      <c r="J672" s="24"/>
      <c r="K672" s="25"/>
      <c r="L672" s="25"/>
      <c r="M672" s="26" t="str">
        <f aca="false">IF(G672="","",G672-N(H672))</f>
        <v/>
      </c>
      <c r="N672" s="26" t="str">
        <f aca="false">IF(G672="","",G672-N(K672)-N(L672))</f>
        <v/>
      </c>
      <c r="O672" s="27" t="str">
        <f aca="false">IF(G672="","",IF(N(H672)&gt;=G672,"Pago",IF(N(H672)&gt;0,"Parcial","Pendente")))</f>
        <v/>
      </c>
      <c r="P672" s="24"/>
    </row>
    <row r="673" customFormat="false" ht="15" hidden="false" customHeight="false" outlineLevel="0" collapsed="false">
      <c r="A673" s="22"/>
      <c r="B673" s="23"/>
      <c r="C673" s="24"/>
      <c r="D673" s="24"/>
      <c r="E673" s="24"/>
      <c r="F673" s="24"/>
      <c r="G673" s="25"/>
      <c r="H673" s="25"/>
      <c r="I673" s="24"/>
      <c r="J673" s="24"/>
      <c r="K673" s="25"/>
      <c r="L673" s="25"/>
      <c r="M673" s="26" t="str">
        <f aca="false">IF(G673="","",G673-N(H673))</f>
        <v/>
      </c>
      <c r="N673" s="26" t="str">
        <f aca="false">IF(G673="","",G673-N(K673)-N(L673))</f>
        <v/>
      </c>
      <c r="O673" s="27" t="str">
        <f aca="false">IF(G673="","",IF(N(H673)&gt;=G673,"Pago",IF(N(H673)&gt;0,"Parcial","Pendente")))</f>
        <v/>
      </c>
      <c r="P673" s="24"/>
    </row>
    <row r="674" customFormat="false" ht="15" hidden="false" customHeight="false" outlineLevel="0" collapsed="false">
      <c r="A674" s="22"/>
      <c r="B674" s="23"/>
      <c r="C674" s="24"/>
      <c r="D674" s="24"/>
      <c r="E674" s="24"/>
      <c r="F674" s="24"/>
      <c r="G674" s="25"/>
      <c r="H674" s="25"/>
      <c r="I674" s="24"/>
      <c r="J674" s="24"/>
      <c r="K674" s="25"/>
      <c r="L674" s="25"/>
      <c r="M674" s="26" t="str">
        <f aca="false">IF(G674="","",G674-N(H674))</f>
        <v/>
      </c>
      <c r="N674" s="26" t="str">
        <f aca="false">IF(G674="","",G674-N(K674)-N(L674))</f>
        <v/>
      </c>
      <c r="O674" s="27" t="str">
        <f aca="false">IF(G674="","",IF(N(H674)&gt;=G674,"Pago",IF(N(H674)&gt;0,"Parcial","Pendente")))</f>
        <v/>
      </c>
      <c r="P674" s="24"/>
    </row>
    <row r="675" customFormat="false" ht="15" hidden="false" customHeight="false" outlineLevel="0" collapsed="false">
      <c r="A675" s="22"/>
      <c r="B675" s="23"/>
      <c r="C675" s="24"/>
      <c r="D675" s="24"/>
      <c r="E675" s="24"/>
      <c r="F675" s="24"/>
      <c r="G675" s="25"/>
      <c r="H675" s="25"/>
      <c r="I675" s="24"/>
      <c r="J675" s="24"/>
      <c r="K675" s="25"/>
      <c r="L675" s="25"/>
      <c r="M675" s="26" t="str">
        <f aca="false">IF(G675="","",G675-N(H675))</f>
        <v/>
      </c>
      <c r="N675" s="26" t="str">
        <f aca="false">IF(G675="","",G675-N(K675)-N(L675))</f>
        <v/>
      </c>
      <c r="O675" s="27" t="str">
        <f aca="false">IF(G675="","",IF(N(H675)&gt;=G675,"Pago",IF(N(H675)&gt;0,"Parcial","Pendente")))</f>
        <v/>
      </c>
      <c r="P675" s="24"/>
    </row>
    <row r="676" customFormat="false" ht="15" hidden="false" customHeight="false" outlineLevel="0" collapsed="false">
      <c r="A676" s="22"/>
      <c r="B676" s="23"/>
      <c r="C676" s="24"/>
      <c r="D676" s="24"/>
      <c r="E676" s="24"/>
      <c r="F676" s="24"/>
      <c r="G676" s="25"/>
      <c r="H676" s="25"/>
      <c r="I676" s="24"/>
      <c r="J676" s="24"/>
      <c r="K676" s="25"/>
      <c r="L676" s="25"/>
      <c r="M676" s="26" t="str">
        <f aca="false">IF(G676="","",G676-N(H676))</f>
        <v/>
      </c>
      <c r="N676" s="26" t="str">
        <f aca="false">IF(G676="","",G676-N(K676)-N(L676))</f>
        <v/>
      </c>
      <c r="O676" s="27" t="str">
        <f aca="false">IF(G676="","",IF(N(H676)&gt;=G676,"Pago",IF(N(H676)&gt;0,"Parcial","Pendente")))</f>
        <v/>
      </c>
      <c r="P676" s="24"/>
    </row>
    <row r="677" customFormat="false" ht="15" hidden="false" customHeight="false" outlineLevel="0" collapsed="false">
      <c r="A677" s="22"/>
      <c r="B677" s="23"/>
      <c r="C677" s="24"/>
      <c r="D677" s="24"/>
      <c r="E677" s="24"/>
      <c r="F677" s="24"/>
      <c r="G677" s="25"/>
      <c r="H677" s="25"/>
      <c r="I677" s="24"/>
      <c r="J677" s="24"/>
      <c r="K677" s="25"/>
      <c r="L677" s="25"/>
      <c r="M677" s="26" t="str">
        <f aca="false">IF(G677="","",G677-N(H677))</f>
        <v/>
      </c>
      <c r="N677" s="26" t="str">
        <f aca="false">IF(G677="","",G677-N(K677)-N(L677))</f>
        <v/>
      </c>
      <c r="O677" s="27" t="str">
        <f aca="false">IF(G677="","",IF(N(H677)&gt;=G677,"Pago",IF(N(H677)&gt;0,"Parcial","Pendente")))</f>
        <v/>
      </c>
      <c r="P677" s="24"/>
    </row>
    <row r="678" customFormat="false" ht="15" hidden="false" customHeight="false" outlineLevel="0" collapsed="false">
      <c r="A678" s="22"/>
      <c r="B678" s="23"/>
      <c r="C678" s="24"/>
      <c r="D678" s="24"/>
      <c r="E678" s="24"/>
      <c r="F678" s="24"/>
      <c r="G678" s="25"/>
      <c r="H678" s="25"/>
      <c r="I678" s="24"/>
      <c r="J678" s="24"/>
      <c r="K678" s="25"/>
      <c r="L678" s="25"/>
      <c r="M678" s="26" t="str">
        <f aca="false">IF(G678="","",G678-N(H678))</f>
        <v/>
      </c>
      <c r="N678" s="26" t="str">
        <f aca="false">IF(G678="","",G678-N(K678)-N(L678))</f>
        <v/>
      </c>
      <c r="O678" s="27" t="str">
        <f aca="false">IF(G678="","",IF(N(H678)&gt;=G678,"Pago",IF(N(H678)&gt;0,"Parcial","Pendente")))</f>
        <v/>
      </c>
      <c r="P678" s="24"/>
    </row>
    <row r="679" customFormat="false" ht="15" hidden="false" customHeight="false" outlineLevel="0" collapsed="false">
      <c r="A679" s="22"/>
      <c r="B679" s="23"/>
      <c r="C679" s="24"/>
      <c r="D679" s="24"/>
      <c r="E679" s="24"/>
      <c r="F679" s="24"/>
      <c r="G679" s="25"/>
      <c r="H679" s="25"/>
      <c r="I679" s="24"/>
      <c r="J679" s="24"/>
      <c r="K679" s="25"/>
      <c r="L679" s="25"/>
      <c r="M679" s="26" t="str">
        <f aca="false">IF(G679="","",G679-N(H679))</f>
        <v/>
      </c>
      <c r="N679" s="26" t="str">
        <f aca="false">IF(G679="","",G679-N(K679)-N(L679))</f>
        <v/>
      </c>
      <c r="O679" s="27" t="str">
        <f aca="false">IF(G679="","",IF(N(H679)&gt;=G679,"Pago",IF(N(H679)&gt;0,"Parcial","Pendente")))</f>
        <v/>
      </c>
      <c r="P679" s="24"/>
    </row>
    <row r="680" customFormat="false" ht="15" hidden="false" customHeight="false" outlineLevel="0" collapsed="false">
      <c r="A680" s="22"/>
      <c r="B680" s="23"/>
      <c r="C680" s="24"/>
      <c r="D680" s="24"/>
      <c r="E680" s="24"/>
      <c r="F680" s="24"/>
      <c r="G680" s="25"/>
      <c r="H680" s="25"/>
      <c r="I680" s="24"/>
      <c r="J680" s="24"/>
      <c r="K680" s="25"/>
      <c r="L680" s="25"/>
      <c r="M680" s="26" t="str">
        <f aca="false">IF(G680="","",G680-N(H680))</f>
        <v/>
      </c>
      <c r="N680" s="26" t="str">
        <f aca="false">IF(G680="","",G680-N(K680)-N(L680))</f>
        <v/>
      </c>
      <c r="O680" s="27" t="str">
        <f aca="false">IF(G680="","",IF(N(H680)&gt;=G680,"Pago",IF(N(H680)&gt;0,"Parcial","Pendente")))</f>
        <v/>
      </c>
      <c r="P680" s="24"/>
    </row>
    <row r="681" customFormat="false" ht="15" hidden="false" customHeight="false" outlineLevel="0" collapsed="false">
      <c r="A681" s="22"/>
      <c r="B681" s="23"/>
      <c r="C681" s="24"/>
      <c r="D681" s="24"/>
      <c r="E681" s="24"/>
      <c r="F681" s="24"/>
      <c r="G681" s="25"/>
      <c r="H681" s="25"/>
      <c r="I681" s="24"/>
      <c r="J681" s="24"/>
      <c r="K681" s="25"/>
      <c r="L681" s="25"/>
      <c r="M681" s="26" t="str">
        <f aca="false">IF(G681="","",G681-N(H681))</f>
        <v/>
      </c>
      <c r="N681" s="26" t="str">
        <f aca="false">IF(G681="","",G681-N(K681)-N(L681))</f>
        <v/>
      </c>
      <c r="O681" s="27" t="str">
        <f aca="false">IF(G681="","",IF(N(H681)&gt;=G681,"Pago",IF(N(H681)&gt;0,"Parcial","Pendente")))</f>
        <v/>
      </c>
      <c r="P681" s="24"/>
    </row>
    <row r="682" customFormat="false" ht="15" hidden="false" customHeight="false" outlineLevel="0" collapsed="false">
      <c r="A682" s="22"/>
      <c r="B682" s="23"/>
      <c r="C682" s="24"/>
      <c r="D682" s="24"/>
      <c r="E682" s="24"/>
      <c r="F682" s="24"/>
      <c r="G682" s="25"/>
      <c r="H682" s="25"/>
      <c r="I682" s="24"/>
      <c r="J682" s="24"/>
      <c r="K682" s="25"/>
      <c r="L682" s="25"/>
      <c r="M682" s="26" t="str">
        <f aca="false">IF(G682="","",G682-N(H682))</f>
        <v/>
      </c>
      <c r="N682" s="26" t="str">
        <f aca="false">IF(G682="","",G682-N(K682)-N(L682))</f>
        <v/>
      </c>
      <c r="O682" s="27" t="str">
        <f aca="false">IF(G682="","",IF(N(H682)&gt;=G682,"Pago",IF(N(H682)&gt;0,"Parcial","Pendente")))</f>
        <v/>
      </c>
      <c r="P682" s="24"/>
    </row>
    <row r="683" customFormat="false" ht="15" hidden="false" customHeight="false" outlineLevel="0" collapsed="false">
      <c r="A683" s="22"/>
      <c r="B683" s="23"/>
      <c r="C683" s="24"/>
      <c r="D683" s="24"/>
      <c r="E683" s="24"/>
      <c r="F683" s="24"/>
      <c r="G683" s="25"/>
      <c r="H683" s="25"/>
      <c r="I683" s="24"/>
      <c r="J683" s="24"/>
      <c r="K683" s="25"/>
      <c r="L683" s="25"/>
      <c r="M683" s="26" t="str">
        <f aca="false">IF(G683="","",G683-N(H683))</f>
        <v/>
      </c>
      <c r="N683" s="26" t="str">
        <f aca="false">IF(G683="","",G683-N(K683)-N(L683))</f>
        <v/>
      </c>
      <c r="O683" s="27" t="str">
        <f aca="false">IF(G683="","",IF(N(H683)&gt;=G683,"Pago",IF(N(H683)&gt;0,"Parcial","Pendente")))</f>
        <v/>
      </c>
      <c r="P683" s="24"/>
    </row>
    <row r="684" customFormat="false" ht="15" hidden="false" customHeight="false" outlineLevel="0" collapsed="false">
      <c r="A684" s="22"/>
      <c r="B684" s="23"/>
      <c r="C684" s="24"/>
      <c r="D684" s="24"/>
      <c r="E684" s="24"/>
      <c r="F684" s="24"/>
      <c r="G684" s="25"/>
      <c r="H684" s="25"/>
      <c r="I684" s="24"/>
      <c r="J684" s="24"/>
      <c r="K684" s="25"/>
      <c r="L684" s="25"/>
      <c r="M684" s="26" t="str">
        <f aca="false">IF(G684="","",G684-N(H684))</f>
        <v/>
      </c>
      <c r="N684" s="26" t="str">
        <f aca="false">IF(G684="","",G684-N(K684)-N(L684))</f>
        <v/>
      </c>
      <c r="O684" s="27" t="str">
        <f aca="false">IF(G684="","",IF(N(H684)&gt;=G684,"Pago",IF(N(H684)&gt;0,"Parcial","Pendente")))</f>
        <v/>
      </c>
      <c r="P684" s="24"/>
    </row>
    <row r="685" customFormat="false" ht="15" hidden="false" customHeight="false" outlineLevel="0" collapsed="false">
      <c r="A685" s="22"/>
      <c r="B685" s="23"/>
      <c r="C685" s="24"/>
      <c r="D685" s="24"/>
      <c r="E685" s="24"/>
      <c r="F685" s="24"/>
      <c r="G685" s="25"/>
      <c r="H685" s="25"/>
      <c r="I685" s="24"/>
      <c r="J685" s="24"/>
      <c r="K685" s="25"/>
      <c r="L685" s="25"/>
      <c r="M685" s="26" t="str">
        <f aca="false">IF(G685="","",G685-N(H685))</f>
        <v/>
      </c>
      <c r="N685" s="26" t="str">
        <f aca="false">IF(G685="","",G685-N(K685)-N(L685))</f>
        <v/>
      </c>
      <c r="O685" s="27" t="str">
        <f aca="false">IF(G685="","",IF(N(H685)&gt;=G685,"Pago",IF(N(H685)&gt;0,"Parcial","Pendente")))</f>
        <v/>
      </c>
      <c r="P685" s="24"/>
    </row>
    <row r="686" customFormat="false" ht="15" hidden="false" customHeight="false" outlineLevel="0" collapsed="false">
      <c r="A686" s="22"/>
      <c r="B686" s="23"/>
      <c r="C686" s="24"/>
      <c r="D686" s="24"/>
      <c r="E686" s="24"/>
      <c r="F686" s="24"/>
      <c r="G686" s="25"/>
      <c r="H686" s="25"/>
      <c r="I686" s="24"/>
      <c r="J686" s="24"/>
      <c r="K686" s="25"/>
      <c r="L686" s="25"/>
      <c r="M686" s="26" t="str">
        <f aca="false">IF(G686="","",G686-N(H686))</f>
        <v/>
      </c>
      <c r="N686" s="26" t="str">
        <f aca="false">IF(G686="","",G686-N(K686)-N(L686))</f>
        <v/>
      </c>
      <c r="O686" s="27" t="str">
        <f aca="false">IF(G686="","",IF(N(H686)&gt;=G686,"Pago",IF(N(H686)&gt;0,"Parcial","Pendente")))</f>
        <v/>
      </c>
      <c r="P686" s="24"/>
    </row>
    <row r="687" customFormat="false" ht="15" hidden="false" customHeight="false" outlineLevel="0" collapsed="false">
      <c r="A687" s="22"/>
      <c r="B687" s="23"/>
      <c r="C687" s="24"/>
      <c r="D687" s="24"/>
      <c r="E687" s="24"/>
      <c r="F687" s="24"/>
      <c r="G687" s="25"/>
      <c r="H687" s="25"/>
      <c r="I687" s="24"/>
      <c r="J687" s="24"/>
      <c r="K687" s="25"/>
      <c r="L687" s="25"/>
      <c r="M687" s="26" t="str">
        <f aca="false">IF(G687="","",G687-N(H687))</f>
        <v/>
      </c>
      <c r="N687" s="26" t="str">
        <f aca="false">IF(G687="","",G687-N(K687)-N(L687))</f>
        <v/>
      </c>
      <c r="O687" s="27" t="str">
        <f aca="false">IF(G687="","",IF(N(H687)&gt;=G687,"Pago",IF(N(H687)&gt;0,"Parcial","Pendente")))</f>
        <v/>
      </c>
      <c r="P687" s="24"/>
    </row>
    <row r="688" customFormat="false" ht="15" hidden="false" customHeight="false" outlineLevel="0" collapsed="false">
      <c r="A688" s="22"/>
      <c r="B688" s="23"/>
      <c r="C688" s="24"/>
      <c r="D688" s="24"/>
      <c r="E688" s="24"/>
      <c r="F688" s="24"/>
      <c r="G688" s="25"/>
      <c r="H688" s="25"/>
      <c r="I688" s="24"/>
      <c r="J688" s="24"/>
      <c r="K688" s="25"/>
      <c r="L688" s="25"/>
      <c r="M688" s="26" t="str">
        <f aca="false">IF(G688="","",G688-N(H688))</f>
        <v/>
      </c>
      <c r="N688" s="26" t="str">
        <f aca="false">IF(G688="","",G688-N(K688)-N(L688))</f>
        <v/>
      </c>
      <c r="O688" s="27" t="str">
        <f aca="false">IF(G688="","",IF(N(H688)&gt;=G688,"Pago",IF(N(H688)&gt;0,"Parcial","Pendente")))</f>
        <v/>
      </c>
      <c r="P688" s="24"/>
    </row>
    <row r="689" customFormat="false" ht="15" hidden="false" customHeight="false" outlineLevel="0" collapsed="false">
      <c r="A689" s="22"/>
      <c r="B689" s="23"/>
      <c r="C689" s="24"/>
      <c r="D689" s="24"/>
      <c r="E689" s="24"/>
      <c r="F689" s="24"/>
      <c r="G689" s="25"/>
      <c r="H689" s="25"/>
      <c r="I689" s="24"/>
      <c r="J689" s="24"/>
      <c r="K689" s="25"/>
      <c r="L689" s="25"/>
      <c r="M689" s="26" t="str">
        <f aca="false">IF(G689="","",G689-N(H689))</f>
        <v/>
      </c>
      <c r="N689" s="26" t="str">
        <f aca="false">IF(G689="","",G689-N(K689)-N(L689))</f>
        <v/>
      </c>
      <c r="O689" s="27" t="str">
        <f aca="false">IF(G689="","",IF(N(H689)&gt;=G689,"Pago",IF(N(H689)&gt;0,"Parcial","Pendente")))</f>
        <v/>
      </c>
      <c r="P689" s="24"/>
    </row>
    <row r="690" customFormat="false" ht="15" hidden="false" customHeight="false" outlineLevel="0" collapsed="false">
      <c r="A690" s="22"/>
      <c r="B690" s="23"/>
      <c r="C690" s="24"/>
      <c r="D690" s="24"/>
      <c r="E690" s="24"/>
      <c r="F690" s="24"/>
      <c r="G690" s="25"/>
      <c r="H690" s="25"/>
      <c r="I690" s="24"/>
      <c r="J690" s="24"/>
      <c r="K690" s="25"/>
      <c r="L690" s="25"/>
      <c r="M690" s="26" t="str">
        <f aca="false">IF(G690="","",G690-N(H690))</f>
        <v/>
      </c>
      <c r="N690" s="26" t="str">
        <f aca="false">IF(G690="","",G690-N(K690)-N(L690))</f>
        <v/>
      </c>
      <c r="O690" s="27" t="str">
        <f aca="false">IF(G690="","",IF(N(H690)&gt;=G690,"Pago",IF(N(H690)&gt;0,"Parcial","Pendente")))</f>
        <v/>
      </c>
      <c r="P690" s="24"/>
    </row>
    <row r="691" customFormat="false" ht="15" hidden="false" customHeight="false" outlineLevel="0" collapsed="false">
      <c r="A691" s="22"/>
      <c r="B691" s="23"/>
      <c r="C691" s="24"/>
      <c r="D691" s="24"/>
      <c r="E691" s="24"/>
      <c r="F691" s="24"/>
      <c r="G691" s="25"/>
      <c r="H691" s="25"/>
      <c r="I691" s="24"/>
      <c r="J691" s="24"/>
      <c r="K691" s="25"/>
      <c r="L691" s="25"/>
      <c r="M691" s="26" t="str">
        <f aca="false">IF(G691="","",G691-N(H691))</f>
        <v/>
      </c>
      <c r="N691" s="26" t="str">
        <f aca="false">IF(G691="","",G691-N(K691)-N(L691))</f>
        <v/>
      </c>
      <c r="O691" s="27" t="str">
        <f aca="false">IF(G691="","",IF(N(H691)&gt;=G691,"Pago",IF(N(H691)&gt;0,"Parcial","Pendente")))</f>
        <v/>
      </c>
      <c r="P691" s="24"/>
    </row>
    <row r="692" customFormat="false" ht="15" hidden="false" customHeight="false" outlineLevel="0" collapsed="false">
      <c r="A692" s="22"/>
      <c r="B692" s="23"/>
      <c r="C692" s="24"/>
      <c r="D692" s="24"/>
      <c r="E692" s="24"/>
      <c r="F692" s="24"/>
      <c r="G692" s="25"/>
      <c r="H692" s="25"/>
      <c r="I692" s="24"/>
      <c r="J692" s="24"/>
      <c r="K692" s="25"/>
      <c r="L692" s="25"/>
      <c r="M692" s="26" t="str">
        <f aca="false">IF(G692="","",G692-N(H692))</f>
        <v/>
      </c>
      <c r="N692" s="26" t="str">
        <f aca="false">IF(G692="","",G692-N(K692)-N(L692))</f>
        <v/>
      </c>
      <c r="O692" s="27" t="str">
        <f aca="false">IF(G692="","",IF(N(H692)&gt;=G692,"Pago",IF(N(H692)&gt;0,"Parcial","Pendente")))</f>
        <v/>
      </c>
      <c r="P692" s="24"/>
    </row>
    <row r="693" customFormat="false" ht="15" hidden="false" customHeight="false" outlineLevel="0" collapsed="false">
      <c r="A693" s="22"/>
      <c r="B693" s="23"/>
      <c r="C693" s="24"/>
      <c r="D693" s="24"/>
      <c r="E693" s="24"/>
      <c r="F693" s="24"/>
      <c r="G693" s="25"/>
      <c r="H693" s="25"/>
      <c r="I693" s="24"/>
      <c r="J693" s="24"/>
      <c r="K693" s="25"/>
      <c r="L693" s="25"/>
      <c r="M693" s="26" t="str">
        <f aca="false">IF(G693="","",G693-N(H693))</f>
        <v/>
      </c>
      <c r="N693" s="26" t="str">
        <f aca="false">IF(G693="","",G693-N(K693)-N(L693))</f>
        <v/>
      </c>
      <c r="O693" s="27" t="str">
        <f aca="false">IF(G693="","",IF(N(H693)&gt;=G693,"Pago",IF(N(H693)&gt;0,"Parcial","Pendente")))</f>
        <v/>
      </c>
      <c r="P693" s="24"/>
    </row>
    <row r="694" customFormat="false" ht="15" hidden="false" customHeight="false" outlineLevel="0" collapsed="false">
      <c r="A694" s="22"/>
      <c r="B694" s="23"/>
      <c r="C694" s="24"/>
      <c r="D694" s="24"/>
      <c r="E694" s="24"/>
      <c r="F694" s="24"/>
      <c r="G694" s="25"/>
      <c r="H694" s="25"/>
      <c r="I694" s="24"/>
      <c r="J694" s="24"/>
      <c r="K694" s="25"/>
      <c r="L694" s="25"/>
      <c r="M694" s="26" t="str">
        <f aca="false">IF(G694="","",G694-N(H694))</f>
        <v/>
      </c>
      <c r="N694" s="26" t="str">
        <f aca="false">IF(G694="","",G694-N(K694)-N(L694))</f>
        <v/>
      </c>
      <c r="O694" s="27" t="str">
        <f aca="false">IF(G694="","",IF(N(H694)&gt;=G694,"Pago",IF(N(H694)&gt;0,"Parcial","Pendente")))</f>
        <v/>
      </c>
      <c r="P694" s="24"/>
    </row>
    <row r="695" customFormat="false" ht="15" hidden="false" customHeight="false" outlineLevel="0" collapsed="false">
      <c r="A695" s="22"/>
      <c r="B695" s="23"/>
      <c r="C695" s="24"/>
      <c r="D695" s="24"/>
      <c r="E695" s="24"/>
      <c r="F695" s="24"/>
      <c r="G695" s="25"/>
      <c r="H695" s="25"/>
      <c r="I695" s="24"/>
      <c r="J695" s="24"/>
      <c r="K695" s="25"/>
      <c r="L695" s="25"/>
      <c r="M695" s="26" t="str">
        <f aca="false">IF(G695="","",G695-N(H695))</f>
        <v/>
      </c>
      <c r="N695" s="26" t="str">
        <f aca="false">IF(G695="","",G695-N(K695)-N(L695))</f>
        <v/>
      </c>
      <c r="O695" s="27" t="str">
        <f aca="false">IF(G695="","",IF(N(H695)&gt;=G695,"Pago",IF(N(H695)&gt;0,"Parcial","Pendente")))</f>
        <v/>
      </c>
      <c r="P695" s="24"/>
    </row>
    <row r="696" customFormat="false" ht="15" hidden="false" customHeight="false" outlineLevel="0" collapsed="false">
      <c r="A696" s="22"/>
      <c r="B696" s="23"/>
      <c r="C696" s="24"/>
      <c r="D696" s="24"/>
      <c r="E696" s="24"/>
      <c r="F696" s="24"/>
      <c r="G696" s="25"/>
      <c r="H696" s="25"/>
      <c r="I696" s="24"/>
      <c r="J696" s="24"/>
      <c r="K696" s="25"/>
      <c r="L696" s="25"/>
      <c r="M696" s="26" t="str">
        <f aca="false">IF(G696="","",G696-N(H696))</f>
        <v/>
      </c>
      <c r="N696" s="26" t="str">
        <f aca="false">IF(G696="","",G696-N(K696)-N(L696))</f>
        <v/>
      </c>
      <c r="O696" s="27" t="str">
        <f aca="false">IF(G696="","",IF(N(H696)&gt;=G696,"Pago",IF(N(H696)&gt;0,"Parcial","Pendente")))</f>
        <v/>
      </c>
      <c r="P696" s="24"/>
    </row>
    <row r="697" customFormat="false" ht="15" hidden="false" customHeight="false" outlineLevel="0" collapsed="false">
      <c r="A697" s="22"/>
      <c r="B697" s="23"/>
      <c r="C697" s="24"/>
      <c r="D697" s="24"/>
      <c r="E697" s="24"/>
      <c r="F697" s="24"/>
      <c r="G697" s="25"/>
      <c r="H697" s="25"/>
      <c r="I697" s="24"/>
      <c r="J697" s="24"/>
      <c r="K697" s="25"/>
      <c r="L697" s="25"/>
      <c r="M697" s="26" t="str">
        <f aca="false">IF(G697="","",G697-N(H697))</f>
        <v/>
      </c>
      <c r="N697" s="26" t="str">
        <f aca="false">IF(G697="","",G697-N(K697)-N(L697))</f>
        <v/>
      </c>
      <c r="O697" s="27" t="str">
        <f aca="false">IF(G697="","",IF(N(H697)&gt;=G697,"Pago",IF(N(H697)&gt;0,"Parcial","Pendente")))</f>
        <v/>
      </c>
      <c r="P697" s="24"/>
    </row>
    <row r="698" customFormat="false" ht="15" hidden="false" customHeight="false" outlineLevel="0" collapsed="false">
      <c r="A698" s="22"/>
      <c r="B698" s="23"/>
      <c r="C698" s="24"/>
      <c r="D698" s="24"/>
      <c r="E698" s="24"/>
      <c r="F698" s="24"/>
      <c r="G698" s="25"/>
      <c r="H698" s="25"/>
      <c r="I698" s="24"/>
      <c r="J698" s="24"/>
      <c r="K698" s="25"/>
      <c r="L698" s="25"/>
      <c r="M698" s="26" t="str">
        <f aca="false">IF(G698="","",G698-N(H698))</f>
        <v/>
      </c>
      <c r="N698" s="26" t="str">
        <f aca="false">IF(G698="","",G698-N(K698)-N(L698))</f>
        <v/>
      </c>
      <c r="O698" s="27" t="str">
        <f aca="false">IF(G698="","",IF(N(H698)&gt;=G698,"Pago",IF(N(H698)&gt;0,"Parcial","Pendente")))</f>
        <v/>
      </c>
      <c r="P698" s="24"/>
    </row>
    <row r="699" customFormat="false" ht="15" hidden="false" customHeight="false" outlineLevel="0" collapsed="false">
      <c r="A699" s="22"/>
      <c r="B699" s="23"/>
      <c r="C699" s="24"/>
      <c r="D699" s="24"/>
      <c r="E699" s="24"/>
      <c r="F699" s="24"/>
      <c r="G699" s="25"/>
      <c r="H699" s="25"/>
      <c r="I699" s="24"/>
      <c r="J699" s="24"/>
      <c r="K699" s="25"/>
      <c r="L699" s="25"/>
      <c r="M699" s="26" t="str">
        <f aca="false">IF(G699="","",G699-N(H699))</f>
        <v/>
      </c>
      <c r="N699" s="26" t="str">
        <f aca="false">IF(G699="","",G699-N(K699)-N(L699))</f>
        <v/>
      </c>
      <c r="O699" s="27" t="str">
        <f aca="false">IF(G699="","",IF(N(H699)&gt;=G699,"Pago",IF(N(H699)&gt;0,"Parcial","Pendente")))</f>
        <v/>
      </c>
      <c r="P699" s="24"/>
    </row>
    <row r="700" customFormat="false" ht="15" hidden="false" customHeight="false" outlineLevel="0" collapsed="false">
      <c r="A700" s="22"/>
      <c r="B700" s="23"/>
      <c r="C700" s="24"/>
      <c r="D700" s="24"/>
      <c r="E700" s="24"/>
      <c r="F700" s="24"/>
      <c r="G700" s="25"/>
      <c r="H700" s="25"/>
      <c r="I700" s="24"/>
      <c r="J700" s="24"/>
      <c r="K700" s="25"/>
      <c r="L700" s="25"/>
      <c r="M700" s="26" t="str">
        <f aca="false">IF(G700="","",G700-N(H700))</f>
        <v/>
      </c>
      <c r="N700" s="26" t="str">
        <f aca="false">IF(G700="","",G700-N(K700)-N(L700))</f>
        <v/>
      </c>
      <c r="O700" s="27" t="str">
        <f aca="false">IF(G700="","",IF(N(H700)&gt;=G700,"Pago",IF(N(H700)&gt;0,"Parcial","Pendente")))</f>
        <v/>
      </c>
      <c r="P700" s="24"/>
    </row>
    <row r="701" customFormat="false" ht="15" hidden="false" customHeight="false" outlineLevel="0" collapsed="false">
      <c r="A701" s="22"/>
      <c r="B701" s="23"/>
      <c r="C701" s="24"/>
      <c r="D701" s="24"/>
      <c r="E701" s="24"/>
      <c r="F701" s="24"/>
      <c r="G701" s="25"/>
      <c r="H701" s="25"/>
      <c r="I701" s="24"/>
      <c r="J701" s="24"/>
      <c r="K701" s="25"/>
      <c r="L701" s="25"/>
      <c r="M701" s="26" t="str">
        <f aca="false">IF(G701="","",G701-N(H701))</f>
        <v/>
      </c>
      <c r="N701" s="26" t="str">
        <f aca="false">IF(G701="","",G701-N(K701)-N(L701))</f>
        <v/>
      </c>
      <c r="O701" s="27" t="str">
        <f aca="false">IF(G701="","",IF(N(H701)&gt;=G701,"Pago",IF(N(H701)&gt;0,"Parcial","Pendente")))</f>
        <v/>
      </c>
      <c r="P701" s="24"/>
    </row>
    <row r="702" customFormat="false" ht="15" hidden="false" customHeight="false" outlineLevel="0" collapsed="false">
      <c r="A702" s="22"/>
      <c r="B702" s="23"/>
      <c r="C702" s="24"/>
      <c r="D702" s="24"/>
      <c r="E702" s="24"/>
      <c r="F702" s="24"/>
      <c r="G702" s="25"/>
      <c r="H702" s="25"/>
      <c r="I702" s="24"/>
      <c r="J702" s="24"/>
      <c r="K702" s="25"/>
      <c r="L702" s="25"/>
      <c r="M702" s="26" t="str">
        <f aca="false">IF(G702="","",G702-N(H702))</f>
        <v/>
      </c>
      <c r="N702" s="26" t="str">
        <f aca="false">IF(G702="","",G702-N(K702)-N(L702))</f>
        <v/>
      </c>
      <c r="O702" s="27" t="str">
        <f aca="false">IF(G702="","",IF(N(H702)&gt;=G702,"Pago",IF(N(H702)&gt;0,"Parcial","Pendente")))</f>
        <v/>
      </c>
      <c r="P702" s="24"/>
    </row>
    <row r="703" customFormat="false" ht="15" hidden="false" customHeight="false" outlineLevel="0" collapsed="false">
      <c r="A703" s="22"/>
      <c r="B703" s="23"/>
      <c r="C703" s="24"/>
      <c r="D703" s="24"/>
      <c r="E703" s="24"/>
      <c r="F703" s="24"/>
      <c r="G703" s="25"/>
      <c r="H703" s="25"/>
      <c r="I703" s="24"/>
      <c r="J703" s="24"/>
      <c r="K703" s="25"/>
      <c r="L703" s="25"/>
      <c r="M703" s="26" t="str">
        <f aca="false">IF(G703="","",G703-N(H703))</f>
        <v/>
      </c>
      <c r="N703" s="26" t="str">
        <f aca="false">IF(G703="","",G703-N(K703)-N(L703))</f>
        <v/>
      </c>
      <c r="O703" s="27" t="str">
        <f aca="false">IF(G703="","",IF(N(H703)&gt;=G703,"Pago",IF(N(H703)&gt;0,"Parcial","Pendente")))</f>
        <v/>
      </c>
      <c r="P703" s="24"/>
    </row>
    <row r="704" customFormat="false" ht="15" hidden="false" customHeight="false" outlineLevel="0" collapsed="false">
      <c r="A704" s="22"/>
      <c r="B704" s="23"/>
      <c r="C704" s="24"/>
      <c r="D704" s="24"/>
      <c r="E704" s="24"/>
      <c r="F704" s="24"/>
      <c r="G704" s="25"/>
      <c r="H704" s="25"/>
      <c r="I704" s="24"/>
      <c r="J704" s="24"/>
      <c r="K704" s="25"/>
      <c r="L704" s="25"/>
      <c r="M704" s="26" t="str">
        <f aca="false">IF(G704="","",G704-N(H704))</f>
        <v/>
      </c>
      <c r="N704" s="26" t="str">
        <f aca="false">IF(G704="","",G704-N(K704)-N(L704))</f>
        <v/>
      </c>
      <c r="O704" s="27" t="str">
        <f aca="false">IF(G704="","",IF(N(H704)&gt;=G704,"Pago",IF(N(H704)&gt;0,"Parcial","Pendente")))</f>
        <v/>
      </c>
      <c r="P704" s="24"/>
    </row>
    <row r="705" customFormat="false" ht="15" hidden="false" customHeight="false" outlineLevel="0" collapsed="false">
      <c r="A705" s="22"/>
      <c r="B705" s="23"/>
      <c r="C705" s="24"/>
      <c r="D705" s="24"/>
      <c r="E705" s="24"/>
      <c r="F705" s="24"/>
      <c r="G705" s="25"/>
      <c r="H705" s="25"/>
      <c r="I705" s="24"/>
      <c r="J705" s="24"/>
      <c r="K705" s="25"/>
      <c r="L705" s="25"/>
      <c r="M705" s="26" t="str">
        <f aca="false">IF(G705="","",G705-N(H705))</f>
        <v/>
      </c>
      <c r="N705" s="26" t="str">
        <f aca="false">IF(G705="","",G705-N(K705)-N(L705))</f>
        <v/>
      </c>
      <c r="O705" s="27" t="str">
        <f aca="false">IF(G705="","",IF(N(H705)&gt;=G705,"Pago",IF(N(H705)&gt;0,"Parcial","Pendente")))</f>
        <v/>
      </c>
      <c r="P705" s="24"/>
    </row>
    <row r="706" customFormat="false" ht="15" hidden="false" customHeight="false" outlineLevel="0" collapsed="false">
      <c r="A706" s="22"/>
      <c r="B706" s="23"/>
      <c r="C706" s="24"/>
      <c r="D706" s="24"/>
      <c r="E706" s="24"/>
      <c r="F706" s="24"/>
      <c r="G706" s="25"/>
      <c r="H706" s="25"/>
      <c r="I706" s="24"/>
      <c r="J706" s="24"/>
      <c r="K706" s="25"/>
      <c r="L706" s="25"/>
      <c r="M706" s="26" t="str">
        <f aca="false">IF(G706="","",G706-N(H706))</f>
        <v/>
      </c>
      <c r="N706" s="26" t="str">
        <f aca="false">IF(G706="","",G706-N(K706)-N(L706))</f>
        <v/>
      </c>
      <c r="O706" s="27" t="str">
        <f aca="false">IF(G706="","",IF(N(H706)&gt;=G706,"Pago",IF(N(H706)&gt;0,"Parcial","Pendente")))</f>
        <v/>
      </c>
      <c r="P706" s="24"/>
    </row>
    <row r="707" customFormat="false" ht="15" hidden="false" customHeight="false" outlineLevel="0" collapsed="false">
      <c r="A707" s="22"/>
      <c r="B707" s="23"/>
      <c r="C707" s="24"/>
      <c r="D707" s="24"/>
      <c r="E707" s="24"/>
      <c r="F707" s="24"/>
      <c r="G707" s="25"/>
      <c r="H707" s="25"/>
      <c r="I707" s="24"/>
      <c r="J707" s="24"/>
      <c r="K707" s="25"/>
      <c r="L707" s="25"/>
      <c r="M707" s="26" t="str">
        <f aca="false">IF(G707="","",G707-N(H707))</f>
        <v/>
      </c>
      <c r="N707" s="26" t="str">
        <f aca="false">IF(G707="","",G707-N(K707)-N(L707))</f>
        <v/>
      </c>
      <c r="O707" s="27" t="str">
        <f aca="false">IF(G707="","",IF(N(H707)&gt;=G707,"Pago",IF(N(H707)&gt;0,"Parcial","Pendente")))</f>
        <v/>
      </c>
      <c r="P707" s="24"/>
    </row>
    <row r="708" customFormat="false" ht="15" hidden="false" customHeight="false" outlineLevel="0" collapsed="false">
      <c r="A708" s="22"/>
      <c r="B708" s="23"/>
      <c r="C708" s="24"/>
      <c r="D708" s="24"/>
      <c r="E708" s="24"/>
      <c r="F708" s="24"/>
      <c r="G708" s="25"/>
      <c r="H708" s="25"/>
      <c r="I708" s="24"/>
      <c r="J708" s="24"/>
      <c r="K708" s="25"/>
      <c r="L708" s="25"/>
      <c r="M708" s="26" t="str">
        <f aca="false">IF(G708="","",G708-N(H708))</f>
        <v/>
      </c>
      <c r="N708" s="26" t="str">
        <f aca="false">IF(G708="","",G708-N(K708)-N(L708))</f>
        <v/>
      </c>
      <c r="O708" s="27" t="str">
        <f aca="false">IF(G708="","",IF(N(H708)&gt;=G708,"Pago",IF(N(H708)&gt;0,"Parcial","Pendente")))</f>
        <v/>
      </c>
      <c r="P708" s="24"/>
    </row>
    <row r="709" customFormat="false" ht="15" hidden="false" customHeight="false" outlineLevel="0" collapsed="false">
      <c r="A709" s="22"/>
      <c r="B709" s="23"/>
      <c r="C709" s="24"/>
      <c r="D709" s="24"/>
      <c r="E709" s="24"/>
      <c r="F709" s="24"/>
      <c r="G709" s="25"/>
      <c r="H709" s="25"/>
      <c r="I709" s="24"/>
      <c r="J709" s="24"/>
      <c r="K709" s="25"/>
      <c r="L709" s="25"/>
      <c r="M709" s="26" t="str">
        <f aca="false">IF(G709="","",G709-N(H709))</f>
        <v/>
      </c>
      <c r="N709" s="26" t="str">
        <f aca="false">IF(G709="","",G709-N(K709)-N(L709))</f>
        <v/>
      </c>
      <c r="O709" s="27" t="str">
        <f aca="false">IF(G709="","",IF(N(H709)&gt;=G709,"Pago",IF(N(H709)&gt;0,"Parcial","Pendente")))</f>
        <v/>
      </c>
      <c r="P709" s="24"/>
    </row>
    <row r="710" customFormat="false" ht="15" hidden="false" customHeight="false" outlineLevel="0" collapsed="false">
      <c r="A710" s="22"/>
      <c r="B710" s="23"/>
      <c r="C710" s="24"/>
      <c r="D710" s="24"/>
      <c r="E710" s="24"/>
      <c r="F710" s="24"/>
      <c r="G710" s="25"/>
      <c r="H710" s="25"/>
      <c r="I710" s="24"/>
      <c r="J710" s="24"/>
      <c r="K710" s="25"/>
      <c r="L710" s="25"/>
      <c r="M710" s="26" t="str">
        <f aca="false">IF(G710="","",G710-N(H710))</f>
        <v/>
      </c>
      <c r="N710" s="26" t="str">
        <f aca="false">IF(G710="","",G710-N(K710)-N(L710))</f>
        <v/>
      </c>
      <c r="O710" s="27" t="str">
        <f aca="false">IF(G710="","",IF(N(H710)&gt;=G710,"Pago",IF(N(H710)&gt;0,"Parcial","Pendente")))</f>
        <v/>
      </c>
      <c r="P710" s="24"/>
    </row>
    <row r="711" customFormat="false" ht="15" hidden="false" customHeight="false" outlineLevel="0" collapsed="false">
      <c r="A711" s="22"/>
      <c r="B711" s="23"/>
      <c r="C711" s="24"/>
      <c r="D711" s="24"/>
      <c r="E711" s="24"/>
      <c r="F711" s="24"/>
      <c r="G711" s="25"/>
      <c r="H711" s="25"/>
      <c r="I711" s="24"/>
      <c r="J711" s="24"/>
      <c r="K711" s="25"/>
      <c r="L711" s="25"/>
      <c r="M711" s="26" t="str">
        <f aca="false">IF(G711="","",G711-N(H711))</f>
        <v/>
      </c>
      <c r="N711" s="26" t="str">
        <f aca="false">IF(G711="","",G711-N(K711)-N(L711))</f>
        <v/>
      </c>
      <c r="O711" s="27" t="str">
        <f aca="false">IF(G711="","",IF(N(H711)&gt;=G711,"Pago",IF(N(H711)&gt;0,"Parcial","Pendente")))</f>
        <v/>
      </c>
      <c r="P711" s="24"/>
    </row>
    <row r="712" customFormat="false" ht="15" hidden="false" customHeight="false" outlineLevel="0" collapsed="false">
      <c r="A712" s="22"/>
      <c r="B712" s="23"/>
      <c r="C712" s="24"/>
      <c r="D712" s="24"/>
      <c r="E712" s="24"/>
      <c r="F712" s="24"/>
      <c r="G712" s="25"/>
      <c r="H712" s="25"/>
      <c r="I712" s="24"/>
      <c r="J712" s="24"/>
      <c r="K712" s="25"/>
      <c r="L712" s="25"/>
      <c r="M712" s="26" t="str">
        <f aca="false">IF(G712="","",G712-N(H712))</f>
        <v/>
      </c>
      <c r="N712" s="26" t="str">
        <f aca="false">IF(G712="","",G712-N(K712)-N(L712))</f>
        <v/>
      </c>
      <c r="O712" s="27" t="str">
        <f aca="false">IF(G712="","",IF(N(H712)&gt;=G712,"Pago",IF(N(H712)&gt;0,"Parcial","Pendente")))</f>
        <v/>
      </c>
      <c r="P712" s="24"/>
    </row>
    <row r="713" customFormat="false" ht="15" hidden="false" customHeight="false" outlineLevel="0" collapsed="false">
      <c r="A713" s="22"/>
      <c r="B713" s="23"/>
      <c r="C713" s="24"/>
      <c r="D713" s="24"/>
      <c r="E713" s="24"/>
      <c r="F713" s="24"/>
      <c r="G713" s="25"/>
      <c r="H713" s="25"/>
      <c r="I713" s="24"/>
      <c r="J713" s="24"/>
      <c r="K713" s="25"/>
      <c r="L713" s="25"/>
      <c r="M713" s="26" t="str">
        <f aca="false">IF(G713="","",G713-N(H713))</f>
        <v/>
      </c>
      <c r="N713" s="26" t="str">
        <f aca="false">IF(G713="","",G713-N(K713)-N(L713))</f>
        <v/>
      </c>
      <c r="O713" s="27" t="str">
        <f aca="false">IF(G713="","",IF(N(H713)&gt;=G713,"Pago",IF(N(H713)&gt;0,"Parcial","Pendente")))</f>
        <v/>
      </c>
      <c r="P713" s="24"/>
    </row>
    <row r="714" customFormat="false" ht="15" hidden="false" customHeight="false" outlineLevel="0" collapsed="false">
      <c r="A714" s="22"/>
      <c r="B714" s="23"/>
      <c r="C714" s="24"/>
      <c r="D714" s="24"/>
      <c r="E714" s="24"/>
      <c r="F714" s="24"/>
      <c r="G714" s="25"/>
      <c r="H714" s="25"/>
      <c r="I714" s="24"/>
      <c r="J714" s="24"/>
      <c r="K714" s="25"/>
      <c r="L714" s="25"/>
      <c r="M714" s="26" t="str">
        <f aca="false">IF(G714="","",G714-N(H714))</f>
        <v/>
      </c>
      <c r="N714" s="26" t="str">
        <f aca="false">IF(G714="","",G714-N(K714)-N(L714))</f>
        <v/>
      </c>
      <c r="O714" s="27" t="str">
        <f aca="false">IF(G714="","",IF(N(H714)&gt;=G714,"Pago",IF(N(H714)&gt;0,"Parcial","Pendente")))</f>
        <v/>
      </c>
      <c r="P714" s="24"/>
    </row>
    <row r="715" customFormat="false" ht="15" hidden="false" customHeight="false" outlineLevel="0" collapsed="false">
      <c r="A715" s="22"/>
      <c r="B715" s="23"/>
      <c r="C715" s="24"/>
      <c r="D715" s="24"/>
      <c r="E715" s="24"/>
      <c r="F715" s="24"/>
      <c r="G715" s="25"/>
      <c r="H715" s="25"/>
      <c r="I715" s="24"/>
      <c r="J715" s="24"/>
      <c r="K715" s="25"/>
      <c r="L715" s="25"/>
      <c r="M715" s="26" t="str">
        <f aca="false">IF(G715="","",G715-N(H715))</f>
        <v/>
      </c>
      <c r="N715" s="26" t="str">
        <f aca="false">IF(G715="","",G715-N(K715)-N(L715))</f>
        <v/>
      </c>
      <c r="O715" s="27" t="str">
        <f aca="false">IF(G715="","",IF(N(H715)&gt;=G715,"Pago",IF(N(H715)&gt;0,"Parcial","Pendente")))</f>
        <v/>
      </c>
      <c r="P715" s="24"/>
    </row>
    <row r="716" customFormat="false" ht="15" hidden="false" customHeight="false" outlineLevel="0" collapsed="false">
      <c r="A716" s="22"/>
      <c r="B716" s="23"/>
      <c r="C716" s="24"/>
      <c r="D716" s="24"/>
      <c r="E716" s="24"/>
      <c r="F716" s="24"/>
      <c r="G716" s="25"/>
      <c r="H716" s="25"/>
      <c r="I716" s="24"/>
      <c r="J716" s="24"/>
      <c r="K716" s="25"/>
      <c r="L716" s="25"/>
      <c r="M716" s="26" t="str">
        <f aca="false">IF(G716="","",G716-N(H716))</f>
        <v/>
      </c>
      <c r="N716" s="26" t="str">
        <f aca="false">IF(G716="","",G716-N(K716)-N(L716))</f>
        <v/>
      </c>
      <c r="O716" s="27" t="str">
        <f aca="false">IF(G716="","",IF(N(H716)&gt;=G716,"Pago",IF(N(H716)&gt;0,"Parcial","Pendente")))</f>
        <v/>
      </c>
      <c r="P716" s="24"/>
    </row>
    <row r="717" customFormat="false" ht="15" hidden="false" customHeight="false" outlineLevel="0" collapsed="false">
      <c r="A717" s="22"/>
      <c r="B717" s="23"/>
      <c r="C717" s="24"/>
      <c r="D717" s="24"/>
      <c r="E717" s="24"/>
      <c r="F717" s="24"/>
      <c r="G717" s="25"/>
      <c r="H717" s="25"/>
      <c r="I717" s="24"/>
      <c r="J717" s="24"/>
      <c r="K717" s="25"/>
      <c r="L717" s="25"/>
      <c r="M717" s="26" t="str">
        <f aca="false">IF(G717="","",G717-N(H717))</f>
        <v/>
      </c>
      <c r="N717" s="26" t="str">
        <f aca="false">IF(G717="","",G717-N(K717)-N(L717))</f>
        <v/>
      </c>
      <c r="O717" s="27" t="str">
        <f aca="false">IF(G717="","",IF(N(H717)&gt;=G717,"Pago",IF(N(H717)&gt;0,"Parcial","Pendente")))</f>
        <v/>
      </c>
      <c r="P717" s="24"/>
    </row>
    <row r="718" customFormat="false" ht="15" hidden="false" customHeight="false" outlineLevel="0" collapsed="false">
      <c r="A718" s="22"/>
      <c r="B718" s="23"/>
      <c r="C718" s="24"/>
      <c r="D718" s="24"/>
      <c r="E718" s="24"/>
      <c r="F718" s="24"/>
      <c r="G718" s="25"/>
      <c r="H718" s="25"/>
      <c r="I718" s="24"/>
      <c r="J718" s="24"/>
      <c r="K718" s="25"/>
      <c r="L718" s="25"/>
      <c r="M718" s="26" t="str">
        <f aca="false">IF(G718="","",G718-N(H718))</f>
        <v/>
      </c>
      <c r="N718" s="26" t="str">
        <f aca="false">IF(G718="","",G718-N(K718)-N(L718))</f>
        <v/>
      </c>
      <c r="O718" s="27" t="str">
        <f aca="false">IF(G718="","",IF(N(H718)&gt;=G718,"Pago",IF(N(H718)&gt;0,"Parcial","Pendente")))</f>
        <v/>
      </c>
      <c r="P718" s="24"/>
    </row>
    <row r="719" customFormat="false" ht="15" hidden="false" customHeight="false" outlineLevel="0" collapsed="false">
      <c r="A719" s="22"/>
      <c r="B719" s="23"/>
      <c r="C719" s="24"/>
      <c r="D719" s="24"/>
      <c r="E719" s="24"/>
      <c r="F719" s="24"/>
      <c r="G719" s="25"/>
      <c r="H719" s="25"/>
      <c r="I719" s="24"/>
      <c r="J719" s="24"/>
      <c r="K719" s="25"/>
      <c r="L719" s="25"/>
      <c r="M719" s="26" t="str">
        <f aca="false">IF(G719="","",G719-N(H719))</f>
        <v/>
      </c>
      <c r="N719" s="26" t="str">
        <f aca="false">IF(G719="","",G719-N(K719)-N(L719))</f>
        <v/>
      </c>
      <c r="O719" s="27" t="str">
        <f aca="false">IF(G719="","",IF(N(H719)&gt;=G719,"Pago",IF(N(H719)&gt;0,"Parcial","Pendente")))</f>
        <v/>
      </c>
      <c r="P719" s="24"/>
    </row>
    <row r="720" customFormat="false" ht="15" hidden="false" customHeight="false" outlineLevel="0" collapsed="false">
      <c r="A720" s="22"/>
      <c r="B720" s="23"/>
      <c r="C720" s="24"/>
      <c r="D720" s="24"/>
      <c r="E720" s="24"/>
      <c r="F720" s="24"/>
      <c r="G720" s="25"/>
      <c r="H720" s="25"/>
      <c r="I720" s="24"/>
      <c r="J720" s="24"/>
      <c r="K720" s="25"/>
      <c r="L720" s="25"/>
      <c r="M720" s="26" t="str">
        <f aca="false">IF(G720="","",G720-N(H720))</f>
        <v/>
      </c>
      <c r="N720" s="26" t="str">
        <f aca="false">IF(G720="","",G720-N(K720)-N(L720))</f>
        <v/>
      </c>
      <c r="O720" s="27" t="str">
        <f aca="false">IF(G720="","",IF(N(H720)&gt;=G720,"Pago",IF(N(H720)&gt;0,"Parcial","Pendente")))</f>
        <v/>
      </c>
      <c r="P720" s="24"/>
    </row>
    <row r="721" customFormat="false" ht="15" hidden="false" customHeight="false" outlineLevel="0" collapsed="false">
      <c r="A721" s="22"/>
      <c r="B721" s="23"/>
      <c r="C721" s="24"/>
      <c r="D721" s="24"/>
      <c r="E721" s="24"/>
      <c r="F721" s="24"/>
      <c r="G721" s="25"/>
      <c r="H721" s="25"/>
      <c r="I721" s="24"/>
      <c r="J721" s="24"/>
      <c r="K721" s="25"/>
      <c r="L721" s="25"/>
      <c r="M721" s="26" t="str">
        <f aca="false">IF(G721="","",G721-N(H721))</f>
        <v/>
      </c>
      <c r="N721" s="26" t="str">
        <f aca="false">IF(G721="","",G721-N(K721)-N(L721))</f>
        <v/>
      </c>
      <c r="O721" s="27" t="str">
        <f aca="false">IF(G721="","",IF(N(H721)&gt;=G721,"Pago",IF(N(H721)&gt;0,"Parcial","Pendente")))</f>
        <v/>
      </c>
      <c r="P721" s="24"/>
    </row>
    <row r="722" customFormat="false" ht="15" hidden="false" customHeight="false" outlineLevel="0" collapsed="false">
      <c r="A722" s="22"/>
      <c r="B722" s="23"/>
      <c r="C722" s="24"/>
      <c r="D722" s="24"/>
      <c r="E722" s="24"/>
      <c r="F722" s="24"/>
      <c r="G722" s="25"/>
      <c r="H722" s="25"/>
      <c r="I722" s="24"/>
      <c r="J722" s="24"/>
      <c r="K722" s="25"/>
      <c r="L722" s="25"/>
      <c r="M722" s="26" t="str">
        <f aca="false">IF(G722="","",G722-N(H722))</f>
        <v/>
      </c>
      <c r="N722" s="26" t="str">
        <f aca="false">IF(G722="","",G722-N(K722)-N(L722))</f>
        <v/>
      </c>
      <c r="O722" s="27" t="str">
        <f aca="false">IF(G722="","",IF(N(H722)&gt;=G722,"Pago",IF(N(H722)&gt;0,"Parcial","Pendente")))</f>
        <v/>
      </c>
      <c r="P722" s="24"/>
    </row>
    <row r="723" customFormat="false" ht="15" hidden="false" customHeight="false" outlineLevel="0" collapsed="false">
      <c r="A723" s="22"/>
      <c r="B723" s="23"/>
      <c r="C723" s="24"/>
      <c r="D723" s="24"/>
      <c r="E723" s="24"/>
      <c r="F723" s="24"/>
      <c r="G723" s="25"/>
      <c r="H723" s="25"/>
      <c r="I723" s="24"/>
      <c r="J723" s="24"/>
      <c r="K723" s="25"/>
      <c r="L723" s="25"/>
      <c r="M723" s="26" t="str">
        <f aca="false">IF(G723="","",G723-N(H723))</f>
        <v/>
      </c>
      <c r="N723" s="26" t="str">
        <f aca="false">IF(G723="","",G723-N(K723)-N(L723))</f>
        <v/>
      </c>
      <c r="O723" s="27" t="str">
        <f aca="false">IF(G723="","",IF(N(H723)&gt;=G723,"Pago",IF(N(H723)&gt;0,"Parcial","Pendente")))</f>
        <v/>
      </c>
      <c r="P723" s="24"/>
    </row>
    <row r="724" customFormat="false" ht="15" hidden="false" customHeight="false" outlineLevel="0" collapsed="false">
      <c r="A724" s="22"/>
      <c r="B724" s="23"/>
      <c r="C724" s="24"/>
      <c r="D724" s="24"/>
      <c r="E724" s="24"/>
      <c r="F724" s="24"/>
      <c r="G724" s="25"/>
      <c r="H724" s="25"/>
      <c r="I724" s="24"/>
      <c r="J724" s="24"/>
      <c r="K724" s="25"/>
      <c r="L724" s="25"/>
      <c r="M724" s="26" t="str">
        <f aca="false">IF(G724="","",G724-N(H724))</f>
        <v/>
      </c>
      <c r="N724" s="26" t="str">
        <f aca="false">IF(G724="","",G724-N(K724)-N(L724))</f>
        <v/>
      </c>
      <c r="O724" s="27" t="str">
        <f aca="false">IF(G724="","",IF(N(H724)&gt;=G724,"Pago",IF(N(H724)&gt;0,"Parcial","Pendente")))</f>
        <v/>
      </c>
      <c r="P724" s="24"/>
    </row>
    <row r="725" customFormat="false" ht="15" hidden="false" customHeight="false" outlineLevel="0" collapsed="false">
      <c r="A725" s="22"/>
      <c r="B725" s="23"/>
      <c r="C725" s="24"/>
      <c r="D725" s="24"/>
      <c r="E725" s="24"/>
      <c r="F725" s="24"/>
      <c r="G725" s="25"/>
      <c r="H725" s="25"/>
      <c r="I725" s="24"/>
      <c r="J725" s="24"/>
      <c r="K725" s="25"/>
      <c r="L725" s="25"/>
      <c r="M725" s="26" t="str">
        <f aca="false">IF(G725="","",G725-N(H725))</f>
        <v/>
      </c>
      <c r="N725" s="26" t="str">
        <f aca="false">IF(G725="","",G725-N(K725)-N(L725))</f>
        <v/>
      </c>
      <c r="O725" s="27" t="str">
        <f aca="false">IF(G725="","",IF(N(H725)&gt;=G725,"Pago",IF(N(H725)&gt;0,"Parcial","Pendente")))</f>
        <v/>
      </c>
      <c r="P725" s="24"/>
    </row>
    <row r="726" customFormat="false" ht="15" hidden="false" customHeight="false" outlineLevel="0" collapsed="false">
      <c r="A726" s="22"/>
      <c r="B726" s="23"/>
      <c r="C726" s="24"/>
      <c r="D726" s="24"/>
      <c r="E726" s="24"/>
      <c r="F726" s="24"/>
      <c r="G726" s="25"/>
      <c r="H726" s="25"/>
      <c r="I726" s="24"/>
      <c r="J726" s="24"/>
      <c r="K726" s="25"/>
      <c r="L726" s="25"/>
      <c r="M726" s="26" t="str">
        <f aca="false">IF(G726="","",G726-N(H726))</f>
        <v/>
      </c>
      <c r="N726" s="26" t="str">
        <f aca="false">IF(G726="","",G726-N(K726)-N(L726))</f>
        <v/>
      </c>
      <c r="O726" s="27" t="str">
        <f aca="false">IF(G726="","",IF(N(H726)&gt;=G726,"Pago",IF(N(H726)&gt;0,"Parcial","Pendente")))</f>
        <v/>
      </c>
      <c r="P726" s="24"/>
    </row>
    <row r="727" customFormat="false" ht="15" hidden="false" customHeight="false" outlineLevel="0" collapsed="false">
      <c r="A727" s="22"/>
      <c r="B727" s="23"/>
      <c r="C727" s="24"/>
      <c r="D727" s="24"/>
      <c r="E727" s="24"/>
      <c r="F727" s="24"/>
      <c r="G727" s="25"/>
      <c r="H727" s="25"/>
      <c r="I727" s="24"/>
      <c r="J727" s="24"/>
      <c r="K727" s="25"/>
      <c r="L727" s="25"/>
      <c r="M727" s="26" t="str">
        <f aca="false">IF(G727="","",G727-N(H727))</f>
        <v/>
      </c>
      <c r="N727" s="26" t="str">
        <f aca="false">IF(G727="","",G727-N(K727)-N(L727))</f>
        <v/>
      </c>
      <c r="O727" s="27" t="str">
        <f aca="false">IF(G727="","",IF(N(H727)&gt;=G727,"Pago",IF(N(H727)&gt;0,"Parcial","Pendente")))</f>
        <v/>
      </c>
      <c r="P727" s="24"/>
    </row>
    <row r="728" customFormat="false" ht="15" hidden="false" customHeight="false" outlineLevel="0" collapsed="false">
      <c r="A728" s="22"/>
      <c r="B728" s="23"/>
      <c r="C728" s="24"/>
      <c r="D728" s="24"/>
      <c r="E728" s="24"/>
      <c r="F728" s="24"/>
      <c r="G728" s="25"/>
      <c r="H728" s="25"/>
      <c r="I728" s="24"/>
      <c r="J728" s="24"/>
      <c r="K728" s="25"/>
      <c r="L728" s="25"/>
      <c r="M728" s="26" t="str">
        <f aca="false">IF(G728="","",G728-N(H728))</f>
        <v/>
      </c>
      <c r="N728" s="26" t="str">
        <f aca="false">IF(G728="","",G728-N(K728)-N(L728))</f>
        <v/>
      </c>
      <c r="O728" s="27" t="str">
        <f aca="false">IF(G728="","",IF(N(H728)&gt;=G728,"Pago",IF(N(H728)&gt;0,"Parcial","Pendente")))</f>
        <v/>
      </c>
      <c r="P728" s="24"/>
    </row>
    <row r="729" customFormat="false" ht="15" hidden="false" customHeight="false" outlineLevel="0" collapsed="false">
      <c r="A729" s="22"/>
      <c r="B729" s="23"/>
      <c r="C729" s="24"/>
      <c r="D729" s="24"/>
      <c r="E729" s="24"/>
      <c r="F729" s="24"/>
      <c r="G729" s="25"/>
      <c r="H729" s="25"/>
      <c r="I729" s="24"/>
      <c r="J729" s="24"/>
      <c r="K729" s="25"/>
      <c r="L729" s="25"/>
      <c r="M729" s="26" t="str">
        <f aca="false">IF(G729="","",G729-N(H729))</f>
        <v/>
      </c>
      <c r="N729" s="26" t="str">
        <f aca="false">IF(G729="","",G729-N(K729)-N(L729))</f>
        <v/>
      </c>
      <c r="O729" s="27" t="str">
        <f aca="false">IF(G729="","",IF(N(H729)&gt;=G729,"Pago",IF(N(H729)&gt;0,"Parcial","Pendente")))</f>
        <v/>
      </c>
      <c r="P729" s="24"/>
    </row>
    <row r="730" customFormat="false" ht="15" hidden="false" customHeight="false" outlineLevel="0" collapsed="false">
      <c r="A730" s="22"/>
      <c r="B730" s="23"/>
      <c r="C730" s="24"/>
      <c r="D730" s="24"/>
      <c r="E730" s="24"/>
      <c r="F730" s="24"/>
      <c r="G730" s="25"/>
      <c r="H730" s="25"/>
      <c r="I730" s="24"/>
      <c r="J730" s="24"/>
      <c r="K730" s="25"/>
      <c r="L730" s="25"/>
      <c r="M730" s="26" t="str">
        <f aca="false">IF(G730="","",G730-N(H730))</f>
        <v/>
      </c>
      <c r="N730" s="26" t="str">
        <f aca="false">IF(G730="","",G730-N(K730)-N(L730))</f>
        <v/>
      </c>
      <c r="O730" s="27" t="str">
        <f aca="false">IF(G730="","",IF(N(H730)&gt;=G730,"Pago",IF(N(H730)&gt;0,"Parcial","Pendente")))</f>
        <v/>
      </c>
      <c r="P730" s="24"/>
    </row>
    <row r="731" customFormat="false" ht="15" hidden="false" customHeight="false" outlineLevel="0" collapsed="false">
      <c r="A731" s="22"/>
      <c r="B731" s="23"/>
      <c r="C731" s="24"/>
      <c r="D731" s="24"/>
      <c r="E731" s="24"/>
      <c r="F731" s="24"/>
      <c r="G731" s="25"/>
      <c r="H731" s="25"/>
      <c r="I731" s="24"/>
      <c r="J731" s="24"/>
      <c r="K731" s="25"/>
      <c r="L731" s="25"/>
      <c r="M731" s="26" t="str">
        <f aca="false">IF(G731="","",G731-N(H731))</f>
        <v/>
      </c>
      <c r="N731" s="26" t="str">
        <f aca="false">IF(G731="","",G731-N(K731)-N(L731))</f>
        <v/>
      </c>
      <c r="O731" s="27" t="str">
        <f aca="false">IF(G731="","",IF(N(H731)&gt;=G731,"Pago",IF(N(H731)&gt;0,"Parcial","Pendente")))</f>
        <v/>
      </c>
      <c r="P731" s="24"/>
    </row>
    <row r="732" customFormat="false" ht="15" hidden="false" customHeight="false" outlineLevel="0" collapsed="false">
      <c r="A732" s="22"/>
      <c r="B732" s="23"/>
      <c r="C732" s="24"/>
      <c r="D732" s="24"/>
      <c r="E732" s="24"/>
      <c r="F732" s="24"/>
      <c r="G732" s="25"/>
      <c r="H732" s="25"/>
      <c r="I732" s="24"/>
      <c r="J732" s="24"/>
      <c r="K732" s="25"/>
      <c r="L732" s="25"/>
      <c r="M732" s="26" t="str">
        <f aca="false">IF(G732="","",G732-N(H732))</f>
        <v/>
      </c>
      <c r="N732" s="26" t="str">
        <f aca="false">IF(G732="","",G732-N(K732)-N(L732))</f>
        <v/>
      </c>
      <c r="O732" s="27" t="str">
        <f aca="false">IF(G732="","",IF(N(H732)&gt;=G732,"Pago",IF(N(H732)&gt;0,"Parcial","Pendente")))</f>
        <v/>
      </c>
      <c r="P732" s="24"/>
    </row>
    <row r="733" customFormat="false" ht="15" hidden="false" customHeight="false" outlineLevel="0" collapsed="false">
      <c r="A733" s="22"/>
      <c r="B733" s="23"/>
      <c r="C733" s="24"/>
      <c r="D733" s="24"/>
      <c r="E733" s="24"/>
      <c r="F733" s="24"/>
      <c r="G733" s="25"/>
      <c r="H733" s="25"/>
      <c r="I733" s="24"/>
      <c r="J733" s="24"/>
      <c r="K733" s="25"/>
      <c r="L733" s="25"/>
      <c r="M733" s="26" t="str">
        <f aca="false">IF(G733="","",G733-N(H733))</f>
        <v/>
      </c>
      <c r="N733" s="26" t="str">
        <f aca="false">IF(G733="","",G733-N(K733)-N(L733))</f>
        <v/>
      </c>
      <c r="O733" s="27" t="str">
        <f aca="false">IF(G733="","",IF(N(H733)&gt;=G733,"Pago",IF(N(H733)&gt;0,"Parcial","Pendente")))</f>
        <v/>
      </c>
      <c r="P733" s="24"/>
    </row>
    <row r="734" customFormat="false" ht="15" hidden="false" customHeight="false" outlineLevel="0" collapsed="false">
      <c r="A734" s="22"/>
      <c r="B734" s="23"/>
      <c r="C734" s="24"/>
      <c r="D734" s="24"/>
      <c r="E734" s="24"/>
      <c r="F734" s="24"/>
      <c r="G734" s="25"/>
      <c r="H734" s="25"/>
      <c r="I734" s="24"/>
      <c r="J734" s="24"/>
      <c r="K734" s="25"/>
      <c r="L734" s="25"/>
      <c r="M734" s="26" t="str">
        <f aca="false">IF(G734="","",G734-N(H734))</f>
        <v/>
      </c>
      <c r="N734" s="26" t="str">
        <f aca="false">IF(G734="","",G734-N(K734)-N(L734))</f>
        <v/>
      </c>
      <c r="O734" s="27" t="str">
        <f aca="false">IF(G734="","",IF(N(H734)&gt;=G734,"Pago",IF(N(H734)&gt;0,"Parcial","Pendente")))</f>
        <v/>
      </c>
      <c r="P734" s="24"/>
    </row>
    <row r="735" customFormat="false" ht="15" hidden="false" customHeight="false" outlineLevel="0" collapsed="false">
      <c r="A735" s="22"/>
      <c r="B735" s="23"/>
      <c r="C735" s="24"/>
      <c r="D735" s="24"/>
      <c r="E735" s="24"/>
      <c r="F735" s="24"/>
      <c r="G735" s="25"/>
      <c r="H735" s="25"/>
      <c r="I735" s="24"/>
      <c r="J735" s="24"/>
      <c r="K735" s="25"/>
      <c r="L735" s="25"/>
      <c r="M735" s="26" t="str">
        <f aca="false">IF(G735="","",G735-N(H735))</f>
        <v/>
      </c>
      <c r="N735" s="26" t="str">
        <f aca="false">IF(G735="","",G735-N(K735)-N(L735))</f>
        <v/>
      </c>
      <c r="O735" s="27" t="str">
        <f aca="false">IF(G735="","",IF(N(H735)&gt;=G735,"Pago",IF(N(H735)&gt;0,"Parcial","Pendente")))</f>
        <v/>
      </c>
      <c r="P735" s="24"/>
    </row>
    <row r="736" customFormat="false" ht="15" hidden="false" customHeight="false" outlineLevel="0" collapsed="false">
      <c r="A736" s="22"/>
      <c r="B736" s="23"/>
      <c r="C736" s="24"/>
      <c r="D736" s="24"/>
      <c r="E736" s="24"/>
      <c r="F736" s="24"/>
      <c r="G736" s="25"/>
      <c r="H736" s="25"/>
      <c r="I736" s="24"/>
      <c r="J736" s="24"/>
      <c r="K736" s="25"/>
      <c r="L736" s="25"/>
      <c r="M736" s="26" t="str">
        <f aca="false">IF(G736="","",G736-N(H736))</f>
        <v/>
      </c>
      <c r="N736" s="26" t="str">
        <f aca="false">IF(G736="","",G736-N(K736)-N(L736))</f>
        <v/>
      </c>
      <c r="O736" s="27" t="str">
        <f aca="false">IF(G736="","",IF(N(H736)&gt;=G736,"Pago",IF(N(H736)&gt;0,"Parcial","Pendente")))</f>
        <v/>
      </c>
      <c r="P736" s="24"/>
    </row>
    <row r="737" customFormat="false" ht="15" hidden="false" customHeight="false" outlineLevel="0" collapsed="false">
      <c r="A737" s="22"/>
      <c r="B737" s="23"/>
      <c r="C737" s="24"/>
      <c r="D737" s="24"/>
      <c r="E737" s="24"/>
      <c r="F737" s="24"/>
      <c r="G737" s="25"/>
      <c r="H737" s="25"/>
      <c r="I737" s="24"/>
      <c r="J737" s="24"/>
      <c r="K737" s="25"/>
      <c r="L737" s="25"/>
      <c r="M737" s="26" t="str">
        <f aca="false">IF(G737="","",G737-N(H737))</f>
        <v/>
      </c>
      <c r="N737" s="26" t="str">
        <f aca="false">IF(G737="","",G737-N(K737)-N(L737))</f>
        <v/>
      </c>
      <c r="O737" s="27" t="str">
        <f aca="false">IF(G737="","",IF(N(H737)&gt;=G737,"Pago",IF(N(H737)&gt;0,"Parcial","Pendente")))</f>
        <v/>
      </c>
      <c r="P737" s="24"/>
    </row>
    <row r="738" customFormat="false" ht="15" hidden="false" customHeight="false" outlineLevel="0" collapsed="false">
      <c r="A738" s="22"/>
      <c r="B738" s="23"/>
      <c r="C738" s="24"/>
      <c r="D738" s="24"/>
      <c r="E738" s="24"/>
      <c r="F738" s="24"/>
      <c r="G738" s="25"/>
      <c r="H738" s="25"/>
      <c r="I738" s="24"/>
      <c r="J738" s="24"/>
      <c r="K738" s="25"/>
      <c r="L738" s="25"/>
      <c r="M738" s="26" t="str">
        <f aca="false">IF(G738="","",G738-N(H738))</f>
        <v/>
      </c>
      <c r="N738" s="26" t="str">
        <f aca="false">IF(G738="","",G738-N(K738)-N(L738))</f>
        <v/>
      </c>
      <c r="O738" s="27" t="str">
        <f aca="false">IF(G738="","",IF(N(H738)&gt;=G738,"Pago",IF(N(H738)&gt;0,"Parcial","Pendente")))</f>
        <v/>
      </c>
      <c r="P738" s="24"/>
    </row>
    <row r="739" customFormat="false" ht="15" hidden="false" customHeight="false" outlineLevel="0" collapsed="false">
      <c r="A739" s="22"/>
      <c r="B739" s="23"/>
      <c r="C739" s="24"/>
      <c r="D739" s="24"/>
      <c r="E739" s="24"/>
      <c r="F739" s="24"/>
      <c r="G739" s="25"/>
      <c r="H739" s="25"/>
      <c r="I739" s="24"/>
      <c r="J739" s="24"/>
      <c r="K739" s="25"/>
      <c r="L739" s="25"/>
      <c r="M739" s="26" t="str">
        <f aca="false">IF(G739="","",G739-N(H739))</f>
        <v/>
      </c>
      <c r="N739" s="26" t="str">
        <f aca="false">IF(G739="","",G739-N(K739)-N(L739))</f>
        <v/>
      </c>
      <c r="O739" s="27" t="str">
        <f aca="false">IF(G739="","",IF(N(H739)&gt;=G739,"Pago",IF(N(H739)&gt;0,"Parcial","Pendente")))</f>
        <v/>
      </c>
      <c r="P739" s="24"/>
    </row>
    <row r="740" customFormat="false" ht="15" hidden="false" customHeight="false" outlineLevel="0" collapsed="false">
      <c r="A740" s="22"/>
      <c r="B740" s="23"/>
      <c r="C740" s="24"/>
      <c r="D740" s="24"/>
      <c r="E740" s="24"/>
      <c r="F740" s="24"/>
      <c r="G740" s="25"/>
      <c r="H740" s="25"/>
      <c r="I740" s="24"/>
      <c r="J740" s="24"/>
      <c r="K740" s="25"/>
      <c r="L740" s="25"/>
      <c r="M740" s="26" t="str">
        <f aca="false">IF(G740="","",G740-N(H740))</f>
        <v/>
      </c>
      <c r="N740" s="26" t="str">
        <f aca="false">IF(G740="","",G740-N(K740)-N(L740))</f>
        <v/>
      </c>
      <c r="O740" s="27" t="str">
        <f aca="false">IF(G740="","",IF(N(H740)&gt;=G740,"Pago",IF(N(H740)&gt;0,"Parcial","Pendente")))</f>
        <v/>
      </c>
      <c r="P740" s="24"/>
    </row>
    <row r="741" customFormat="false" ht="15" hidden="false" customHeight="false" outlineLevel="0" collapsed="false">
      <c r="A741" s="22"/>
      <c r="B741" s="23"/>
      <c r="C741" s="24"/>
      <c r="D741" s="24"/>
      <c r="E741" s="24"/>
      <c r="F741" s="24"/>
      <c r="G741" s="25"/>
      <c r="H741" s="25"/>
      <c r="I741" s="24"/>
      <c r="J741" s="24"/>
      <c r="K741" s="25"/>
      <c r="L741" s="25"/>
      <c r="M741" s="26" t="str">
        <f aca="false">IF(G741="","",G741-N(H741))</f>
        <v/>
      </c>
      <c r="N741" s="26" t="str">
        <f aca="false">IF(G741="","",G741-N(K741)-N(L741))</f>
        <v/>
      </c>
      <c r="O741" s="27" t="str">
        <f aca="false">IF(G741="","",IF(N(H741)&gt;=G741,"Pago",IF(N(H741)&gt;0,"Parcial","Pendente")))</f>
        <v/>
      </c>
      <c r="P741" s="24"/>
    </row>
    <row r="742" customFormat="false" ht="15" hidden="false" customHeight="false" outlineLevel="0" collapsed="false">
      <c r="A742" s="22"/>
      <c r="B742" s="23"/>
      <c r="C742" s="24"/>
      <c r="D742" s="24"/>
      <c r="E742" s="24"/>
      <c r="F742" s="24"/>
      <c r="G742" s="25"/>
      <c r="H742" s="25"/>
      <c r="I742" s="24"/>
      <c r="J742" s="24"/>
      <c r="K742" s="25"/>
      <c r="L742" s="25"/>
      <c r="M742" s="26" t="str">
        <f aca="false">IF(G742="","",G742-N(H742))</f>
        <v/>
      </c>
      <c r="N742" s="26" t="str">
        <f aca="false">IF(G742="","",G742-N(K742)-N(L742))</f>
        <v/>
      </c>
      <c r="O742" s="27" t="str">
        <f aca="false">IF(G742="","",IF(N(H742)&gt;=G742,"Pago",IF(N(H742)&gt;0,"Parcial","Pendente")))</f>
        <v/>
      </c>
      <c r="P742" s="24"/>
    </row>
    <row r="743" customFormat="false" ht="15" hidden="false" customHeight="false" outlineLevel="0" collapsed="false">
      <c r="A743" s="22"/>
      <c r="B743" s="23"/>
      <c r="C743" s="24"/>
      <c r="D743" s="24"/>
      <c r="E743" s="24"/>
      <c r="F743" s="24"/>
      <c r="G743" s="25"/>
      <c r="H743" s="25"/>
      <c r="I743" s="24"/>
      <c r="J743" s="24"/>
      <c r="K743" s="25"/>
      <c r="L743" s="25"/>
      <c r="M743" s="26" t="str">
        <f aca="false">IF(G743="","",G743-N(H743))</f>
        <v/>
      </c>
      <c r="N743" s="26" t="str">
        <f aca="false">IF(G743="","",G743-N(K743)-N(L743))</f>
        <v/>
      </c>
      <c r="O743" s="27" t="str">
        <f aca="false">IF(G743="","",IF(N(H743)&gt;=G743,"Pago",IF(N(H743)&gt;0,"Parcial","Pendente")))</f>
        <v/>
      </c>
      <c r="P743" s="24"/>
    </row>
    <row r="744" customFormat="false" ht="15" hidden="false" customHeight="false" outlineLevel="0" collapsed="false">
      <c r="A744" s="22"/>
      <c r="B744" s="23"/>
      <c r="C744" s="24"/>
      <c r="D744" s="24"/>
      <c r="E744" s="24"/>
      <c r="F744" s="24"/>
      <c r="G744" s="25"/>
      <c r="H744" s="25"/>
      <c r="I744" s="24"/>
      <c r="J744" s="24"/>
      <c r="K744" s="25"/>
      <c r="L744" s="25"/>
      <c r="M744" s="26" t="str">
        <f aca="false">IF(G744="","",G744-N(H744))</f>
        <v/>
      </c>
      <c r="N744" s="26" t="str">
        <f aca="false">IF(G744="","",G744-N(K744)-N(L744))</f>
        <v/>
      </c>
      <c r="O744" s="27" t="str">
        <f aca="false">IF(G744="","",IF(N(H744)&gt;=G744,"Pago",IF(N(H744)&gt;0,"Parcial","Pendente")))</f>
        <v/>
      </c>
      <c r="P744" s="24"/>
    </row>
    <row r="745" customFormat="false" ht="15" hidden="false" customHeight="false" outlineLevel="0" collapsed="false">
      <c r="A745" s="22"/>
      <c r="B745" s="23"/>
      <c r="C745" s="24"/>
      <c r="D745" s="24"/>
      <c r="E745" s="24"/>
      <c r="F745" s="24"/>
      <c r="G745" s="25"/>
      <c r="H745" s="25"/>
      <c r="I745" s="24"/>
      <c r="J745" s="24"/>
      <c r="K745" s="25"/>
      <c r="L745" s="25"/>
      <c r="M745" s="26" t="str">
        <f aca="false">IF(G745="","",G745-N(H745))</f>
        <v/>
      </c>
      <c r="N745" s="26" t="str">
        <f aca="false">IF(G745="","",G745-N(K745)-N(L745))</f>
        <v/>
      </c>
      <c r="O745" s="27" t="str">
        <f aca="false">IF(G745="","",IF(N(H745)&gt;=G745,"Pago",IF(N(H745)&gt;0,"Parcial","Pendente")))</f>
        <v/>
      </c>
      <c r="P745" s="24"/>
    </row>
    <row r="746" customFormat="false" ht="15" hidden="false" customHeight="false" outlineLevel="0" collapsed="false">
      <c r="A746" s="22"/>
      <c r="B746" s="23"/>
      <c r="C746" s="24"/>
      <c r="D746" s="24"/>
      <c r="E746" s="24"/>
      <c r="F746" s="24"/>
      <c r="G746" s="25"/>
      <c r="H746" s="25"/>
      <c r="I746" s="24"/>
      <c r="J746" s="24"/>
      <c r="K746" s="25"/>
      <c r="L746" s="25"/>
      <c r="M746" s="26" t="str">
        <f aca="false">IF(G746="","",G746-N(H746))</f>
        <v/>
      </c>
      <c r="N746" s="26" t="str">
        <f aca="false">IF(G746="","",G746-N(K746)-N(L746))</f>
        <v/>
      </c>
      <c r="O746" s="27" t="str">
        <f aca="false">IF(G746="","",IF(N(H746)&gt;=G746,"Pago",IF(N(H746)&gt;0,"Parcial","Pendente")))</f>
        <v/>
      </c>
      <c r="P746" s="24"/>
    </row>
    <row r="747" customFormat="false" ht="15" hidden="false" customHeight="false" outlineLevel="0" collapsed="false">
      <c r="A747" s="22"/>
      <c r="B747" s="23"/>
      <c r="C747" s="24"/>
      <c r="D747" s="24"/>
      <c r="E747" s="24"/>
      <c r="F747" s="24"/>
      <c r="G747" s="25"/>
      <c r="H747" s="25"/>
      <c r="I747" s="24"/>
      <c r="J747" s="24"/>
      <c r="K747" s="25"/>
      <c r="L747" s="25"/>
      <c r="M747" s="26" t="str">
        <f aca="false">IF(G747="","",G747-N(H747))</f>
        <v/>
      </c>
      <c r="N747" s="26" t="str">
        <f aca="false">IF(G747="","",G747-N(K747)-N(L747))</f>
        <v/>
      </c>
      <c r="O747" s="27" t="str">
        <f aca="false">IF(G747="","",IF(N(H747)&gt;=G747,"Pago",IF(N(H747)&gt;0,"Parcial","Pendente")))</f>
        <v/>
      </c>
      <c r="P747" s="24"/>
    </row>
    <row r="748" customFormat="false" ht="15" hidden="false" customHeight="false" outlineLevel="0" collapsed="false">
      <c r="A748" s="22"/>
      <c r="B748" s="23"/>
      <c r="C748" s="24"/>
      <c r="D748" s="24"/>
      <c r="E748" s="24"/>
      <c r="F748" s="24"/>
      <c r="G748" s="25"/>
      <c r="H748" s="25"/>
      <c r="I748" s="24"/>
      <c r="J748" s="24"/>
      <c r="K748" s="25"/>
      <c r="L748" s="25"/>
      <c r="M748" s="26" t="str">
        <f aca="false">IF(G748="","",G748-N(H748))</f>
        <v/>
      </c>
      <c r="N748" s="26" t="str">
        <f aca="false">IF(G748="","",G748-N(K748)-N(L748))</f>
        <v/>
      </c>
      <c r="O748" s="27" t="str">
        <f aca="false">IF(G748="","",IF(N(H748)&gt;=G748,"Pago",IF(N(H748)&gt;0,"Parcial","Pendente")))</f>
        <v/>
      </c>
      <c r="P748" s="24"/>
    </row>
    <row r="749" customFormat="false" ht="15" hidden="false" customHeight="false" outlineLevel="0" collapsed="false">
      <c r="A749" s="22"/>
      <c r="B749" s="23"/>
      <c r="C749" s="24"/>
      <c r="D749" s="24"/>
      <c r="E749" s="24"/>
      <c r="F749" s="24"/>
      <c r="G749" s="25"/>
      <c r="H749" s="25"/>
      <c r="I749" s="24"/>
      <c r="J749" s="24"/>
      <c r="K749" s="25"/>
      <c r="L749" s="25"/>
      <c r="M749" s="26" t="str">
        <f aca="false">IF(G749="","",G749-N(H749))</f>
        <v/>
      </c>
      <c r="N749" s="26" t="str">
        <f aca="false">IF(G749="","",G749-N(K749)-N(L749))</f>
        <v/>
      </c>
      <c r="O749" s="27" t="str">
        <f aca="false">IF(G749="","",IF(N(H749)&gt;=G749,"Pago",IF(N(H749)&gt;0,"Parcial","Pendente")))</f>
        <v/>
      </c>
      <c r="P749" s="24"/>
    </row>
    <row r="750" customFormat="false" ht="15" hidden="false" customHeight="false" outlineLevel="0" collapsed="false">
      <c r="A750" s="22"/>
      <c r="B750" s="23"/>
      <c r="C750" s="24"/>
      <c r="D750" s="24"/>
      <c r="E750" s="24"/>
      <c r="F750" s="24"/>
      <c r="G750" s="25"/>
      <c r="H750" s="25"/>
      <c r="I750" s="24"/>
      <c r="J750" s="24"/>
      <c r="K750" s="25"/>
      <c r="L750" s="25"/>
      <c r="M750" s="26" t="str">
        <f aca="false">IF(G750="","",G750-N(H750))</f>
        <v/>
      </c>
      <c r="N750" s="26" t="str">
        <f aca="false">IF(G750="","",G750-N(K750)-N(L750))</f>
        <v/>
      </c>
      <c r="O750" s="27" t="str">
        <f aca="false">IF(G750="","",IF(N(H750)&gt;=G750,"Pago",IF(N(H750)&gt;0,"Parcial","Pendente")))</f>
        <v/>
      </c>
      <c r="P750" s="24"/>
    </row>
    <row r="751" customFormat="false" ht="15" hidden="false" customHeight="false" outlineLevel="0" collapsed="false">
      <c r="A751" s="22"/>
      <c r="B751" s="23"/>
      <c r="C751" s="24"/>
      <c r="D751" s="24"/>
      <c r="E751" s="24"/>
      <c r="F751" s="24"/>
      <c r="G751" s="25"/>
      <c r="H751" s="25"/>
      <c r="I751" s="24"/>
      <c r="J751" s="24"/>
      <c r="K751" s="25"/>
      <c r="L751" s="25"/>
      <c r="M751" s="26" t="str">
        <f aca="false">IF(G751="","",G751-N(H751))</f>
        <v/>
      </c>
      <c r="N751" s="26" t="str">
        <f aca="false">IF(G751="","",G751-N(K751)-N(L751))</f>
        <v/>
      </c>
      <c r="O751" s="27" t="str">
        <f aca="false">IF(G751="","",IF(N(H751)&gt;=G751,"Pago",IF(N(H751)&gt;0,"Parcial","Pendente")))</f>
        <v/>
      </c>
      <c r="P751" s="24"/>
    </row>
    <row r="752" customFormat="false" ht="15" hidden="false" customHeight="false" outlineLevel="0" collapsed="false">
      <c r="A752" s="22"/>
      <c r="B752" s="23"/>
      <c r="C752" s="24"/>
      <c r="D752" s="24"/>
      <c r="E752" s="24"/>
      <c r="F752" s="24"/>
      <c r="G752" s="25"/>
      <c r="H752" s="25"/>
      <c r="I752" s="24"/>
      <c r="J752" s="24"/>
      <c r="K752" s="25"/>
      <c r="L752" s="25"/>
      <c r="M752" s="26" t="str">
        <f aca="false">IF(G752="","",G752-N(H752))</f>
        <v/>
      </c>
      <c r="N752" s="26" t="str">
        <f aca="false">IF(G752="","",G752-N(K752)-N(L752))</f>
        <v/>
      </c>
      <c r="O752" s="27" t="str">
        <f aca="false">IF(G752="","",IF(N(H752)&gt;=G752,"Pago",IF(N(H752)&gt;0,"Parcial","Pendente")))</f>
        <v/>
      </c>
      <c r="P752" s="24"/>
    </row>
    <row r="753" customFormat="false" ht="15" hidden="false" customHeight="false" outlineLevel="0" collapsed="false">
      <c r="A753" s="22"/>
      <c r="B753" s="23"/>
      <c r="C753" s="24"/>
      <c r="D753" s="24"/>
      <c r="E753" s="24"/>
      <c r="F753" s="24"/>
      <c r="G753" s="25"/>
      <c r="H753" s="25"/>
      <c r="I753" s="24"/>
      <c r="J753" s="24"/>
      <c r="K753" s="25"/>
      <c r="L753" s="25"/>
      <c r="M753" s="26" t="str">
        <f aca="false">IF(G753="","",G753-N(H753))</f>
        <v/>
      </c>
      <c r="N753" s="26" t="str">
        <f aca="false">IF(G753="","",G753-N(K753)-N(L753))</f>
        <v/>
      </c>
      <c r="O753" s="27" t="str">
        <f aca="false">IF(G753="","",IF(N(H753)&gt;=G753,"Pago",IF(N(H753)&gt;0,"Parcial","Pendente")))</f>
        <v/>
      </c>
      <c r="P753" s="24"/>
    </row>
    <row r="754" customFormat="false" ht="15" hidden="false" customHeight="false" outlineLevel="0" collapsed="false">
      <c r="A754" s="22"/>
      <c r="B754" s="23"/>
      <c r="C754" s="24"/>
      <c r="D754" s="24"/>
      <c r="E754" s="24"/>
      <c r="F754" s="24"/>
      <c r="G754" s="25"/>
      <c r="H754" s="25"/>
      <c r="I754" s="24"/>
      <c r="J754" s="24"/>
      <c r="K754" s="25"/>
      <c r="L754" s="25"/>
      <c r="M754" s="26" t="str">
        <f aca="false">IF(G754="","",G754-N(H754))</f>
        <v/>
      </c>
      <c r="N754" s="26" t="str">
        <f aca="false">IF(G754="","",G754-N(K754)-N(L754))</f>
        <v/>
      </c>
      <c r="O754" s="27" t="str">
        <f aca="false">IF(G754="","",IF(N(H754)&gt;=G754,"Pago",IF(N(H754)&gt;0,"Parcial","Pendente")))</f>
        <v/>
      </c>
      <c r="P754" s="24"/>
    </row>
    <row r="755" customFormat="false" ht="15" hidden="false" customHeight="false" outlineLevel="0" collapsed="false">
      <c r="A755" s="22"/>
      <c r="B755" s="23"/>
      <c r="C755" s="24"/>
      <c r="D755" s="24"/>
      <c r="E755" s="24"/>
      <c r="F755" s="24"/>
      <c r="G755" s="25"/>
      <c r="H755" s="25"/>
      <c r="I755" s="24"/>
      <c r="J755" s="24"/>
      <c r="K755" s="25"/>
      <c r="L755" s="25"/>
      <c r="M755" s="26" t="str">
        <f aca="false">IF(G755="","",G755-N(H755))</f>
        <v/>
      </c>
      <c r="N755" s="26" t="str">
        <f aca="false">IF(G755="","",G755-N(K755)-N(L755))</f>
        <v/>
      </c>
      <c r="O755" s="27" t="str">
        <f aca="false">IF(G755="","",IF(N(H755)&gt;=G755,"Pago",IF(N(H755)&gt;0,"Parcial","Pendente")))</f>
        <v/>
      </c>
      <c r="P755" s="24"/>
    </row>
    <row r="756" customFormat="false" ht="15" hidden="false" customHeight="false" outlineLevel="0" collapsed="false">
      <c r="A756" s="22"/>
      <c r="B756" s="23"/>
      <c r="C756" s="24"/>
      <c r="D756" s="24"/>
      <c r="E756" s="24"/>
      <c r="F756" s="24"/>
      <c r="G756" s="25"/>
      <c r="H756" s="25"/>
      <c r="I756" s="24"/>
      <c r="J756" s="24"/>
      <c r="K756" s="25"/>
      <c r="L756" s="25"/>
      <c r="M756" s="26" t="str">
        <f aca="false">IF(G756="","",G756-N(H756))</f>
        <v/>
      </c>
      <c r="N756" s="26" t="str">
        <f aca="false">IF(G756="","",G756-N(K756)-N(L756))</f>
        <v/>
      </c>
      <c r="O756" s="27" t="str">
        <f aca="false">IF(G756="","",IF(N(H756)&gt;=G756,"Pago",IF(N(H756)&gt;0,"Parcial","Pendente")))</f>
        <v/>
      </c>
      <c r="P756" s="24"/>
    </row>
    <row r="757" customFormat="false" ht="15" hidden="false" customHeight="false" outlineLevel="0" collapsed="false">
      <c r="A757" s="22"/>
      <c r="B757" s="23"/>
      <c r="C757" s="24"/>
      <c r="D757" s="24"/>
      <c r="E757" s="24"/>
      <c r="F757" s="24"/>
      <c r="G757" s="25"/>
      <c r="H757" s="25"/>
      <c r="I757" s="24"/>
      <c r="J757" s="24"/>
      <c r="K757" s="25"/>
      <c r="L757" s="25"/>
      <c r="M757" s="26" t="str">
        <f aca="false">IF(G757="","",G757-N(H757))</f>
        <v/>
      </c>
      <c r="N757" s="26" t="str">
        <f aca="false">IF(G757="","",G757-N(K757)-N(L757))</f>
        <v/>
      </c>
      <c r="O757" s="27" t="str">
        <f aca="false">IF(G757="","",IF(N(H757)&gt;=G757,"Pago",IF(N(H757)&gt;0,"Parcial","Pendente")))</f>
        <v/>
      </c>
      <c r="P757" s="24"/>
    </row>
    <row r="758" customFormat="false" ht="15" hidden="false" customHeight="false" outlineLevel="0" collapsed="false">
      <c r="A758" s="22"/>
      <c r="B758" s="23"/>
      <c r="C758" s="24"/>
      <c r="D758" s="24"/>
      <c r="E758" s="24"/>
      <c r="F758" s="24"/>
      <c r="G758" s="25"/>
      <c r="H758" s="25"/>
      <c r="I758" s="24"/>
      <c r="J758" s="24"/>
      <c r="K758" s="25"/>
      <c r="L758" s="25"/>
      <c r="M758" s="26" t="str">
        <f aca="false">IF(G758="","",G758-N(H758))</f>
        <v/>
      </c>
      <c r="N758" s="26" t="str">
        <f aca="false">IF(G758="","",G758-N(K758)-N(L758))</f>
        <v/>
      </c>
      <c r="O758" s="27" t="str">
        <f aca="false">IF(G758="","",IF(N(H758)&gt;=G758,"Pago",IF(N(H758)&gt;0,"Parcial","Pendente")))</f>
        <v/>
      </c>
      <c r="P758" s="24"/>
    </row>
    <row r="759" customFormat="false" ht="15" hidden="false" customHeight="false" outlineLevel="0" collapsed="false">
      <c r="A759" s="22"/>
      <c r="B759" s="23"/>
      <c r="C759" s="24"/>
      <c r="D759" s="24"/>
      <c r="E759" s="24"/>
      <c r="F759" s="24"/>
      <c r="G759" s="25"/>
      <c r="H759" s="25"/>
      <c r="I759" s="24"/>
      <c r="J759" s="24"/>
      <c r="K759" s="25"/>
      <c r="L759" s="25"/>
      <c r="M759" s="26" t="str">
        <f aca="false">IF(G759="","",G759-N(H759))</f>
        <v/>
      </c>
      <c r="N759" s="26" t="str">
        <f aca="false">IF(G759="","",G759-N(K759)-N(L759))</f>
        <v/>
      </c>
      <c r="O759" s="27" t="str">
        <f aca="false">IF(G759="","",IF(N(H759)&gt;=G759,"Pago",IF(N(H759)&gt;0,"Parcial","Pendente")))</f>
        <v/>
      </c>
      <c r="P759" s="24"/>
    </row>
    <row r="760" customFormat="false" ht="15" hidden="false" customHeight="false" outlineLevel="0" collapsed="false">
      <c r="A760" s="22"/>
      <c r="B760" s="23"/>
      <c r="C760" s="24"/>
      <c r="D760" s="24"/>
      <c r="E760" s="24"/>
      <c r="F760" s="24"/>
      <c r="G760" s="25"/>
      <c r="H760" s="25"/>
      <c r="I760" s="24"/>
      <c r="J760" s="24"/>
      <c r="K760" s="25"/>
      <c r="L760" s="25"/>
      <c r="M760" s="26" t="str">
        <f aca="false">IF(G760="","",G760-N(H760))</f>
        <v/>
      </c>
      <c r="N760" s="26" t="str">
        <f aca="false">IF(G760="","",G760-N(K760)-N(L760))</f>
        <v/>
      </c>
      <c r="O760" s="27" t="str">
        <f aca="false">IF(G760="","",IF(N(H760)&gt;=G760,"Pago",IF(N(H760)&gt;0,"Parcial","Pendente")))</f>
        <v/>
      </c>
      <c r="P760" s="24"/>
    </row>
    <row r="761" customFormat="false" ht="15" hidden="false" customHeight="false" outlineLevel="0" collapsed="false">
      <c r="A761" s="22"/>
      <c r="B761" s="23"/>
      <c r="C761" s="24"/>
      <c r="D761" s="24"/>
      <c r="E761" s="24"/>
      <c r="F761" s="24"/>
      <c r="G761" s="25"/>
      <c r="H761" s="25"/>
      <c r="I761" s="24"/>
      <c r="J761" s="24"/>
      <c r="K761" s="25"/>
      <c r="L761" s="25"/>
      <c r="M761" s="26" t="str">
        <f aca="false">IF(G761="","",G761-N(H761))</f>
        <v/>
      </c>
      <c r="N761" s="26" t="str">
        <f aca="false">IF(G761="","",G761-N(K761)-N(L761))</f>
        <v/>
      </c>
      <c r="O761" s="27" t="str">
        <f aca="false">IF(G761="","",IF(N(H761)&gt;=G761,"Pago",IF(N(H761)&gt;0,"Parcial","Pendente")))</f>
        <v/>
      </c>
      <c r="P761" s="24"/>
    </row>
    <row r="762" customFormat="false" ht="15" hidden="false" customHeight="false" outlineLevel="0" collapsed="false">
      <c r="A762" s="22"/>
      <c r="B762" s="23"/>
      <c r="C762" s="24"/>
      <c r="D762" s="24"/>
      <c r="E762" s="24"/>
      <c r="F762" s="24"/>
      <c r="G762" s="25"/>
      <c r="H762" s="25"/>
      <c r="I762" s="24"/>
      <c r="J762" s="24"/>
      <c r="K762" s="25"/>
      <c r="L762" s="25"/>
      <c r="M762" s="26" t="str">
        <f aca="false">IF(G762="","",G762-N(H762))</f>
        <v/>
      </c>
      <c r="N762" s="26" t="str">
        <f aca="false">IF(G762="","",G762-N(K762)-N(L762))</f>
        <v/>
      </c>
      <c r="O762" s="27" t="str">
        <f aca="false">IF(G762="","",IF(N(H762)&gt;=G762,"Pago",IF(N(H762)&gt;0,"Parcial","Pendente")))</f>
        <v/>
      </c>
      <c r="P762" s="24"/>
    </row>
    <row r="763" customFormat="false" ht="15" hidden="false" customHeight="false" outlineLevel="0" collapsed="false">
      <c r="A763" s="22"/>
      <c r="B763" s="23"/>
      <c r="C763" s="24"/>
      <c r="D763" s="24"/>
      <c r="E763" s="24"/>
      <c r="F763" s="24"/>
      <c r="G763" s="25"/>
      <c r="H763" s="25"/>
      <c r="I763" s="24"/>
      <c r="J763" s="24"/>
      <c r="K763" s="25"/>
      <c r="L763" s="25"/>
      <c r="M763" s="26" t="str">
        <f aca="false">IF(G763="","",G763-N(H763))</f>
        <v/>
      </c>
      <c r="N763" s="26" t="str">
        <f aca="false">IF(G763="","",G763-N(K763)-N(L763))</f>
        <v/>
      </c>
      <c r="O763" s="27" t="str">
        <f aca="false">IF(G763="","",IF(N(H763)&gt;=G763,"Pago",IF(N(H763)&gt;0,"Parcial","Pendente")))</f>
        <v/>
      </c>
      <c r="P763" s="24"/>
    </row>
    <row r="764" customFormat="false" ht="15" hidden="false" customHeight="false" outlineLevel="0" collapsed="false">
      <c r="A764" s="22"/>
      <c r="B764" s="23"/>
      <c r="C764" s="24"/>
      <c r="D764" s="24"/>
      <c r="E764" s="24"/>
      <c r="F764" s="24"/>
      <c r="G764" s="25"/>
      <c r="H764" s="25"/>
      <c r="I764" s="24"/>
      <c r="J764" s="24"/>
      <c r="K764" s="25"/>
      <c r="L764" s="25"/>
      <c r="M764" s="26" t="str">
        <f aca="false">IF(G764="","",G764-N(H764))</f>
        <v/>
      </c>
      <c r="N764" s="26" t="str">
        <f aca="false">IF(G764="","",G764-N(K764)-N(L764))</f>
        <v/>
      </c>
      <c r="O764" s="27" t="str">
        <f aca="false">IF(G764="","",IF(N(H764)&gt;=G764,"Pago",IF(N(H764)&gt;0,"Parcial","Pendente")))</f>
        <v/>
      </c>
      <c r="P764" s="24"/>
    </row>
    <row r="765" customFormat="false" ht="15" hidden="false" customHeight="false" outlineLevel="0" collapsed="false">
      <c r="A765" s="22"/>
      <c r="B765" s="23"/>
      <c r="C765" s="24"/>
      <c r="D765" s="24"/>
      <c r="E765" s="24"/>
      <c r="F765" s="24"/>
      <c r="G765" s="25"/>
      <c r="H765" s="25"/>
      <c r="I765" s="24"/>
      <c r="J765" s="24"/>
      <c r="K765" s="25"/>
      <c r="L765" s="25"/>
      <c r="M765" s="26" t="str">
        <f aca="false">IF(G765="","",G765-N(H765))</f>
        <v/>
      </c>
      <c r="N765" s="26" t="str">
        <f aca="false">IF(G765="","",G765-N(K765)-N(L765))</f>
        <v/>
      </c>
      <c r="O765" s="27" t="str">
        <f aca="false">IF(G765="","",IF(N(H765)&gt;=G765,"Pago",IF(N(H765)&gt;0,"Parcial","Pendente")))</f>
        <v/>
      </c>
      <c r="P765" s="24"/>
    </row>
    <row r="766" customFormat="false" ht="15" hidden="false" customHeight="false" outlineLevel="0" collapsed="false">
      <c r="A766" s="22"/>
      <c r="B766" s="23"/>
      <c r="C766" s="24"/>
      <c r="D766" s="24"/>
      <c r="E766" s="24"/>
      <c r="F766" s="24"/>
      <c r="G766" s="25"/>
      <c r="H766" s="25"/>
      <c r="I766" s="24"/>
      <c r="J766" s="24"/>
      <c r="K766" s="25"/>
      <c r="L766" s="25"/>
      <c r="M766" s="26" t="str">
        <f aca="false">IF(G766="","",G766-N(H766))</f>
        <v/>
      </c>
      <c r="N766" s="26" t="str">
        <f aca="false">IF(G766="","",G766-N(K766)-N(L766))</f>
        <v/>
      </c>
      <c r="O766" s="27" t="str">
        <f aca="false">IF(G766="","",IF(N(H766)&gt;=G766,"Pago",IF(N(H766)&gt;0,"Parcial","Pendente")))</f>
        <v/>
      </c>
      <c r="P766" s="24"/>
    </row>
    <row r="767" customFormat="false" ht="15" hidden="false" customHeight="false" outlineLevel="0" collapsed="false">
      <c r="A767" s="22"/>
      <c r="B767" s="23"/>
      <c r="C767" s="24"/>
      <c r="D767" s="24"/>
      <c r="E767" s="24"/>
      <c r="F767" s="24"/>
      <c r="G767" s="25"/>
      <c r="H767" s="25"/>
      <c r="I767" s="24"/>
      <c r="J767" s="24"/>
      <c r="K767" s="25"/>
      <c r="L767" s="25"/>
      <c r="M767" s="26" t="str">
        <f aca="false">IF(G767="","",G767-N(H767))</f>
        <v/>
      </c>
      <c r="N767" s="26" t="str">
        <f aca="false">IF(G767="","",G767-N(K767)-N(L767))</f>
        <v/>
      </c>
      <c r="O767" s="27" t="str">
        <f aca="false">IF(G767="","",IF(N(H767)&gt;=G767,"Pago",IF(N(H767)&gt;0,"Parcial","Pendente")))</f>
        <v/>
      </c>
      <c r="P767" s="24"/>
    </row>
    <row r="768" customFormat="false" ht="15" hidden="false" customHeight="false" outlineLevel="0" collapsed="false">
      <c r="A768" s="22"/>
      <c r="B768" s="23"/>
      <c r="C768" s="24"/>
      <c r="D768" s="24"/>
      <c r="E768" s="24"/>
      <c r="F768" s="24"/>
      <c r="G768" s="25"/>
      <c r="H768" s="25"/>
      <c r="I768" s="24"/>
      <c r="J768" s="24"/>
      <c r="K768" s="25"/>
      <c r="L768" s="25"/>
      <c r="M768" s="26" t="str">
        <f aca="false">IF(G768="","",G768-N(H768))</f>
        <v/>
      </c>
      <c r="N768" s="26" t="str">
        <f aca="false">IF(G768="","",G768-N(K768)-N(L768))</f>
        <v/>
      </c>
      <c r="O768" s="27" t="str">
        <f aca="false">IF(G768="","",IF(N(H768)&gt;=G768,"Pago",IF(N(H768)&gt;0,"Parcial","Pendente")))</f>
        <v/>
      </c>
      <c r="P768" s="24"/>
    </row>
    <row r="769" customFormat="false" ht="15" hidden="false" customHeight="false" outlineLevel="0" collapsed="false">
      <c r="A769" s="22"/>
      <c r="B769" s="23"/>
      <c r="C769" s="24"/>
      <c r="D769" s="24"/>
      <c r="E769" s="24"/>
      <c r="F769" s="24"/>
      <c r="G769" s="25"/>
      <c r="H769" s="25"/>
      <c r="I769" s="24"/>
      <c r="J769" s="24"/>
      <c r="K769" s="25"/>
      <c r="L769" s="25"/>
      <c r="M769" s="26" t="str">
        <f aca="false">IF(G769="","",G769-N(H769))</f>
        <v/>
      </c>
      <c r="N769" s="26" t="str">
        <f aca="false">IF(G769="","",G769-N(K769)-N(L769))</f>
        <v/>
      </c>
      <c r="O769" s="27" t="str">
        <f aca="false">IF(G769="","",IF(N(H769)&gt;=G769,"Pago",IF(N(H769)&gt;0,"Parcial","Pendente")))</f>
        <v/>
      </c>
      <c r="P769" s="24"/>
    </row>
    <row r="770" customFormat="false" ht="15" hidden="false" customHeight="false" outlineLevel="0" collapsed="false">
      <c r="A770" s="22"/>
      <c r="B770" s="23"/>
      <c r="C770" s="24"/>
      <c r="D770" s="24"/>
      <c r="E770" s="24"/>
      <c r="F770" s="24"/>
      <c r="G770" s="25"/>
      <c r="H770" s="25"/>
      <c r="I770" s="24"/>
      <c r="J770" s="24"/>
      <c r="K770" s="25"/>
      <c r="L770" s="25"/>
      <c r="M770" s="26" t="str">
        <f aca="false">IF(G770="","",G770-N(H770))</f>
        <v/>
      </c>
      <c r="N770" s="26" t="str">
        <f aca="false">IF(G770="","",G770-N(K770)-N(L770))</f>
        <v/>
      </c>
      <c r="O770" s="27" t="str">
        <f aca="false">IF(G770="","",IF(N(H770)&gt;=G770,"Pago",IF(N(H770)&gt;0,"Parcial","Pendente")))</f>
        <v/>
      </c>
      <c r="P770" s="24"/>
    </row>
    <row r="771" customFormat="false" ht="15" hidden="false" customHeight="false" outlineLevel="0" collapsed="false">
      <c r="A771" s="22"/>
      <c r="B771" s="23"/>
      <c r="C771" s="24"/>
      <c r="D771" s="24"/>
      <c r="E771" s="24"/>
      <c r="F771" s="24"/>
      <c r="G771" s="25"/>
      <c r="H771" s="25"/>
      <c r="I771" s="24"/>
      <c r="J771" s="24"/>
      <c r="K771" s="25"/>
      <c r="L771" s="25"/>
      <c r="M771" s="26" t="str">
        <f aca="false">IF(G771="","",G771-N(H771))</f>
        <v/>
      </c>
      <c r="N771" s="26" t="str">
        <f aca="false">IF(G771="","",G771-N(K771)-N(L771))</f>
        <v/>
      </c>
      <c r="O771" s="27" t="str">
        <f aca="false">IF(G771="","",IF(N(H771)&gt;=G771,"Pago",IF(N(H771)&gt;0,"Parcial","Pendente")))</f>
        <v/>
      </c>
      <c r="P771" s="24"/>
    </row>
    <row r="772" customFormat="false" ht="15" hidden="false" customHeight="false" outlineLevel="0" collapsed="false">
      <c r="A772" s="22"/>
      <c r="B772" s="23"/>
      <c r="C772" s="24"/>
      <c r="D772" s="24"/>
      <c r="E772" s="24"/>
      <c r="F772" s="24"/>
      <c r="G772" s="25"/>
      <c r="H772" s="25"/>
      <c r="I772" s="24"/>
      <c r="J772" s="24"/>
      <c r="K772" s="25"/>
      <c r="L772" s="25"/>
      <c r="M772" s="26" t="str">
        <f aca="false">IF(G772="","",G772-N(H772))</f>
        <v/>
      </c>
      <c r="N772" s="26" t="str">
        <f aca="false">IF(G772="","",G772-N(K772)-N(L772))</f>
        <v/>
      </c>
      <c r="O772" s="27" t="str">
        <f aca="false">IF(G772="","",IF(N(H772)&gt;=G772,"Pago",IF(N(H772)&gt;0,"Parcial","Pendente")))</f>
        <v/>
      </c>
      <c r="P772" s="24"/>
    </row>
    <row r="773" customFormat="false" ht="15" hidden="false" customHeight="false" outlineLevel="0" collapsed="false">
      <c r="A773" s="22"/>
      <c r="B773" s="23"/>
      <c r="C773" s="24"/>
      <c r="D773" s="24"/>
      <c r="E773" s="24"/>
      <c r="F773" s="24"/>
      <c r="G773" s="25"/>
      <c r="H773" s="25"/>
      <c r="I773" s="24"/>
      <c r="J773" s="24"/>
      <c r="K773" s="25"/>
      <c r="L773" s="25"/>
      <c r="M773" s="26" t="str">
        <f aca="false">IF(G773="","",G773-N(H773))</f>
        <v/>
      </c>
      <c r="N773" s="26" t="str">
        <f aca="false">IF(G773="","",G773-N(K773)-N(L773))</f>
        <v/>
      </c>
      <c r="O773" s="27" t="str">
        <f aca="false">IF(G773="","",IF(N(H773)&gt;=G773,"Pago",IF(N(H773)&gt;0,"Parcial","Pendente")))</f>
        <v/>
      </c>
      <c r="P773" s="24"/>
    </row>
    <row r="774" customFormat="false" ht="15" hidden="false" customHeight="false" outlineLevel="0" collapsed="false">
      <c r="A774" s="22"/>
      <c r="B774" s="23"/>
      <c r="C774" s="24"/>
      <c r="D774" s="24"/>
      <c r="E774" s="24"/>
      <c r="F774" s="24"/>
      <c r="G774" s="25"/>
      <c r="H774" s="25"/>
      <c r="I774" s="24"/>
      <c r="J774" s="24"/>
      <c r="K774" s="25"/>
      <c r="L774" s="25"/>
      <c r="M774" s="26" t="str">
        <f aca="false">IF(G774="","",G774-N(H774))</f>
        <v/>
      </c>
      <c r="N774" s="26" t="str">
        <f aca="false">IF(G774="","",G774-N(K774)-N(L774))</f>
        <v/>
      </c>
      <c r="O774" s="27" t="str">
        <f aca="false">IF(G774="","",IF(N(H774)&gt;=G774,"Pago",IF(N(H774)&gt;0,"Parcial","Pendente")))</f>
        <v/>
      </c>
      <c r="P774" s="24"/>
    </row>
    <row r="775" customFormat="false" ht="15" hidden="false" customHeight="false" outlineLevel="0" collapsed="false">
      <c r="A775" s="22"/>
      <c r="B775" s="23"/>
      <c r="C775" s="24"/>
      <c r="D775" s="24"/>
      <c r="E775" s="24"/>
      <c r="F775" s="24"/>
      <c r="G775" s="25"/>
      <c r="H775" s="25"/>
      <c r="I775" s="24"/>
      <c r="J775" s="24"/>
      <c r="K775" s="25"/>
      <c r="L775" s="25"/>
      <c r="M775" s="26" t="str">
        <f aca="false">IF(G775="","",G775-N(H775))</f>
        <v/>
      </c>
      <c r="N775" s="26" t="str">
        <f aca="false">IF(G775="","",G775-N(K775)-N(L775))</f>
        <v/>
      </c>
      <c r="O775" s="27" t="str">
        <f aca="false">IF(G775="","",IF(N(H775)&gt;=G775,"Pago",IF(N(H775)&gt;0,"Parcial","Pendente")))</f>
        <v/>
      </c>
      <c r="P775" s="24"/>
    </row>
    <row r="776" customFormat="false" ht="15" hidden="false" customHeight="false" outlineLevel="0" collapsed="false">
      <c r="A776" s="22"/>
      <c r="B776" s="23"/>
      <c r="C776" s="24"/>
      <c r="D776" s="24"/>
      <c r="E776" s="24"/>
      <c r="F776" s="24"/>
      <c r="G776" s="25"/>
      <c r="H776" s="25"/>
      <c r="I776" s="24"/>
      <c r="J776" s="24"/>
      <c r="K776" s="25"/>
      <c r="L776" s="25"/>
      <c r="M776" s="26" t="str">
        <f aca="false">IF(G776="","",G776-N(H776))</f>
        <v/>
      </c>
      <c r="N776" s="26" t="str">
        <f aca="false">IF(G776="","",G776-N(K776)-N(L776))</f>
        <v/>
      </c>
      <c r="O776" s="27" t="str">
        <f aca="false">IF(G776="","",IF(N(H776)&gt;=G776,"Pago",IF(N(H776)&gt;0,"Parcial","Pendente")))</f>
        <v/>
      </c>
      <c r="P776" s="24"/>
    </row>
    <row r="777" customFormat="false" ht="15" hidden="false" customHeight="false" outlineLevel="0" collapsed="false">
      <c r="A777" s="22"/>
      <c r="B777" s="23"/>
      <c r="C777" s="24"/>
      <c r="D777" s="24"/>
      <c r="E777" s="24"/>
      <c r="F777" s="24"/>
      <c r="G777" s="25"/>
      <c r="H777" s="25"/>
      <c r="I777" s="24"/>
      <c r="J777" s="24"/>
      <c r="K777" s="25"/>
      <c r="L777" s="25"/>
      <c r="M777" s="26" t="str">
        <f aca="false">IF(G777="","",G777-N(H777))</f>
        <v/>
      </c>
      <c r="N777" s="26" t="str">
        <f aca="false">IF(G777="","",G777-N(K777)-N(L777))</f>
        <v/>
      </c>
      <c r="O777" s="27" t="str">
        <f aca="false">IF(G777="","",IF(N(H777)&gt;=G777,"Pago",IF(N(H777)&gt;0,"Parcial","Pendente")))</f>
        <v/>
      </c>
      <c r="P777" s="24"/>
    </row>
    <row r="778" customFormat="false" ht="15" hidden="false" customHeight="false" outlineLevel="0" collapsed="false">
      <c r="A778" s="22"/>
      <c r="B778" s="23"/>
      <c r="C778" s="24"/>
      <c r="D778" s="24"/>
      <c r="E778" s="24"/>
      <c r="F778" s="24"/>
      <c r="G778" s="25"/>
      <c r="H778" s="25"/>
      <c r="I778" s="24"/>
      <c r="J778" s="24"/>
      <c r="K778" s="25"/>
      <c r="L778" s="25"/>
      <c r="M778" s="26" t="str">
        <f aca="false">IF(G778="","",G778-N(H778))</f>
        <v/>
      </c>
      <c r="N778" s="26" t="str">
        <f aca="false">IF(G778="","",G778-N(K778)-N(L778))</f>
        <v/>
      </c>
      <c r="O778" s="27" t="str">
        <f aca="false">IF(G778="","",IF(N(H778)&gt;=G778,"Pago",IF(N(H778)&gt;0,"Parcial","Pendente")))</f>
        <v/>
      </c>
      <c r="P778" s="24"/>
    </row>
    <row r="779" customFormat="false" ht="15" hidden="false" customHeight="false" outlineLevel="0" collapsed="false">
      <c r="A779" s="22"/>
      <c r="B779" s="23"/>
      <c r="C779" s="24"/>
      <c r="D779" s="24"/>
      <c r="E779" s="24"/>
      <c r="F779" s="24"/>
      <c r="G779" s="25"/>
      <c r="H779" s="25"/>
      <c r="I779" s="24"/>
      <c r="J779" s="24"/>
      <c r="K779" s="25"/>
      <c r="L779" s="25"/>
      <c r="M779" s="26" t="str">
        <f aca="false">IF(G779="","",G779-N(H779))</f>
        <v/>
      </c>
      <c r="N779" s="26" t="str">
        <f aca="false">IF(G779="","",G779-N(K779)-N(L779))</f>
        <v/>
      </c>
      <c r="O779" s="27" t="str">
        <f aca="false">IF(G779="","",IF(N(H779)&gt;=G779,"Pago",IF(N(H779)&gt;0,"Parcial","Pendente")))</f>
        <v/>
      </c>
      <c r="P779" s="24"/>
    </row>
    <row r="780" customFormat="false" ht="15" hidden="false" customHeight="false" outlineLevel="0" collapsed="false">
      <c r="A780" s="22"/>
      <c r="B780" s="23"/>
      <c r="C780" s="24"/>
      <c r="D780" s="24"/>
      <c r="E780" s="24"/>
      <c r="F780" s="24"/>
      <c r="G780" s="25"/>
      <c r="H780" s="25"/>
      <c r="I780" s="24"/>
      <c r="J780" s="24"/>
      <c r="K780" s="25"/>
      <c r="L780" s="25"/>
      <c r="M780" s="26" t="str">
        <f aca="false">IF(G780="","",G780-N(H780))</f>
        <v/>
      </c>
      <c r="N780" s="26" t="str">
        <f aca="false">IF(G780="","",G780-N(K780)-N(L780))</f>
        <v/>
      </c>
      <c r="O780" s="27" t="str">
        <f aca="false">IF(G780="","",IF(N(H780)&gt;=G780,"Pago",IF(N(H780)&gt;0,"Parcial","Pendente")))</f>
        <v/>
      </c>
      <c r="P780" s="24"/>
    </row>
    <row r="781" customFormat="false" ht="15" hidden="false" customHeight="false" outlineLevel="0" collapsed="false">
      <c r="A781" s="22"/>
      <c r="B781" s="23"/>
      <c r="C781" s="24"/>
      <c r="D781" s="24"/>
      <c r="E781" s="24"/>
      <c r="F781" s="24"/>
      <c r="G781" s="25"/>
      <c r="H781" s="25"/>
      <c r="I781" s="24"/>
      <c r="J781" s="24"/>
      <c r="K781" s="25"/>
      <c r="L781" s="25"/>
      <c r="M781" s="26" t="str">
        <f aca="false">IF(G781="","",G781-N(H781))</f>
        <v/>
      </c>
      <c r="N781" s="26" t="str">
        <f aca="false">IF(G781="","",G781-N(K781)-N(L781))</f>
        <v/>
      </c>
      <c r="O781" s="27" t="str">
        <f aca="false">IF(G781="","",IF(N(H781)&gt;=G781,"Pago",IF(N(H781)&gt;0,"Parcial","Pendente")))</f>
        <v/>
      </c>
      <c r="P781" s="24"/>
    </row>
    <row r="782" customFormat="false" ht="15" hidden="false" customHeight="false" outlineLevel="0" collapsed="false">
      <c r="A782" s="22"/>
      <c r="B782" s="23"/>
      <c r="C782" s="24"/>
      <c r="D782" s="24"/>
      <c r="E782" s="24"/>
      <c r="F782" s="24"/>
      <c r="G782" s="25"/>
      <c r="H782" s="25"/>
      <c r="I782" s="24"/>
      <c r="J782" s="24"/>
      <c r="K782" s="25"/>
      <c r="L782" s="25"/>
      <c r="M782" s="26" t="str">
        <f aca="false">IF(G782="","",G782-N(H782))</f>
        <v/>
      </c>
      <c r="N782" s="26" t="str">
        <f aca="false">IF(G782="","",G782-N(K782)-N(L782))</f>
        <v/>
      </c>
      <c r="O782" s="27" t="str">
        <f aca="false">IF(G782="","",IF(N(H782)&gt;=G782,"Pago",IF(N(H782)&gt;0,"Parcial","Pendente")))</f>
        <v/>
      </c>
      <c r="P782" s="24"/>
    </row>
    <row r="783" customFormat="false" ht="15" hidden="false" customHeight="false" outlineLevel="0" collapsed="false">
      <c r="A783" s="22"/>
      <c r="B783" s="23"/>
      <c r="C783" s="24"/>
      <c r="D783" s="24"/>
      <c r="E783" s="24"/>
      <c r="F783" s="24"/>
      <c r="G783" s="25"/>
      <c r="H783" s="25"/>
      <c r="I783" s="24"/>
      <c r="J783" s="24"/>
      <c r="K783" s="25"/>
      <c r="L783" s="25"/>
      <c r="M783" s="26" t="str">
        <f aca="false">IF(G783="","",G783-N(H783))</f>
        <v/>
      </c>
      <c r="N783" s="26" t="str">
        <f aca="false">IF(G783="","",G783-N(K783)-N(L783))</f>
        <v/>
      </c>
      <c r="O783" s="27" t="str">
        <f aca="false">IF(G783="","",IF(N(H783)&gt;=G783,"Pago",IF(N(H783)&gt;0,"Parcial","Pendente")))</f>
        <v/>
      </c>
      <c r="P783" s="24"/>
    </row>
    <row r="784" customFormat="false" ht="15" hidden="false" customHeight="false" outlineLevel="0" collapsed="false">
      <c r="A784" s="22"/>
      <c r="B784" s="23"/>
      <c r="C784" s="24"/>
      <c r="D784" s="24"/>
      <c r="E784" s="24"/>
      <c r="F784" s="24"/>
      <c r="G784" s="25"/>
      <c r="H784" s="25"/>
      <c r="I784" s="24"/>
      <c r="J784" s="24"/>
      <c r="K784" s="25"/>
      <c r="L784" s="25"/>
      <c r="M784" s="26" t="str">
        <f aca="false">IF(G784="","",G784-N(H784))</f>
        <v/>
      </c>
      <c r="N784" s="26" t="str">
        <f aca="false">IF(G784="","",G784-N(K784)-N(L784))</f>
        <v/>
      </c>
      <c r="O784" s="27" t="str">
        <f aca="false">IF(G784="","",IF(N(H784)&gt;=G784,"Pago",IF(N(H784)&gt;0,"Parcial","Pendente")))</f>
        <v/>
      </c>
      <c r="P784" s="24"/>
    </row>
    <row r="785" customFormat="false" ht="15" hidden="false" customHeight="false" outlineLevel="0" collapsed="false">
      <c r="A785" s="22"/>
      <c r="B785" s="23"/>
      <c r="C785" s="24"/>
      <c r="D785" s="24"/>
      <c r="E785" s="24"/>
      <c r="F785" s="24"/>
      <c r="G785" s="25"/>
      <c r="H785" s="25"/>
      <c r="I785" s="24"/>
      <c r="J785" s="24"/>
      <c r="K785" s="25"/>
      <c r="L785" s="25"/>
      <c r="M785" s="26" t="str">
        <f aca="false">IF(G785="","",G785-N(H785))</f>
        <v/>
      </c>
      <c r="N785" s="26" t="str">
        <f aca="false">IF(G785="","",G785-N(K785)-N(L785))</f>
        <v/>
      </c>
      <c r="O785" s="27" t="str">
        <f aca="false">IF(G785="","",IF(N(H785)&gt;=G785,"Pago",IF(N(H785)&gt;0,"Parcial","Pendente")))</f>
        <v/>
      </c>
      <c r="P785" s="24"/>
    </row>
    <row r="786" customFormat="false" ht="15" hidden="false" customHeight="false" outlineLevel="0" collapsed="false">
      <c r="A786" s="22"/>
      <c r="B786" s="23"/>
      <c r="C786" s="24"/>
      <c r="D786" s="24"/>
      <c r="E786" s="24"/>
      <c r="F786" s="24"/>
      <c r="G786" s="25"/>
      <c r="H786" s="25"/>
      <c r="I786" s="24"/>
      <c r="J786" s="24"/>
      <c r="K786" s="25"/>
      <c r="L786" s="25"/>
      <c r="M786" s="26" t="str">
        <f aca="false">IF(G786="","",G786-N(H786))</f>
        <v/>
      </c>
      <c r="N786" s="26" t="str">
        <f aca="false">IF(G786="","",G786-N(K786)-N(L786))</f>
        <v/>
      </c>
      <c r="O786" s="27" t="str">
        <f aca="false">IF(G786="","",IF(N(H786)&gt;=G786,"Pago",IF(N(H786)&gt;0,"Parcial","Pendente")))</f>
        <v/>
      </c>
      <c r="P786" s="24"/>
    </row>
    <row r="787" customFormat="false" ht="15" hidden="false" customHeight="false" outlineLevel="0" collapsed="false">
      <c r="A787" s="22"/>
      <c r="B787" s="23"/>
      <c r="C787" s="24"/>
      <c r="D787" s="24"/>
      <c r="E787" s="24"/>
      <c r="F787" s="24"/>
      <c r="G787" s="25"/>
      <c r="H787" s="25"/>
      <c r="I787" s="24"/>
      <c r="J787" s="24"/>
      <c r="K787" s="25"/>
      <c r="L787" s="25"/>
      <c r="M787" s="26" t="str">
        <f aca="false">IF(G787="","",G787-N(H787))</f>
        <v/>
      </c>
      <c r="N787" s="26" t="str">
        <f aca="false">IF(G787="","",G787-N(K787)-N(L787))</f>
        <v/>
      </c>
      <c r="O787" s="27" t="str">
        <f aca="false">IF(G787="","",IF(N(H787)&gt;=G787,"Pago",IF(N(H787)&gt;0,"Parcial","Pendente")))</f>
        <v/>
      </c>
      <c r="P787" s="24"/>
    </row>
    <row r="788" customFormat="false" ht="15" hidden="false" customHeight="false" outlineLevel="0" collapsed="false">
      <c r="A788" s="22"/>
      <c r="B788" s="23"/>
      <c r="C788" s="24"/>
      <c r="D788" s="24"/>
      <c r="E788" s="24"/>
      <c r="F788" s="24"/>
      <c r="G788" s="25"/>
      <c r="H788" s="25"/>
      <c r="I788" s="24"/>
      <c r="J788" s="24"/>
      <c r="K788" s="25"/>
      <c r="L788" s="25"/>
      <c r="M788" s="26" t="str">
        <f aca="false">IF(G788="","",G788-N(H788))</f>
        <v/>
      </c>
      <c r="N788" s="26" t="str">
        <f aca="false">IF(G788="","",G788-N(K788)-N(L788))</f>
        <v/>
      </c>
      <c r="O788" s="27" t="str">
        <f aca="false">IF(G788="","",IF(N(H788)&gt;=G788,"Pago",IF(N(H788)&gt;0,"Parcial","Pendente")))</f>
        <v/>
      </c>
      <c r="P788" s="24"/>
    </row>
    <row r="789" customFormat="false" ht="15" hidden="false" customHeight="false" outlineLevel="0" collapsed="false">
      <c r="A789" s="22"/>
      <c r="B789" s="23"/>
      <c r="C789" s="24"/>
      <c r="D789" s="24"/>
      <c r="E789" s="24"/>
      <c r="F789" s="24"/>
      <c r="G789" s="25"/>
      <c r="H789" s="25"/>
      <c r="I789" s="24"/>
      <c r="J789" s="24"/>
      <c r="K789" s="25"/>
      <c r="L789" s="25"/>
      <c r="M789" s="26" t="str">
        <f aca="false">IF(G789="","",G789-N(H789))</f>
        <v/>
      </c>
      <c r="N789" s="26" t="str">
        <f aca="false">IF(G789="","",G789-N(K789)-N(L789))</f>
        <v/>
      </c>
      <c r="O789" s="27" t="str">
        <f aca="false">IF(G789="","",IF(N(H789)&gt;=G789,"Pago",IF(N(H789)&gt;0,"Parcial","Pendente")))</f>
        <v/>
      </c>
      <c r="P789" s="24"/>
    </row>
    <row r="790" customFormat="false" ht="15" hidden="false" customHeight="false" outlineLevel="0" collapsed="false">
      <c r="A790" s="22"/>
      <c r="B790" s="23"/>
      <c r="C790" s="24"/>
      <c r="D790" s="24"/>
      <c r="E790" s="24"/>
      <c r="F790" s="24"/>
      <c r="G790" s="25"/>
      <c r="H790" s="25"/>
      <c r="I790" s="24"/>
      <c r="J790" s="24"/>
      <c r="K790" s="25"/>
      <c r="L790" s="25"/>
      <c r="M790" s="26" t="str">
        <f aca="false">IF(G790="","",G790-N(H790))</f>
        <v/>
      </c>
      <c r="N790" s="26" t="str">
        <f aca="false">IF(G790="","",G790-N(K790)-N(L790))</f>
        <v/>
      </c>
      <c r="O790" s="27" t="str">
        <f aca="false">IF(G790="","",IF(N(H790)&gt;=G790,"Pago",IF(N(H790)&gt;0,"Parcial","Pendente")))</f>
        <v/>
      </c>
      <c r="P790" s="24"/>
    </row>
    <row r="791" customFormat="false" ht="15" hidden="false" customHeight="false" outlineLevel="0" collapsed="false">
      <c r="A791" s="22"/>
      <c r="B791" s="23"/>
      <c r="C791" s="24"/>
      <c r="D791" s="24"/>
      <c r="E791" s="24"/>
      <c r="F791" s="24"/>
      <c r="G791" s="25"/>
      <c r="H791" s="25"/>
      <c r="I791" s="24"/>
      <c r="J791" s="24"/>
      <c r="K791" s="25"/>
      <c r="L791" s="25"/>
      <c r="M791" s="26" t="str">
        <f aca="false">IF(G791="","",G791-N(H791))</f>
        <v/>
      </c>
      <c r="N791" s="26" t="str">
        <f aca="false">IF(G791="","",G791-N(K791)-N(L791))</f>
        <v/>
      </c>
      <c r="O791" s="27" t="str">
        <f aca="false">IF(G791="","",IF(N(H791)&gt;=G791,"Pago",IF(N(H791)&gt;0,"Parcial","Pendente")))</f>
        <v/>
      </c>
      <c r="P791" s="24"/>
    </row>
    <row r="792" customFormat="false" ht="15" hidden="false" customHeight="false" outlineLevel="0" collapsed="false">
      <c r="A792" s="22"/>
      <c r="B792" s="23"/>
      <c r="C792" s="24"/>
      <c r="D792" s="24"/>
      <c r="E792" s="24"/>
      <c r="F792" s="24"/>
      <c r="G792" s="25"/>
      <c r="H792" s="25"/>
      <c r="I792" s="24"/>
      <c r="J792" s="24"/>
      <c r="K792" s="25"/>
      <c r="L792" s="25"/>
      <c r="M792" s="26" t="str">
        <f aca="false">IF(G792="","",G792-N(H792))</f>
        <v/>
      </c>
      <c r="N792" s="26" t="str">
        <f aca="false">IF(G792="","",G792-N(K792)-N(L792))</f>
        <v/>
      </c>
      <c r="O792" s="27" t="str">
        <f aca="false">IF(G792="","",IF(N(H792)&gt;=G792,"Pago",IF(N(H792)&gt;0,"Parcial","Pendente")))</f>
        <v/>
      </c>
      <c r="P792" s="24"/>
    </row>
    <row r="793" customFormat="false" ht="15" hidden="false" customHeight="false" outlineLevel="0" collapsed="false">
      <c r="A793" s="22"/>
      <c r="B793" s="23"/>
      <c r="C793" s="24"/>
      <c r="D793" s="24"/>
      <c r="E793" s="24"/>
      <c r="F793" s="24"/>
      <c r="G793" s="25"/>
      <c r="H793" s="25"/>
      <c r="I793" s="24"/>
      <c r="J793" s="24"/>
      <c r="K793" s="25"/>
      <c r="L793" s="25"/>
      <c r="M793" s="26" t="str">
        <f aca="false">IF(G793="","",G793-N(H793))</f>
        <v/>
      </c>
      <c r="N793" s="26" t="str">
        <f aca="false">IF(G793="","",G793-N(K793)-N(L793))</f>
        <v/>
      </c>
      <c r="O793" s="27" t="str">
        <f aca="false">IF(G793="","",IF(N(H793)&gt;=G793,"Pago",IF(N(H793)&gt;0,"Parcial","Pendente")))</f>
        <v/>
      </c>
      <c r="P793" s="24"/>
    </row>
    <row r="794" customFormat="false" ht="15" hidden="false" customHeight="false" outlineLevel="0" collapsed="false">
      <c r="A794" s="22"/>
      <c r="B794" s="23"/>
      <c r="C794" s="24"/>
      <c r="D794" s="24"/>
      <c r="E794" s="24"/>
      <c r="F794" s="24"/>
      <c r="G794" s="25"/>
      <c r="H794" s="25"/>
      <c r="I794" s="24"/>
      <c r="J794" s="24"/>
      <c r="K794" s="25"/>
      <c r="L794" s="25"/>
      <c r="M794" s="26" t="str">
        <f aca="false">IF(G794="","",G794-N(H794))</f>
        <v/>
      </c>
      <c r="N794" s="26" t="str">
        <f aca="false">IF(G794="","",G794-N(K794)-N(L794))</f>
        <v/>
      </c>
      <c r="O794" s="27" t="str">
        <f aca="false">IF(G794="","",IF(N(H794)&gt;=G794,"Pago",IF(N(H794)&gt;0,"Parcial","Pendente")))</f>
        <v/>
      </c>
      <c r="P794" s="24"/>
    </row>
    <row r="795" customFormat="false" ht="15" hidden="false" customHeight="false" outlineLevel="0" collapsed="false">
      <c r="A795" s="22"/>
      <c r="B795" s="23"/>
      <c r="C795" s="24"/>
      <c r="D795" s="24"/>
      <c r="E795" s="24"/>
      <c r="F795" s="24"/>
      <c r="G795" s="25"/>
      <c r="H795" s="25"/>
      <c r="I795" s="24"/>
      <c r="J795" s="24"/>
      <c r="K795" s="25"/>
      <c r="L795" s="25"/>
      <c r="M795" s="26" t="str">
        <f aca="false">IF(G795="","",G795-N(H795))</f>
        <v/>
      </c>
      <c r="N795" s="26" t="str">
        <f aca="false">IF(G795="","",G795-N(K795)-N(L795))</f>
        <v/>
      </c>
      <c r="O795" s="27" t="str">
        <f aca="false">IF(G795="","",IF(N(H795)&gt;=G795,"Pago",IF(N(H795)&gt;0,"Parcial","Pendente")))</f>
        <v/>
      </c>
      <c r="P795" s="24"/>
    </row>
    <row r="796" customFormat="false" ht="15" hidden="false" customHeight="false" outlineLevel="0" collapsed="false">
      <c r="A796" s="22"/>
      <c r="B796" s="23"/>
      <c r="C796" s="24"/>
      <c r="D796" s="24"/>
      <c r="E796" s="24"/>
      <c r="F796" s="24"/>
      <c r="G796" s="25"/>
      <c r="H796" s="25"/>
      <c r="I796" s="24"/>
      <c r="J796" s="24"/>
      <c r="K796" s="25"/>
      <c r="L796" s="25"/>
      <c r="M796" s="26" t="str">
        <f aca="false">IF(G796="","",G796-N(H796))</f>
        <v/>
      </c>
      <c r="N796" s="26" t="str">
        <f aca="false">IF(G796="","",G796-N(K796)-N(L796))</f>
        <v/>
      </c>
      <c r="O796" s="27" t="str">
        <f aca="false">IF(G796="","",IF(N(H796)&gt;=G796,"Pago",IF(N(H796)&gt;0,"Parcial","Pendente")))</f>
        <v/>
      </c>
      <c r="P796" s="24"/>
    </row>
    <row r="797" customFormat="false" ht="15" hidden="false" customHeight="false" outlineLevel="0" collapsed="false">
      <c r="A797" s="22"/>
      <c r="B797" s="23"/>
      <c r="C797" s="24"/>
      <c r="D797" s="24"/>
      <c r="E797" s="24"/>
      <c r="F797" s="24"/>
      <c r="G797" s="25"/>
      <c r="H797" s="25"/>
      <c r="I797" s="24"/>
      <c r="J797" s="24"/>
      <c r="K797" s="25"/>
      <c r="L797" s="25"/>
      <c r="M797" s="26" t="str">
        <f aca="false">IF(G797="","",G797-N(H797))</f>
        <v/>
      </c>
      <c r="N797" s="26" t="str">
        <f aca="false">IF(G797="","",G797-N(K797)-N(L797))</f>
        <v/>
      </c>
      <c r="O797" s="27" t="str">
        <f aca="false">IF(G797="","",IF(N(H797)&gt;=G797,"Pago",IF(N(H797)&gt;0,"Parcial","Pendente")))</f>
        <v/>
      </c>
      <c r="P797" s="24"/>
    </row>
    <row r="798" customFormat="false" ht="15" hidden="false" customHeight="false" outlineLevel="0" collapsed="false">
      <c r="A798" s="22"/>
      <c r="B798" s="23"/>
      <c r="C798" s="24"/>
      <c r="D798" s="24"/>
      <c r="E798" s="24"/>
      <c r="F798" s="24"/>
      <c r="G798" s="25"/>
      <c r="H798" s="25"/>
      <c r="I798" s="24"/>
      <c r="J798" s="24"/>
      <c r="K798" s="25"/>
      <c r="L798" s="25"/>
      <c r="M798" s="26" t="str">
        <f aca="false">IF(G798="","",G798-N(H798))</f>
        <v/>
      </c>
      <c r="N798" s="26" t="str">
        <f aca="false">IF(G798="","",G798-N(K798)-N(L798))</f>
        <v/>
      </c>
      <c r="O798" s="27" t="str">
        <f aca="false">IF(G798="","",IF(N(H798)&gt;=G798,"Pago",IF(N(H798)&gt;0,"Parcial","Pendente")))</f>
        <v/>
      </c>
      <c r="P798" s="24"/>
    </row>
    <row r="799" customFormat="false" ht="15" hidden="false" customHeight="false" outlineLevel="0" collapsed="false">
      <c r="A799" s="22"/>
      <c r="B799" s="23"/>
      <c r="C799" s="24"/>
      <c r="D799" s="24"/>
      <c r="E799" s="24"/>
      <c r="F799" s="24"/>
      <c r="G799" s="25"/>
      <c r="H799" s="25"/>
      <c r="I799" s="24"/>
      <c r="J799" s="24"/>
      <c r="K799" s="25"/>
      <c r="L799" s="25"/>
      <c r="M799" s="26" t="str">
        <f aca="false">IF(G799="","",G799-N(H799))</f>
        <v/>
      </c>
      <c r="N799" s="26" t="str">
        <f aca="false">IF(G799="","",G799-N(K799)-N(L799))</f>
        <v/>
      </c>
      <c r="O799" s="27" t="str">
        <f aca="false">IF(G799="","",IF(N(H799)&gt;=G799,"Pago",IF(N(H799)&gt;0,"Parcial","Pendente")))</f>
        <v/>
      </c>
      <c r="P799" s="24"/>
    </row>
    <row r="800" customFormat="false" ht="15" hidden="false" customHeight="false" outlineLevel="0" collapsed="false">
      <c r="A800" s="22"/>
      <c r="B800" s="23"/>
      <c r="C800" s="24"/>
      <c r="D800" s="24"/>
      <c r="E800" s="24"/>
      <c r="F800" s="24"/>
      <c r="G800" s="25"/>
      <c r="H800" s="25"/>
      <c r="I800" s="24"/>
      <c r="J800" s="24"/>
      <c r="K800" s="25"/>
      <c r="L800" s="25"/>
      <c r="M800" s="26" t="str">
        <f aca="false">IF(G800="","",G800-N(H800))</f>
        <v/>
      </c>
      <c r="N800" s="26" t="str">
        <f aca="false">IF(G800="","",G800-N(K800)-N(L800))</f>
        <v/>
      </c>
      <c r="O800" s="27" t="str">
        <f aca="false">IF(G800="","",IF(N(H800)&gt;=G800,"Pago",IF(N(H800)&gt;0,"Parcial","Pendente")))</f>
        <v/>
      </c>
      <c r="P800" s="24"/>
    </row>
    <row r="801" customFormat="false" ht="15" hidden="false" customHeight="false" outlineLevel="0" collapsed="false">
      <c r="A801" s="22"/>
      <c r="B801" s="23"/>
      <c r="C801" s="24"/>
      <c r="D801" s="24"/>
      <c r="E801" s="24"/>
      <c r="F801" s="24"/>
      <c r="G801" s="25"/>
      <c r="H801" s="25"/>
      <c r="I801" s="24"/>
      <c r="J801" s="24"/>
      <c r="K801" s="25"/>
      <c r="L801" s="25"/>
      <c r="M801" s="26" t="str">
        <f aca="false">IF(G801="","",G801-N(H801))</f>
        <v/>
      </c>
      <c r="N801" s="26" t="str">
        <f aca="false">IF(G801="","",G801-N(K801)-N(L801))</f>
        <v/>
      </c>
      <c r="O801" s="27" t="str">
        <f aca="false">IF(G801="","",IF(N(H801)&gt;=G801,"Pago",IF(N(H801)&gt;0,"Parcial","Pendente")))</f>
        <v/>
      </c>
      <c r="P801" s="24"/>
    </row>
    <row r="802" customFormat="false" ht="15" hidden="false" customHeight="false" outlineLevel="0" collapsed="false">
      <c r="A802" s="22"/>
      <c r="B802" s="23"/>
      <c r="C802" s="24"/>
      <c r="D802" s="24"/>
      <c r="E802" s="24"/>
      <c r="F802" s="24"/>
      <c r="G802" s="25"/>
      <c r="H802" s="25"/>
      <c r="I802" s="24"/>
      <c r="J802" s="24"/>
      <c r="K802" s="25"/>
      <c r="L802" s="25"/>
      <c r="M802" s="26" t="str">
        <f aca="false">IF(G802="","",G802-N(H802))</f>
        <v/>
      </c>
      <c r="N802" s="26" t="str">
        <f aca="false">IF(G802="","",G802-N(K802)-N(L802))</f>
        <v/>
      </c>
      <c r="O802" s="27" t="str">
        <f aca="false">IF(G802="","",IF(N(H802)&gt;=G802,"Pago",IF(N(H802)&gt;0,"Parcial","Pendente")))</f>
        <v/>
      </c>
      <c r="P802" s="24"/>
    </row>
    <row r="803" customFormat="false" ht="15" hidden="false" customHeight="false" outlineLevel="0" collapsed="false">
      <c r="A803" s="22"/>
      <c r="B803" s="23"/>
      <c r="C803" s="24"/>
      <c r="D803" s="24"/>
      <c r="E803" s="24"/>
      <c r="F803" s="24"/>
      <c r="G803" s="25"/>
      <c r="H803" s="25"/>
      <c r="I803" s="24"/>
      <c r="J803" s="24"/>
      <c r="K803" s="25"/>
      <c r="L803" s="25"/>
      <c r="M803" s="26" t="str">
        <f aca="false">IF(G803="","",G803-N(H803))</f>
        <v/>
      </c>
      <c r="N803" s="26" t="str">
        <f aca="false">IF(G803="","",G803-N(K803)-N(L803))</f>
        <v/>
      </c>
      <c r="O803" s="27" t="str">
        <f aca="false">IF(G803="","",IF(N(H803)&gt;=G803,"Pago",IF(N(H803)&gt;0,"Parcial","Pendente")))</f>
        <v/>
      </c>
      <c r="P803" s="24"/>
    </row>
    <row r="804" customFormat="false" ht="15" hidden="false" customHeight="false" outlineLevel="0" collapsed="false">
      <c r="A804" s="22"/>
      <c r="B804" s="23"/>
      <c r="C804" s="24"/>
      <c r="D804" s="24"/>
      <c r="E804" s="24"/>
      <c r="F804" s="24"/>
      <c r="G804" s="25"/>
      <c r="H804" s="25"/>
      <c r="I804" s="24"/>
      <c r="J804" s="24"/>
      <c r="K804" s="25"/>
      <c r="L804" s="25"/>
      <c r="M804" s="26" t="str">
        <f aca="false">IF(G804="","",G804-N(H804))</f>
        <v/>
      </c>
      <c r="N804" s="26" t="str">
        <f aca="false">IF(G804="","",G804-N(K804)-N(L804))</f>
        <v/>
      </c>
      <c r="O804" s="27" t="str">
        <f aca="false">IF(G804="","",IF(N(H804)&gt;=G804,"Pago",IF(N(H804)&gt;0,"Parcial","Pendente")))</f>
        <v/>
      </c>
      <c r="P804" s="24"/>
    </row>
    <row r="805" customFormat="false" ht="15" hidden="false" customHeight="false" outlineLevel="0" collapsed="false">
      <c r="A805" s="22"/>
      <c r="B805" s="23"/>
      <c r="C805" s="24"/>
      <c r="D805" s="24"/>
      <c r="E805" s="24"/>
      <c r="F805" s="24"/>
      <c r="G805" s="25"/>
      <c r="H805" s="25"/>
      <c r="I805" s="24"/>
      <c r="J805" s="24"/>
      <c r="K805" s="25"/>
      <c r="L805" s="25"/>
      <c r="M805" s="26" t="str">
        <f aca="false">IF(G805="","",G805-N(H805))</f>
        <v/>
      </c>
      <c r="N805" s="26" t="str">
        <f aca="false">IF(G805="","",G805-N(K805)-N(L805))</f>
        <v/>
      </c>
      <c r="O805" s="27" t="str">
        <f aca="false">IF(G805="","",IF(N(H805)&gt;=G805,"Pago",IF(N(H805)&gt;0,"Parcial","Pendente")))</f>
        <v/>
      </c>
      <c r="P805" s="24"/>
    </row>
    <row r="806" customFormat="false" ht="15" hidden="false" customHeight="false" outlineLevel="0" collapsed="false">
      <c r="A806" s="22"/>
      <c r="B806" s="23"/>
      <c r="C806" s="24"/>
      <c r="D806" s="24"/>
      <c r="E806" s="24"/>
      <c r="F806" s="24"/>
      <c r="G806" s="25"/>
      <c r="H806" s="25"/>
      <c r="I806" s="24"/>
      <c r="J806" s="24"/>
      <c r="K806" s="25"/>
      <c r="L806" s="25"/>
      <c r="M806" s="26" t="str">
        <f aca="false">IF(G806="","",G806-N(H806))</f>
        <v/>
      </c>
      <c r="N806" s="26" t="str">
        <f aca="false">IF(G806="","",G806-N(K806)-N(L806))</f>
        <v/>
      </c>
      <c r="O806" s="27" t="str">
        <f aca="false">IF(G806="","",IF(N(H806)&gt;=G806,"Pago",IF(N(H806)&gt;0,"Parcial","Pendente")))</f>
        <v/>
      </c>
      <c r="P806" s="24"/>
    </row>
    <row r="807" customFormat="false" ht="15" hidden="false" customHeight="false" outlineLevel="0" collapsed="false">
      <c r="A807" s="22"/>
      <c r="B807" s="23"/>
      <c r="C807" s="24"/>
      <c r="D807" s="24"/>
      <c r="E807" s="24"/>
      <c r="F807" s="24"/>
      <c r="G807" s="25"/>
      <c r="H807" s="25"/>
      <c r="I807" s="24"/>
      <c r="J807" s="24"/>
      <c r="K807" s="25"/>
      <c r="L807" s="25"/>
      <c r="M807" s="26" t="str">
        <f aca="false">IF(G807="","",G807-N(H807))</f>
        <v/>
      </c>
      <c r="N807" s="26" t="str">
        <f aca="false">IF(G807="","",G807-N(K807)-N(L807))</f>
        <v/>
      </c>
      <c r="O807" s="27" t="str">
        <f aca="false">IF(G807="","",IF(N(H807)&gt;=G807,"Pago",IF(N(H807)&gt;0,"Parcial","Pendente")))</f>
        <v/>
      </c>
      <c r="P807" s="24"/>
    </row>
    <row r="808" customFormat="false" ht="15" hidden="false" customHeight="false" outlineLevel="0" collapsed="false">
      <c r="A808" s="22"/>
      <c r="B808" s="23"/>
      <c r="C808" s="24"/>
      <c r="D808" s="24"/>
      <c r="E808" s="24"/>
      <c r="F808" s="24"/>
      <c r="G808" s="25"/>
      <c r="H808" s="25"/>
      <c r="I808" s="24"/>
      <c r="J808" s="24"/>
      <c r="K808" s="25"/>
      <c r="L808" s="25"/>
      <c r="M808" s="26" t="str">
        <f aca="false">IF(G808="","",G808-N(H808))</f>
        <v/>
      </c>
      <c r="N808" s="26" t="str">
        <f aca="false">IF(G808="","",G808-N(K808)-N(L808))</f>
        <v/>
      </c>
      <c r="O808" s="27" t="str">
        <f aca="false">IF(G808="","",IF(N(H808)&gt;=G808,"Pago",IF(N(H808)&gt;0,"Parcial","Pendente")))</f>
        <v/>
      </c>
      <c r="P808" s="24"/>
    </row>
    <row r="809" customFormat="false" ht="15" hidden="false" customHeight="false" outlineLevel="0" collapsed="false">
      <c r="A809" s="22"/>
      <c r="B809" s="23"/>
      <c r="C809" s="24"/>
      <c r="D809" s="24"/>
      <c r="E809" s="24"/>
      <c r="F809" s="24"/>
      <c r="G809" s="25"/>
      <c r="H809" s="25"/>
      <c r="I809" s="24"/>
      <c r="J809" s="24"/>
      <c r="K809" s="25"/>
      <c r="L809" s="25"/>
      <c r="M809" s="26" t="str">
        <f aca="false">IF(G809="","",G809-N(H809))</f>
        <v/>
      </c>
      <c r="N809" s="26" t="str">
        <f aca="false">IF(G809="","",G809-N(K809)-N(L809))</f>
        <v/>
      </c>
      <c r="O809" s="27" t="str">
        <f aca="false">IF(G809="","",IF(N(H809)&gt;=G809,"Pago",IF(N(H809)&gt;0,"Parcial","Pendente")))</f>
        <v/>
      </c>
      <c r="P809" s="24"/>
    </row>
    <row r="810" customFormat="false" ht="15" hidden="false" customHeight="false" outlineLevel="0" collapsed="false">
      <c r="A810" s="22"/>
      <c r="B810" s="23"/>
      <c r="C810" s="24"/>
      <c r="D810" s="24"/>
      <c r="E810" s="24"/>
      <c r="F810" s="24"/>
      <c r="G810" s="25"/>
      <c r="H810" s="25"/>
      <c r="I810" s="24"/>
      <c r="J810" s="24"/>
      <c r="K810" s="25"/>
      <c r="L810" s="25"/>
      <c r="M810" s="26" t="str">
        <f aca="false">IF(G810="","",G810-N(H810))</f>
        <v/>
      </c>
      <c r="N810" s="26" t="str">
        <f aca="false">IF(G810="","",G810-N(K810)-N(L810))</f>
        <v/>
      </c>
      <c r="O810" s="27" t="str">
        <f aca="false">IF(G810="","",IF(N(H810)&gt;=G810,"Pago",IF(N(H810)&gt;0,"Parcial","Pendente")))</f>
        <v/>
      </c>
      <c r="P810" s="24"/>
    </row>
    <row r="811" customFormat="false" ht="15" hidden="false" customHeight="false" outlineLevel="0" collapsed="false">
      <c r="A811" s="22"/>
      <c r="B811" s="23"/>
      <c r="C811" s="24"/>
      <c r="D811" s="24"/>
      <c r="E811" s="24"/>
      <c r="F811" s="24"/>
      <c r="G811" s="25"/>
      <c r="H811" s="25"/>
      <c r="I811" s="24"/>
      <c r="J811" s="24"/>
      <c r="K811" s="25"/>
      <c r="L811" s="25"/>
      <c r="M811" s="26" t="str">
        <f aca="false">IF(G811="","",G811-N(H811))</f>
        <v/>
      </c>
      <c r="N811" s="26" t="str">
        <f aca="false">IF(G811="","",G811-N(K811)-N(L811))</f>
        <v/>
      </c>
      <c r="O811" s="27" t="str">
        <f aca="false">IF(G811="","",IF(N(H811)&gt;=G811,"Pago",IF(N(H811)&gt;0,"Parcial","Pendente")))</f>
        <v/>
      </c>
      <c r="P811" s="24"/>
    </row>
    <row r="812" customFormat="false" ht="15" hidden="false" customHeight="false" outlineLevel="0" collapsed="false">
      <c r="A812" s="22"/>
      <c r="B812" s="23"/>
      <c r="C812" s="24"/>
      <c r="D812" s="24"/>
      <c r="E812" s="24"/>
      <c r="F812" s="24"/>
      <c r="G812" s="25"/>
      <c r="H812" s="25"/>
      <c r="I812" s="24"/>
      <c r="J812" s="24"/>
      <c r="K812" s="25"/>
      <c r="L812" s="25"/>
      <c r="M812" s="26" t="str">
        <f aca="false">IF(G812="","",G812-N(H812))</f>
        <v/>
      </c>
      <c r="N812" s="26" t="str">
        <f aca="false">IF(G812="","",G812-N(K812)-N(L812))</f>
        <v/>
      </c>
      <c r="O812" s="27" t="str">
        <f aca="false">IF(G812="","",IF(N(H812)&gt;=G812,"Pago",IF(N(H812)&gt;0,"Parcial","Pendente")))</f>
        <v/>
      </c>
      <c r="P812" s="24"/>
    </row>
    <row r="813" customFormat="false" ht="15" hidden="false" customHeight="false" outlineLevel="0" collapsed="false">
      <c r="A813" s="22"/>
      <c r="B813" s="23"/>
      <c r="C813" s="24"/>
      <c r="D813" s="24"/>
      <c r="E813" s="24"/>
      <c r="F813" s="24"/>
      <c r="G813" s="25"/>
      <c r="H813" s="25"/>
      <c r="I813" s="24"/>
      <c r="J813" s="24"/>
      <c r="K813" s="25"/>
      <c r="L813" s="25"/>
      <c r="M813" s="26" t="str">
        <f aca="false">IF(G813="","",G813-N(H813))</f>
        <v/>
      </c>
      <c r="N813" s="26" t="str">
        <f aca="false">IF(G813="","",G813-N(K813)-N(L813))</f>
        <v/>
      </c>
      <c r="O813" s="27" t="str">
        <f aca="false">IF(G813="","",IF(N(H813)&gt;=G813,"Pago",IF(N(H813)&gt;0,"Parcial","Pendente")))</f>
        <v/>
      </c>
      <c r="P813" s="24"/>
    </row>
    <row r="814" customFormat="false" ht="15" hidden="false" customHeight="false" outlineLevel="0" collapsed="false">
      <c r="A814" s="22"/>
      <c r="B814" s="23"/>
      <c r="C814" s="24"/>
      <c r="D814" s="24"/>
      <c r="E814" s="24"/>
      <c r="F814" s="24"/>
      <c r="G814" s="25"/>
      <c r="H814" s="25"/>
      <c r="I814" s="24"/>
      <c r="J814" s="24"/>
      <c r="K814" s="25"/>
      <c r="L814" s="25"/>
      <c r="M814" s="26" t="str">
        <f aca="false">IF(G814="","",G814-N(H814))</f>
        <v/>
      </c>
      <c r="N814" s="26" t="str">
        <f aca="false">IF(G814="","",G814-N(K814)-N(L814))</f>
        <v/>
      </c>
      <c r="O814" s="27" t="str">
        <f aca="false">IF(G814="","",IF(N(H814)&gt;=G814,"Pago",IF(N(H814)&gt;0,"Parcial","Pendente")))</f>
        <v/>
      </c>
      <c r="P814" s="24"/>
    </row>
    <row r="815" customFormat="false" ht="15" hidden="false" customHeight="false" outlineLevel="0" collapsed="false">
      <c r="A815" s="22"/>
      <c r="B815" s="23"/>
      <c r="C815" s="24"/>
      <c r="D815" s="24"/>
      <c r="E815" s="24"/>
      <c r="F815" s="24"/>
      <c r="G815" s="25"/>
      <c r="H815" s="25"/>
      <c r="I815" s="24"/>
      <c r="J815" s="24"/>
      <c r="K815" s="25"/>
      <c r="L815" s="25"/>
      <c r="M815" s="26" t="str">
        <f aca="false">IF(G815="","",G815-N(H815))</f>
        <v/>
      </c>
      <c r="N815" s="26" t="str">
        <f aca="false">IF(G815="","",G815-N(K815)-N(L815))</f>
        <v/>
      </c>
      <c r="O815" s="27" t="str">
        <f aca="false">IF(G815="","",IF(N(H815)&gt;=G815,"Pago",IF(N(H815)&gt;0,"Parcial","Pendente")))</f>
        <v/>
      </c>
      <c r="P815" s="24"/>
    </row>
    <row r="816" customFormat="false" ht="15" hidden="false" customHeight="false" outlineLevel="0" collapsed="false">
      <c r="A816" s="22"/>
      <c r="B816" s="23"/>
      <c r="C816" s="24"/>
      <c r="D816" s="24"/>
      <c r="E816" s="24"/>
      <c r="F816" s="24"/>
      <c r="G816" s="25"/>
      <c r="H816" s="25"/>
      <c r="I816" s="24"/>
      <c r="J816" s="24"/>
      <c r="K816" s="25"/>
      <c r="L816" s="25"/>
      <c r="M816" s="26" t="str">
        <f aca="false">IF(G816="","",G816-N(H816))</f>
        <v/>
      </c>
      <c r="N816" s="26" t="str">
        <f aca="false">IF(G816="","",G816-N(K816)-N(L816))</f>
        <v/>
      </c>
      <c r="O816" s="27" t="str">
        <f aca="false">IF(G816="","",IF(N(H816)&gt;=G816,"Pago",IF(N(H816)&gt;0,"Parcial","Pendente")))</f>
        <v/>
      </c>
      <c r="P816" s="24"/>
    </row>
    <row r="817" customFormat="false" ht="15" hidden="false" customHeight="false" outlineLevel="0" collapsed="false">
      <c r="A817" s="22"/>
      <c r="B817" s="23"/>
      <c r="C817" s="24"/>
      <c r="D817" s="24"/>
      <c r="E817" s="24"/>
      <c r="F817" s="24"/>
      <c r="G817" s="25"/>
      <c r="H817" s="25"/>
      <c r="I817" s="24"/>
      <c r="J817" s="24"/>
      <c r="K817" s="25"/>
      <c r="L817" s="25"/>
      <c r="M817" s="26" t="str">
        <f aca="false">IF(G817="","",G817-N(H817))</f>
        <v/>
      </c>
      <c r="N817" s="26" t="str">
        <f aca="false">IF(G817="","",G817-N(K817)-N(L817))</f>
        <v/>
      </c>
      <c r="O817" s="27" t="str">
        <f aca="false">IF(G817="","",IF(N(H817)&gt;=G817,"Pago",IF(N(H817)&gt;0,"Parcial","Pendente")))</f>
        <v/>
      </c>
      <c r="P817" s="24"/>
    </row>
    <row r="818" customFormat="false" ht="15" hidden="false" customHeight="false" outlineLevel="0" collapsed="false">
      <c r="A818" s="22"/>
      <c r="B818" s="23"/>
      <c r="C818" s="24"/>
      <c r="D818" s="24"/>
      <c r="E818" s="24"/>
      <c r="F818" s="24"/>
      <c r="G818" s="25"/>
      <c r="H818" s="25"/>
      <c r="I818" s="24"/>
      <c r="J818" s="24"/>
      <c r="K818" s="25"/>
      <c r="L818" s="25"/>
      <c r="M818" s="26" t="str">
        <f aca="false">IF(G818="","",G818-N(H818))</f>
        <v/>
      </c>
      <c r="N818" s="26" t="str">
        <f aca="false">IF(G818="","",G818-N(K818)-N(L818))</f>
        <v/>
      </c>
      <c r="O818" s="27" t="str">
        <f aca="false">IF(G818="","",IF(N(H818)&gt;=G818,"Pago",IF(N(H818)&gt;0,"Parcial","Pendente")))</f>
        <v/>
      </c>
      <c r="P818" s="24"/>
    </row>
    <row r="819" customFormat="false" ht="15" hidden="false" customHeight="false" outlineLevel="0" collapsed="false">
      <c r="A819" s="22"/>
      <c r="B819" s="23"/>
      <c r="C819" s="24"/>
      <c r="D819" s="24"/>
      <c r="E819" s="24"/>
      <c r="F819" s="24"/>
      <c r="G819" s="25"/>
      <c r="H819" s="25"/>
      <c r="I819" s="24"/>
      <c r="J819" s="24"/>
      <c r="K819" s="25"/>
      <c r="L819" s="25"/>
      <c r="M819" s="26" t="str">
        <f aca="false">IF(G819="","",G819-N(H819))</f>
        <v/>
      </c>
      <c r="N819" s="26" t="str">
        <f aca="false">IF(G819="","",G819-N(K819)-N(L819))</f>
        <v/>
      </c>
      <c r="O819" s="27" t="str">
        <f aca="false">IF(G819="","",IF(N(H819)&gt;=G819,"Pago",IF(N(H819)&gt;0,"Parcial","Pendente")))</f>
        <v/>
      </c>
      <c r="P819" s="24"/>
    </row>
    <row r="820" customFormat="false" ht="15" hidden="false" customHeight="false" outlineLevel="0" collapsed="false">
      <c r="A820" s="22"/>
      <c r="B820" s="23"/>
      <c r="C820" s="24"/>
      <c r="D820" s="24"/>
      <c r="E820" s="24"/>
      <c r="F820" s="24"/>
      <c r="G820" s="25"/>
      <c r="H820" s="25"/>
      <c r="I820" s="24"/>
      <c r="J820" s="24"/>
      <c r="K820" s="25"/>
      <c r="L820" s="25"/>
      <c r="M820" s="26" t="str">
        <f aca="false">IF(G820="","",G820-N(H820))</f>
        <v/>
      </c>
      <c r="N820" s="26" t="str">
        <f aca="false">IF(G820="","",G820-N(K820)-N(L820))</f>
        <v/>
      </c>
      <c r="O820" s="27" t="str">
        <f aca="false">IF(G820="","",IF(N(H820)&gt;=G820,"Pago",IF(N(H820)&gt;0,"Parcial","Pendente")))</f>
        <v/>
      </c>
      <c r="P820" s="24"/>
    </row>
    <row r="821" customFormat="false" ht="15" hidden="false" customHeight="false" outlineLevel="0" collapsed="false">
      <c r="A821" s="22"/>
      <c r="B821" s="23"/>
      <c r="C821" s="24"/>
      <c r="D821" s="24"/>
      <c r="E821" s="24"/>
      <c r="F821" s="24"/>
      <c r="G821" s="25"/>
      <c r="H821" s="25"/>
      <c r="I821" s="24"/>
      <c r="J821" s="24"/>
      <c r="K821" s="25"/>
      <c r="L821" s="25"/>
      <c r="M821" s="26" t="str">
        <f aca="false">IF(G821="","",G821-N(H821))</f>
        <v/>
      </c>
      <c r="N821" s="26" t="str">
        <f aca="false">IF(G821="","",G821-N(K821)-N(L821))</f>
        <v/>
      </c>
      <c r="O821" s="27" t="str">
        <f aca="false">IF(G821="","",IF(N(H821)&gt;=G821,"Pago",IF(N(H821)&gt;0,"Parcial","Pendente")))</f>
        <v/>
      </c>
      <c r="P821" s="24"/>
    </row>
    <row r="822" customFormat="false" ht="15" hidden="false" customHeight="false" outlineLevel="0" collapsed="false">
      <c r="A822" s="22"/>
      <c r="B822" s="23"/>
      <c r="C822" s="24"/>
      <c r="D822" s="24"/>
      <c r="E822" s="24"/>
      <c r="F822" s="24"/>
      <c r="G822" s="25"/>
      <c r="H822" s="25"/>
      <c r="I822" s="24"/>
      <c r="J822" s="24"/>
      <c r="K822" s="25"/>
      <c r="L822" s="25"/>
      <c r="M822" s="26" t="str">
        <f aca="false">IF(G822="","",G822-N(H822))</f>
        <v/>
      </c>
      <c r="N822" s="26" t="str">
        <f aca="false">IF(G822="","",G822-N(K822)-N(L822))</f>
        <v/>
      </c>
      <c r="O822" s="27" t="str">
        <f aca="false">IF(G822="","",IF(N(H822)&gt;=G822,"Pago",IF(N(H822)&gt;0,"Parcial","Pendente")))</f>
        <v/>
      </c>
      <c r="P822" s="24"/>
    </row>
    <row r="823" customFormat="false" ht="15" hidden="false" customHeight="false" outlineLevel="0" collapsed="false">
      <c r="A823" s="22"/>
      <c r="B823" s="23"/>
      <c r="C823" s="24"/>
      <c r="D823" s="24"/>
      <c r="E823" s="24"/>
      <c r="F823" s="24"/>
      <c r="G823" s="25"/>
      <c r="H823" s="25"/>
      <c r="I823" s="24"/>
      <c r="J823" s="24"/>
      <c r="K823" s="25"/>
      <c r="L823" s="25"/>
      <c r="M823" s="26" t="str">
        <f aca="false">IF(G823="","",G823-N(H823))</f>
        <v/>
      </c>
      <c r="N823" s="26" t="str">
        <f aca="false">IF(G823="","",G823-N(K823)-N(L823))</f>
        <v/>
      </c>
      <c r="O823" s="27" t="str">
        <f aca="false">IF(G823="","",IF(N(H823)&gt;=G823,"Pago",IF(N(H823)&gt;0,"Parcial","Pendente")))</f>
        <v/>
      </c>
      <c r="P823" s="24"/>
    </row>
    <row r="824" customFormat="false" ht="15" hidden="false" customHeight="false" outlineLevel="0" collapsed="false">
      <c r="A824" s="22"/>
      <c r="B824" s="23"/>
      <c r="C824" s="24"/>
      <c r="D824" s="24"/>
      <c r="E824" s="24"/>
      <c r="F824" s="24"/>
      <c r="G824" s="25"/>
      <c r="H824" s="25"/>
      <c r="I824" s="24"/>
      <c r="J824" s="24"/>
      <c r="K824" s="25"/>
      <c r="L824" s="25"/>
      <c r="M824" s="26" t="str">
        <f aca="false">IF(G824="","",G824-N(H824))</f>
        <v/>
      </c>
      <c r="N824" s="26" t="str">
        <f aca="false">IF(G824="","",G824-N(K824)-N(L824))</f>
        <v/>
      </c>
      <c r="O824" s="27" t="str">
        <f aca="false">IF(G824="","",IF(N(H824)&gt;=G824,"Pago",IF(N(H824)&gt;0,"Parcial","Pendente")))</f>
        <v/>
      </c>
      <c r="P824" s="24"/>
    </row>
    <row r="825" customFormat="false" ht="15" hidden="false" customHeight="false" outlineLevel="0" collapsed="false">
      <c r="A825" s="22"/>
      <c r="B825" s="23"/>
      <c r="C825" s="24"/>
      <c r="D825" s="24"/>
      <c r="E825" s="24"/>
      <c r="F825" s="24"/>
      <c r="G825" s="25"/>
      <c r="H825" s="25"/>
      <c r="I825" s="24"/>
      <c r="J825" s="24"/>
      <c r="K825" s="25"/>
      <c r="L825" s="25"/>
      <c r="M825" s="26" t="str">
        <f aca="false">IF(G825="","",G825-N(H825))</f>
        <v/>
      </c>
      <c r="N825" s="26" t="str">
        <f aca="false">IF(G825="","",G825-N(K825)-N(L825))</f>
        <v/>
      </c>
      <c r="O825" s="27" t="str">
        <f aca="false">IF(G825="","",IF(N(H825)&gt;=G825,"Pago",IF(N(H825)&gt;0,"Parcial","Pendente")))</f>
        <v/>
      </c>
      <c r="P825" s="24"/>
    </row>
    <row r="826" customFormat="false" ht="15" hidden="false" customHeight="false" outlineLevel="0" collapsed="false">
      <c r="A826" s="22"/>
      <c r="B826" s="23"/>
      <c r="C826" s="24"/>
      <c r="D826" s="24"/>
      <c r="E826" s="24"/>
      <c r="F826" s="24"/>
      <c r="G826" s="25"/>
      <c r="H826" s="25"/>
      <c r="I826" s="24"/>
      <c r="J826" s="24"/>
      <c r="K826" s="25"/>
      <c r="L826" s="25"/>
      <c r="M826" s="26" t="str">
        <f aca="false">IF(G826="","",G826-N(H826))</f>
        <v/>
      </c>
      <c r="N826" s="26" t="str">
        <f aca="false">IF(G826="","",G826-N(K826)-N(L826))</f>
        <v/>
      </c>
      <c r="O826" s="27" t="str">
        <f aca="false">IF(G826="","",IF(N(H826)&gt;=G826,"Pago",IF(N(H826)&gt;0,"Parcial","Pendente")))</f>
        <v/>
      </c>
      <c r="P826" s="24"/>
    </row>
    <row r="827" customFormat="false" ht="15" hidden="false" customHeight="false" outlineLevel="0" collapsed="false">
      <c r="A827" s="22"/>
      <c r="B827" s="23"/>
      <c r="C827" s="24"/>
      <c r="D827" s="24"/>
      <c r="E827" s="24"/>
      <c r="F827" s="24"/>
      <c r="G827" s="25"/>
      <c r="H827" s="25"/>
      <c r="I827" s="24"/>
      <c r="J827" s="24"/>
      <c r="K827" s="25"/>
      <c r="L827" s="25"/>
      <c r="M827" s="26" t="str">
        <f aca="false">IF(G827="","",G827-N(H827))</f>
        <v/>
      </c>
      <c r="N827" s="26" t="str">
        <f aca="false">IF(G827="","",G827-N(K827)-N(L827))</f>
        <v/>
      </c>
      <c r="O827" s="27" t="str">
        <f aca="false">IF(G827="","",IF(N(H827)&gt;=G827,"Pago",IF(N(H827)&gt;0,"Parcial","Pendente")))</f>
        <v/>
      </c>
      <c r="P827" s="24"/>
    </row>
    <row r="828" customFormat="false" ht="15" hidden="false" customHeight="false" outlineLevel="0" collapsed="false">
      <c r="A828" s="22"/>
      <c r="B828" s="23"/>
      <c r="C828" s="24"/>
      <c r="D828" s="24"/>
      <c r="E828" s="24"/>
      <c r="F828" s="24"/>
      <c r="G828" s="25"/>
      <c r="H828" s="25"/>
      <c r="I828" s="24"/>
      <c r="J828" s="24"/>
      <c r="K828" s="25"/>
      <c r="L828" s="25"/>
      <c r="M828" s="26" t="str">
        <f aca="false">IF(G828="","",G828-N(H828))</f>
        <v/>
      </c>
      <c r="N828" s="26" t="str">
        <f aca="false">IF(G828="","",G828-N(K828)-N(L828))</f>
        <v/>
      </c>
      <c r="O828" s="27" t="str">
        <f aca="false">IF(G828="","",IF(N(H828)&gt;=G828,"Pago",IF(N(H828)&gt;0,"Parcial","Pendente")))</f>
        <v/>
      </c>
      <c r="P828" s="24"/>
    </row>
    <row r="829" customFormat="false" ht="15" hidden="false" customHeight="false" outlineLevel="0" collapsed="false">
      <c r="A829" s="22"/>
      <c r="B829" s="23"/>
      <c r="C829" s="24"/>
      <c r="D829" s="24"/>
      <c r="E829" s="24"/>
      <c r="F829" s="24"/>
      <c r="G829" s="25"/>
      <c r="H829" s="25"/>
      <c r="I829" s="24"/>
      <c r="J829" s="24"/>
      <c r="K829" s="25"/>
      <c r="L829" s="25"/>
      <c r="M829" s="26" t="str">
        <f aca="false">IF(G829="","",G829-N(H829))</f>
        <v/>
      </c>
      <c r="N829" s="26" t="str">
        <f aca="false">IF(G829="","",G829-N(K829)-N(L829))</f>
        <v/>
      </c>
      <c r="O829" s="27" t="str">
        <f aca="false">IF(G829="","",IF(N(H829)&gt;=G829,"Pago",IF(N(H829)&gt;0,"Parcial","Pendente")))</f>
        <v/>
      </c>
      <c r="P829" s="24"/>
    </row>
    <row r="830" customFormat="false" ht="15" hidden="false" customHeight="false" outlineLevel="0" collapsed="false">
      <c r="A830" s="22"/>
      <c r="B830" s="23"/>
      <c r="C830" s="24"/>
      <c r="D830" s="24"/>
      <c r="E830" s="24"/>
      <c r="F830" s="24"/>
      <c r="G830" s="25"/>
      <c r="H830" s="25"/>
      <c r="I830" s="24"/>
      <c r="J830" s="24"/>
      <c r="K830" s="25"/>
      <c r="L830" s="25"/>
      <c r="M830" s="26" t="str">
        <f aca="false">IF(G830="","",G830-N(H830))</f>
        <v/>
      </c>
      <c r="N830" s="26" t="str">
        <f aca="false">IF(G830="","",G830-N(K830)-N(L830))</f>
        <v/>
      </c>
      <c r="O830" s="27" t="str">
        <f aca="false">IF(G830="","",IF(N(H830)&gt;=G830,"Pago",IF(N(H830)&gt;0,"Parcial","Pendente")))</f>
        <v/>
      </c>
      <c r="P830" s="24"/>
    </row>
    <row r="831" customFormat="false" ht="15" hidden="false" customHeight="false" outlineLevel="0" collapsed="false">
      <c r="A831" s="22"/>
      <c r="B831" s="23"/>
      <c r="C831" s="24"/>
      <c r="D831" s="24"/>
      <c r="E831" s="24"/>
      <c r="F831" s="24"/>
      <c r="G831" s="25"/>
      <c r="H831" s="25"/>
      <c r="I831" s="24"/>
      <c r="J831" s="24"/>
      <c r="K831" s="25"/>
      <c r="L831" s="25"/>
      <c r="M831" s="26" t="str">
        <f aca="false">IF(G831="","",G831-N(H831))</f>
        <v/>
      </c>
      <c r="N831" s="26" t="str">
        <f aca="false">IF(G831="","",G831-N(K831)-N(L831))</f>
        <v/>
      </c>
      <c r="O831" s="27" t="str">
        <f aca="false">IF(G831="","",IF(N(H831)&gt;=G831,"Pago",IF(N(H831)&gt;0,"Parcial","Pendente")))</f>
        <v/>
      </c>
      <c r="P831" s="24"/>
    </row>
    <row r="832" customFormat="false" ht="15" hidden="false" customHeight="false" outlineLevel="0" collapsed="false">
      <c r="A832" s="22"/>
      <c r="B832" s="23"/>
      <c r="C832" s="24"/>
      <c r="D832" s="24"/>
      <c r="E832" s="24"/>
      <c r="F832" s="24"/>
      <c r="G832" s="25"/>
      <c r="H832" s="25"/>
      <c r="I832" s="24"/>
      <c r="J832" s="24"/>
      <c r="K832" s="25"/>
      <c r="L832" s="25"/>
      <c r="M832" s="26" t="str">
        <f aca="false">IF(G832="","",G832-N(H832))</f>
        <v/>
      </c>
      <c r="N832" s="26" t="str">
        <f aca="false">IF(G832="","",G832-N(K832)-N(L832))</f>
        <v/>
      </c>
      <c r="O832" s="27" t="str">
        <f aca="false">IF(G832="","",IF(N(H832)&gt;=G832,"Pago",IF(N(H832)&gt;0,"Parcial","Pendente")))</f>
        <v/>
      </c>
      <c r="P832" s="24"/>
    </row>
    <row r="833" customFormat="false" ht="15" hidden="false" customHeight="false" outlineLevel="0" collapsed="false">
      <c r="A833" s="22"/>
      <c r="B833" s="23"/>
      <c r="C833" s="24"/>
      <c r="D833" s="24"/>
      <c r="E833" s="24"/>
      <c r="F833" s="24"/>
      <c r="G833" s="25"/>
      <c r="H833" s="25"/>
      <c r="I833" s="24"/>
      <c r="J833" s="24"/>
      <c r="K833" s="25"/>
      <c r="L833" s="25"/>
      <c r="M833" s="26" t="str">
        <f aca="false">IF(G833="","",G833-N(H833))</f>
        <v/>
      </c>
      <c r="N833" s="26" t="str">
        <f aca="false">IF(G833="","",G833-N(K833)-N(L833))</f>
        <v/>
      </c>
      <c r="O833" s="27" t="str">
        <f aca="false">IF(G833="","",IF(N(H833)&gt;=G833,"Pago",IF(N(H833)&gt;0,"Parcial","Pendente")))</f>
        <v/>
      </c>
      <c r="P833" s="24"/>
    </row>
    <row r="834" customFormat="false" ht="15" hidden="false" customHeight="false" outlineLevel="0" collapsed="false">
      <c r="A834" s="22"/>
      <c r="B834" s="23"/>
      <c r="C834" s="24"/>
      <c r="D834" s="24"/>
      <c r="E834" s="24"/>
      <c r="F834" s="24"/>
      <c r="G834" s="25"/>
      <c r="H834" s="25"/>
      <c r="I834" s="24"/>
      <c r="J834" s="24"/>
      <c r="K834" s="25"/>
      <c r="L834" s="25"/>
      <c r="M834" s="26" t="str">
        <f aca="false">IF(G834="","",G834-N(H834))</f>
        <v/>
      </c>
      <c r="N834" s="26" t="str">
        <f aca="false">IF(G834="","",G834-N(K834)-N(L834))</f>
        <v/>
      </c>
      <c r="O834" s="27" t="str">
        <f aca="false">IF(G834="","",IF(N(H834)&gt;=G834,"Pago",IF(N(H834)&gt;0,"Parcial","Pendente")))</f>
        <v/>
      </c>
      <c r="P834" s="24"/>
    </row>
    <row r="835" customFormat="false" ht="15" hidden="false" customHeight="false" outlineLevel="0" collapsed="false">
      <c r="A835" s="22"/>
      <c r="B835" s="23"/>
      <c r="C835" s="24"/>
      <c r="D835" s="24"/>
      <c r="E835" s="24"/>
      <c r="F835" s="24"/>
      <c r="G835" s="25"/>
      <c r="H835" s="25"/>
      <c r="I835" s="24"/>
      <c r="J835" s="24"/>
      <c r="K835" s="25"/>
      <c r="L835" s="25"/>
      <c r="M835" s="26" t="str">
        <f aca="false">IF(G835="","",G835-N(H835))</f>
        <v/>
      </c>
      <c r="N835" s="26" t="str">
        <f aca="false">IF(G835="","",G835-N(K835)-N(L835))</f>
        <v/>
      </c>
      <c r="O835" s="27" t="str">
        <f aca="false">IF(G835="","",IF(N(H835)&gt;=G835,"Pago",IF(N(H835)&gt;0,"Parcial","Pendente")))</f>
        <v/>
      </c>
      <c r="P835" s="24"/>
    </row>
    <row r="836" customFormat="false" ht="15" hidden="false" customHeight="false" outlineLevel="0" collapsed="false">
      <c r="A836" s="22"/>
      <c r="B836" s="23"/>
      <c r="C836" s="24"/>
      <c r="D836" s="24"/>
      <c r="E836" s="24"/>
      <c r="F836" s="24"/>
      <c r="G836" s="25"/>
      <c r="H836" s="25"/>
      <c r="I836" s="24"/>
      <c r="J836" s="24"/>
      <c r="K836" s="25"/>
      <c r="L836" s="25"/>
      <c r="M836" s="26" t="str">
        <f aca="false">IF(G836="","",G836-N(H836))</f>
        <v/>
      </c>
      <c r="N836" s="26" t="str">
        <f aca="false">IF(G836="","",G836-N(K836)-N(L836))</f>
        <v/>
      </c>
      <c r="O836" s="27" t="str">
        <f aca="false">IF(G836="","",IF(N(H836)&gt;=G836,"Pago",IF(N(H836)&gt;0,"Parcial","Pendente")))</f>
        <v/>
      </c>
      <c r="P836" s="24"/>
    </row>
    <row r="837" customFormat="false" ht="15" hidden="false" customHeight="false" outlineLevel="0" collapsed="false">
      <c r="A837" s="22"/>
      <c r="B837" s="23"/>
      <c r="C837" s="24"/>
      <c r="D837" s="24"/>
      <c r="E837" s="24"/>
      <c r="F837" s="24"/>
      <c r="G837" s="25"/>
      <c r="H837" s="25"/>
      <c r="I837" s="24"/>
      <c r="J837" s="24"/>
      <c r="K837" s="25"/>
      <c r="L837" s="25"/>
      <c r="M837" s="26" t="str">
        <f aca="false">IF(G837="","",G837-N(H837))</f>
        <v/>
      </c>
      <c r="N837" s="26" t="str">
        <f aca="false">IF(G837="","",G837-N(K837)-N(L837))</f>
        <v/>
      </c>
      <c r="O837" s="27" t="str">
        <f aca="false">IF(G837="","",IF(N(H837)&gt;=G837,"Pago",IF(N(H837)&gt;0,"Parcial","Pendente")))</f>
        <v/>
      </c>
      <c r="P837" s="24"/>
    </row>
    <row r="838" customFormat="false" ht="15" hidden="false" customHeight="false" outlineLevel="0" collapsed="false">
      <c r="A838" s="22"/>
      <c r="B838" s="23"/>
      <c r="C838" s="24"/>
      <c r="D838" s="24"/>
      <c r="E838" s="24"/>
      <c r="F838" s="24"/>
      <c r="G838" s="25"/>
      <c r="H838" s="25"/>
      <c r="I838" s="24"/>
      <c r="J838" s="24"/>
      <c r="K838" s="25"/>
      <c r="L838" s="25"/>
      <c r="M838" s="26" t="str">
        <f aca="false">IF(G838="","",G838-N(H838))</f>
        <v/>
      </c>
      <c r="N838" s="26" t="str">
        <f aca="false">IF(G838="","",G838-N(K838)-N(L838))</f>
        <v/>
      </c>
      <c r="O838" s="27" t="str">
        <f aca="false">IF(G838="","",IF(N(H838)&gt;=G838,"Pago",IF(N(H838)&gt;0,"Parcial","Pendente")))</f>
        <v/>
      </c>
      <c r="P838" s="24"/>
    </row>
    <row r="839" customFormat="false" ht="15" hidden="false" customHeight="false" outlineLevel="0" collapsed="false">
      <c r="A839" s="22"/>
      <c r="B839" s="23"/>
      <c r="C839" s="24"/>
      <c r="D839" s="24"/>
      <c r="E839" s="24"/>
      <c r="F839" s="24"/>
      <c r="G839" s="25"/>
      <c r="H839" s="25"/>
      <c r="I839" s="24"/>
      <c r="J839" s="24"/>
      <c r="K839" s="25"/>
      <c r="L839" s="25"/>
      <c r="M839" s="26" t="str">
        <f aca="false">IF(G839="","",G839-N(H839))</f>
        <v/>
      </c>
      <c r="N839" s="26" t="str">
        <f aca="false">IF(G839="","",G839-N(K839)-N(L839))</f>
        <v/>
      </c>
      <c r="O839" s="27" t="str">
        <f aca="false">IF(G839="","",IF(N(H839)&gt;=G839,"Pago",IF(N(H839)&gt;0,"Parcial","Pendente")))</f>
        <v/>
      </c>
      <c r="P839" s="24"/>
    </row>
    <row r="840" customFormat="false" ht="15" hidden="false" customHeight="false" outlineLevel="0" collapsed="false">
      <c r="A840" s="22"/>
      <c r="B840" s="23"/>
      <c r="C840" s="24"/>
      <c r="D840" s="24"/>
      <c r="E840" s="24"/>
      <c r="F840" s="24"/>
      <c r="G840" s="25"/>
      <c r="H840" s="25"/>
      <c r="I840" s="24"/>
      <c r="J840" s="24"/>
      <c r="K840" s="25"/>
      <c r="L840" s="25"/>
      <c r="M840" s="26" t="str">
        <f aca="false">IF(G840="","",G840-N(H840))</f>
        <v/>
      </c>
      <c r="N840" s="26" t="str">
        <f aca="false">IF(G840="","",G840-N(K840)-N(L840))</f>
        <v/>
      </c>
      <c r="O840" s="27" t="str">
        <f aca="false">IF(G840="","",IF(N(H840)&gt;=G840,"Pago",IF(N(H840)&gt;0,"Parcial","Pendente")))</f>
        <v/>
      </c>
      <c r="P840" s="24"/>
    </row>
    <row r="841" customFormat="false" ht="15" hidden="false" customHeight="false" outlineLevel="0" collapsed="false">
      <c r="A841" s="22"/>
      <c r="B841" s="23"/>
      <c r="C841" s="24"/>
      <c r="D841" s="24"/>
      <c r="E841" s="24"/>
      <c r="F841" s="24"/>
      <c r="G841" s="25"/>
      <c r="H841" s="25"/>
      <c r="I841" s="24"/>
      <c r="J841" s="24"/>
      <c r="K841" s="25"/>
      <c r="L841" s="25"/>
      <c r="M841" s="26" t="str">
        <f aca="false">IF(G841="","",G841-N(H841))</f>
        <v/>
      </c>
      <c r="N841" s="26" t="str">
        <f aca="false">IF(G841="","",G841-N(K841)-N(L841))</f>
        <v/>
      </c>
      <c r="O841" s="27" t="str">
        <f aca="false">IF(G841="","",IF(N(H841)&gt;=G841,"Pago",IF(N(H841)&gt;0,"Parcial","Pendente")))</f>
        <v/>
      </c>
      <c r="P841" s="24"/>
    </row>
    <row r="842" customFormat="false" ht="15" hidden="false" customHeight="false" outlineLevel="0" collapsed="false">
      <c r="A842" s="22"/>
      <c r="B842" s="23"/>
      <c r="C842" s="24"/>
      <c r="D842" s="24"/>
      <c r="E842" s="24"/>
      <c r="F842" s="24"/>
      <c r="G842" s="25"/>
      <c r="H842" s="25"/>
      <c r="I842" s="24"/>
      <c r="J842" s="24"/>
      <c r="K842" s="25"/>
      <c r="L842" s="25"/>
      <c r="M842" s="26" t="str">
        <f aca="false">IF(G842="","",G842-N(H842))</f>
        <v/>
      </c>
      <c r="N842" s="26" t="str">
        <f aca="false">IF(G842="","",G842-N(K842)-N(L842))</f>
        <v/>
      </c>
      <c r="O842" s="27" t="str">
        <f aca="false">IF(G842="","",IF(N(H842)&gt;=G842,"Pago",IF(N(H842)&gt;0,"Parcial","Pendente")))</f>
        <v/>
      </c>
      <c r="P842" s="24"/>
    </row>
    <row r="843" customFormat="false" ht="15" hidden="false" customHeight="false" outlineLevel="0" collapsed="false">
      <c r="A843" s="22"/>
      <c r="B843" s="23"/>
      <c r="C843" s="24"/>
      <c r="D843" s="24"/>
      <c r="E843" s="24"/>
      <c r="F843" s="24"/>
      <c r="G843" s="25"/>
      <c r="H843" s="25"/>
      <c r="I843" s="24"/>
      <c r="J843" s="24"/>
      <c r="K843" s="25"/>
      <c r="L843" s="25"/>
      <c r="M843" s="26" t="str">
        <f aca="false">IF(G843="","",G843-N(H843))</f>
        <v/>
      </c>
      <c r="N843" s="26" t="str">
        <f aca="false">IF(G843="","",G843-N(K843)-N(L843))</f>
        <v/>
      </c>
      <c r="O843" s="27" t="str">
        <f aca="false">IF(G843="","",IF(N(H843)&gt;=G843,"Pago",IF(N(H843)&gt;0,"Parcial","Pendente")))</f>
        <v/>
      </c>
      <c r="P843" s="24"/>
    </row>
    <row r="844" customFormat="false" ht="15" hidden="false" customHeight="false" outlineLevel="0" collapsed="false">
      <c r="A844" s="22"/>
      <c r="B844" s="23"/>
      <c r="C844" s="24"/>
      <c r="D844" s="24"/>
      <c r="E844" s="24"/>
      <c r="F844" s="24"/>
      <c r="G844" s="25"/>
      <c r="H844" s="25"/>
      <c r="I844" s="24"/>
      <c r="J844" s="24"/>
      <c r="K844" s="25"/>
      <c r="L844" s="25"/>
      <c r="M844" s="26" t="str">
        <f aca="false">IF(G844="","",G844-N(H844))</f>
        <v/>
      </c>
      <c r="N844" s="26" t="str">
        <f aca="false">IF(G844="","",G844-N(K844)-N(L844))</f>
        <v/>
      </c>
      <c r="O844" s="27" t="str">
        <f aca="false">IF(G844="","",IF(N(H844)&gt;=G844,"Pago",IF(N(H844)&gt;0,"Parcial","Pendente")))</f>
        <v/>
      </c>
      <c r="P844" s="24"/>
    </row>
    <row r="845" customFormat="false" ht="15" hidden="false" customHeight="false" outlineLevel="0" collapsed="false">
      <c r="A845" s="22"/>
      <c r="B845" s="23"/>
      <c r="C845" s="24"/>
      <c r="D845" s="24"/>
      <c r="E845" s="24"/>
      <c r="F845" s="24"/>
      <c r="G845" s="25"/>
      <c r="H845" s="25"/>
      <c r="I845" s="24"/>
      <c r="J845" s="24"/>
      <c r="K845" s="25"/>
      <c r="L845" s="25"/>
      <c r="M845" s="26" t="str">
        <f aca="false">IF(G845="","",G845-N(H845))</f>
        <v/>
      </c>
      <c r="N845" s="26" t="str">
        <f aca="false">IF(G845="","",G845-N(K845)-N(L845))</f>
        <v/>
      </c>
      <c r="O845" s="27" t="str">
        <f aca="false">IF(G845="","",IF(N(H845)&gt;=G845,"Pago",IF(N(H845)&gt;0,"Parcial","Pendente")))</f>
        <v/>
      </c>
      <c r="P845" s="24"/>
    </row>
    <row r="846" customFormat="false" ht="15" hidden="false" customHeight="false" outlineLevel="0" collapsed="false">
      <c r="A846" s="22"/>
      <c r="B846" s="23"/>
      <c r="C846" s="24"/>
      <c r="D846" s="24"/>
      <c r="E846" s="24"/>
      <c r="F846" s="24"/>
      <c r="G846" s="25"/>
      <c r="H846" s="25"/>
      <c r="I846" s="24"/>
      <c r="J846" s="24"/>
      <c r="K846" s="25"/>
      <c r="L846" s="25"/>
      <c r="M846" s="26" t="str">
        <f aca="false">IF(G846="","",G846-N(H846))</f>
        <v/>
      </c>
      <c r="N846" s="26" t="str">
        <f aca="false">IF(G846="","",G846-N(K846)-N(L846))</f>
        <v/>
      </c>
      <c r="O846" s="27" t="str">
        <f aca="false">IF(G846="","",IF(N(H846)&gt;=G846,"Pago",IF(N(H846)&gt;0,"Parcial","Pendente")))</f>
        <v/>
      </c>
      <c r="P846" s="24"/>
    </row>
    <row r="847" customFormat="false" ht="15" hidden="false" customHeight="false" outlineLevel="0" collapsed="false">
      <c r="A847" s="22"/>
      <c r="B847" s="23"/>
      <c r="C847" s="24"/>
      <c r="D847" s="24"/>
      <c r="E847" s="24"/>
      <c r="F847" s="24"/>
      <c r="G847" s="25"/>
      <c r="H847" s="25"/>
      <c r="I847" s="24"/>
      <c r="J847" s="24"/>
      <c r="K847" s="25"/>
      <c r="L847" s="25"/>
      <c r="M847" s="26" t="str">
        <f aca="false">IF(G847="","",G847-N(H847))</f>
        <v/>
      </c>
      <c r="N847" s="26" t="str">
        <f aca="false">IF(G847="","",G847-N(K847)-N(L847))</f>
        <v/>
      </c>
      <c r="O847" s="27" t="str">
        <f aca="false">IF(G847="","",IF(N(H847)&gt;=G847,"Pago",IF(N(H847)&gt;0,"Parcial","Pendente")))</f>
        <v/>
      </c>
      <c r="P847" s="24"/>
    </row>
    <row r="848" customFormat="false" ht="15" hidden="false" customHeight="false" outlineLevel="0" collapsed="false">
      <c r="A848" s="22"/>
      <c r="B848" s="23"/>
      <c r="C848" s="24"/>
      <c r="D848" s="24"/>
      <c r="E848" s="24"/>
      <c r="F848" s="24"/>
      <c r="G848" s="25"/>
      <c r="H848" s="25"/>
      <c r="I848" s="24"/>
      <c r="J848" s="24"/>
      <c r="K848" s="25"/>
      <c r="L848" s="25"/>
      <c r="M848" s="26" t="str">
        <f aca="false">IF(G848="","",G848-N(H848))</f>
        <v/>
      </c>
      <c r="N848" s="26" t="str">
        <f aca="false">IF(G848="","",G848-N(K848)-N(L848))</f>
        <v/>
      </c>
      <c r="O848" s="27" t="str">
        <f aca="false">IF(G848="","",IF(N(H848)&gt;=G848,"Pago",IF(N(H848)&gt;0,"Parcial","Pendente")))</f>
        <v/>
      </c>
      <c r="P848" s="24"/>
    </row>
    <row r="849" customFormat="false" ht="15" hidden="false" customHeight="false" outlineLevel="0" collapsed="false">
      <c r="A849" s="22"/>
      <c r="B849" s="23"/>
      <c r="C849" s="24"/>
      <c r="D849" s="24"/>
      <c r="E849" s="24"/>
      <c r="F849" s="24"/>
      <c r="G849" s="25"/>
      <c r="H849" s="25"/>
      <c r="I849" s="24"/>
      <c r="J849" s="24"/>
      <c r="K849" s="25"/>
      <c r="L849" s="25"/>
      <c r="M849" s="26" t="str">
        <f aca="false">IF(G849="","",G849-N(H849))</f>
        <v/>
      </c>
      <c r="N849" s="26" t="str">
        <f aca="false">IF(G849="","",G849-N(K849)-N(L849))</f>
        <v/>
      </c>
      <c r="O849" s="27" t="str">
        <f aca="false">IF(G849="","",IF(N(H849)&gt;=G849,"Pago",IF(N(H849)&gt;0,"Parcial","Pendente")))</f>
        <v/>
      </c>
      <c r="P849" s="24"/>
    </row>
    <row r="850" customFormat="false" ht="15" hidden="false" customHeight="false" outlineLevel="0" collapsed="false">
      <c r="A850" s="22"/>
      <c r="B850" s="23"/>
      <c r="C850" s="24"/>
      <c r="D850" s="24"/>
      <c r="E850" s="24"/>
      <c r="F850" s="24"/>
      <c r="G850" s="25"/>
      <c r="H850" s="25"/>
      <c r="I850" s="24"/>
      <c r="J850" s="24"/>
      <c r="K850" s="25"/>
      <c r="L850" s="25"/>
      <c r="M850" s="26" t="str">
        <f aca="false">IF(G850="","",G850-N(H850))</f>
        <v/>
      </c>
      <c r="N850" s="26" t="str">
        <f aca="false">IF(G850="","",G850-N(K850)-N(L850))</f>
        <v/>
      </c>
      <c r="O850" s="27" t="str">
        <f aca="false">IF(G850="","",IF(N(H850)&gt;=G850,"Pago",IF(N(H850)&gt;0,"Parcial","Pendente")))</f>
        <v/>
      </c>
      <c r="P850" s="24"/>
    </row>
    <row r="851" customFormat="false" ht="15" hidden="false" customHeight="false" outlineLevel="0" collapsed="false">
      <c r="A851" s="22"/>
      <c r="B851" s="23"/>
      <c r="C851" s="24"/>
      <c r="D851" s="24"/>
      <c r="E851" s="24"/>
      <c r="F851" s="24"/>
      <c r="G851" s="25"/>
      <c r="H851" s="25"/>
      <c r="I851" s="24"/>
      <c r="J851" s="24"/>
      <c r="K851" s="25"/>
      <c r="L851" s="25"/>
      <c r="M851" s="26" t="str">
        <f aca="false">IF(G851="","",G851-N(H851))</f>
        <v/>
      </c>
      <c r="N851" s="26" t="str">
        <f aca="false">IF(G851="","",G851-N(K851)-N(L851))</f>
        <v/>
      </c>
      <c r="O851" s="27" t="str">
        <f aca="false">IF(G851="","",IF(N(H851)&gt;=G851,"Pago",IF(N(H851)&gt;0,"Parcial","Pendente")))</f>
        <v/>
      </c>
      <c r="P851" s="24"/>
    </row>
    <row r="852" customFormat="false" ht="15" hidden="false" customHeight="false" outlineLevel="0" collapsed="false">
      <c r="A852" s="22"/>
      <c r="B852" s="23"/>
      <c r="C852" s="24"/>
      <c r="D852" s="24"/>
      <c r="E852" s="24"/>
      <c r="F852" s="24"/>
      <c r="G852" s="25"/>
      <c r="H852" s="25"/>
      <c r="I852" s="24"/>
      <c r="J852" s="24"/>
      <c r="K852" s="25"/>
      <c r="L852" s="25"/>
      <c r="M852" s="26" t="str">
        <f aca="false">IF(G852="","",G852-N(H852))</f>
        <v/>
      </c>
      <c r="N852" s="26" t="str">
        <f aca="false">IF(G852="","",G852-N(K852)-N(L852))</f>
        <v/>
      </c>
      <c r="O852" s="27" t="str">
        <f aca="false">IF(G852="","",IF(N(H852)&gt;=G852,"Pago",IF(N(H852)&gt;0,"Parcial","Pendente")))</f>
        <v/>
      </c>
      <c r="P852" s="24"/>
    </row>
    <row r="853" customFormat="false" ht="15" hidden="false" customHeight="false" outlineLevel="0" collapsed="false">
      <c r="A853" s="22"/>
      <c r="B853" s="23"/>
      <c r="C853" s="24"/>
      <c r="D853" s="24"/>
      <c r="E853" s="24"/>
      <c r="F853" s="24"/>
      <c r="G853" s="25"/>
      <c r="H853" s="25"/>
      <c r="I853" s="24"/>
      <c r="J853" s="24"/>
      <c r="K853" s="25"/>
      <c r="L853" s="25"/>
      <c r="M853" s="26" t="str">
        <f aca="false">IF(G853="","",G853-N(H853))</f>
        <v/>
      </c>
      <c r="N853" s="26" t="str">
        <f aca="false">IF(G853="","",G853-N(K853)-N(L853))</f>
        <v/>
      </c>
      <c r="O853" s="27" t="str">
        <f aca="false">IF(G853="","",IF(N(H853)&gt;=G853,"Pago",IF(N(H853)&gt;0,"Parcial","Pendente")))</f>
        <v/>
      </c>
      <c r="P853" s="24"/>
    </row>
    <row r="854" customFormat="false" ht="15" hidden="false" customHeight="false" outlineLevel="0" collapsed="false">
      <c r="A854" s="22"/>
      <c r="B854" s="23"/>
      <c r="C854" s="24"/>
      <c r="D854" s="24"/>
      <c r="E854" s="24"/>
      <c r="F854" s="24"/>
      <c r="G854" s="25"/>
      <c r="H854" s="25"/>
      <c r="I854" s="24"/>
      <c r="J854" s="24"/>
      <c r="K854" s="25"/>
      <c r="L854" s="25"/>
      <c r="M854" s="26" t="str">
        <f aca="false">IF(G854="","",G854-N(H854))</f>
        <v/>
      </c>
      <c r="N854" s="26" t="str">
        <f aca="false">IF(G854="","",G854-N(K854)-N(L854))</f>
        <v/>
      </c>
      <c r="O854" s="27" t="str">
        <f aca="false">IF(G854="","",IF(N(H854)&gt;=G854,"Pago",IF(N(H854)&gt;0,"Parcial","Pendente")))</f>
        <v/>
      </c>
      <c r="P854" s="24"/>
    </row>
    <row r="855" customFormat="false" ht="15" hidden="false" customHeight="false" outlineLevel="0" collapsed="false">
      <c r="A855" s="22"/>
      <c r="B855" s="23"/>
      <c r="C855" s="24"/>
      <c r="D855" s="24"/>
      <c r="E855" s="24"/>
      <c r="F855" s="24"/>
      <c r="G855" s="25"/>
      <c r="H855" s="25"/>
      <c r="I855" s="24"/>
      <c r="J855" s="24"/>
      <c r="K855" s="25"/>
      <c r="L855" s="25"/>
      <c r="M855" s="26" t="str">
        <f aca="false">IF(G855="","",G855-N(H855))</f>
        <v/>
      </c>
      <c r="N855" s="26" t="str">
        <f aca="false">IF(G855="","",G855-N(K855)-N(L855))</f>
        <v/>
      </c>
      <c r="O855" s="27" t="str">
        <f aca="false">IF(G855="","",IF(N(H855)&gt;=G855,"Pago",IF(N(H855)&gt;0,"Parcial","Pendente")))</f>
        <v/>
      </c>
      <c r="P855" s="24"/>
    </row>
    <row r="856" customFormat="false" ht="15" hidden="false" customHeight="false" outlineLevel="0" collapsed="false">
      <c r="A856" s="22"/>
      <c r="B856" s="23"/>
      <c r="C856" s="24"/>
      <c r="D856" s="24"/>
      <c r="E856" s="24"/>
      <c r="F856" s="24"/>
      <c r="G856" s="25"/>
      <c r="H856" s="25"/>
      <c r="I856" s="24"/>
      <c r="J856" s="24"/>
      <c r="K856" s="25"/>
      <c r="L856" s="25"/>
      <c r="M856" s="26" t="str">
        <f aca="false">IF(G856="","",G856-N(H856))</f>
        <v/>
      </c>
      <c r="N856" s="26" t="str">
        <f aca="false">IF(G856="","",G856-N(K856)-N(L856))</f>
        <v/>
      </c>
      <c r="O856" s="27" t="str">
        <f aca="false">IF(G856="","",IF(N(H856)&gt;=G856,"Pago",IF(N(H856)&gt;0,"Parcial","Pendente")))</f>
        <v/>
      </c>
      <c r="P856" s="24"/>
    </row>
    <row r="857" customFormat="false" ht="15" hidden="false" customHeight="false" outlineLevel="0" collapsed="false">
      <c r="A857" s="22"/>
      <c r="B857" s="23"/>
      <c r="C857" s="24"/>
      <c r="D857" s="24"/>
      <c r="E857" s="24"/>
      <c r="F857" s="24"/>
      <c r="G857" s="25"/>
      <c r="H857" s="25"/>
      <c r="I857" s="24"/>
      <c r="J857" s="24"/>
      <c r="K857" s="25"/>
      <c r="L857" s="25"/>
      <c r="M857" s="26" t="str">
        <f aca="false">IF(G857="","",G857-N(H857))</f>
        <v/>
      </c>
      <c r="N857" s="26" t="str">
        <f aca="false">IF(G857="","",G857-N(K857)-N(L857))</f>
        <v/>
      </c>
      <c r="O857" s="27" t="str">
        <f aca="false">IF(G857="","",IF(N(H857)&gt;=G857,"Pago",IF(N(H857)&gt;0,"Parcial","Pendente")))</f>
        <v/>
      </c>
      <c r="P857" s="24"/>
    </row>
    <row r="858" customFormat="false" ht="15" hidden="false" customHeight="false" outlineLevel="0" collapsed="false">
      <c r="A858" s="22"/>
      <c r="B858" s="23"/>
      <c r="C858" s="24"/>
      <c r="D858" s="24"/>
      <c r="E858" s="24"/>
      <c r="F858" s="24"/>
      <c r="G858" s="25"/>
      <c r="H858" s="25"/>
      <c r="I858" s="24"/>
      <c r="J858" s="24"/>
      <c r="K858" s="25"/>
      <c r="L858" s="25"/>
      <c r="M858" s="26" t="str">
        <f aca="false">IF(G858="","",G858-N(H858))</f>
        <v/>
      </c>
      <c r="N858" s="26" t="str">
        <f aca="false">IF(G858="","",G858-N(K858)-N(L858))</f>
        <v/>
      </c>
      <c r="O858" s="27" t="str">
        <f aca="false">IF(G858="","",IF(N(H858)&gt;=G858,"Pago",IF(N(H858)&gt;0,"Parcial","Pendente")))</f>
        <v/>
      </c>
      <c r="P858" s="24"/>
    </row>
    <row r="859" customFormat="false" ht="15" hidden="false" customHeight="false" outlineLevel="0" collapsed="false">
      <c r="A859" s="22"/>
      <c r="B859" s="23"/>
      <c r="C859" s="24"/>
      <c r="D859" s="24"/>
      <c r="E859" s="24"/>
      <c r="F859" s="24"/>
      <c r="G859" s="25"/>
      <c r="H859" s="25"/>
      <c r="I859" s="24"/>
      <c r="J859" s="24"/>
      <c r="K859" s="25"/>
      <c r="L859" s="25"/>
      <c r="M859" s="26" t="str">
        <f aca="false">IF(G859="","",G859-N(H859))</f>
        <v/>
      </c>
      <c r="N859" s="26" t="str">
        <f aca="false">IF(G859="","",G859-N(K859)-N(L859))</f>
        <v/>
      </c>
      <c r="O859" s="27" t="str">
        <f aca="false">IF(G859="","",IF(N(H859)&gt;=G859,"Pago",IF(N(H859)&gt;0,"Parcial","Pendente")))</f>
        <v/>
      </c>
      <c r="P859" s="24"/>
    </row>
    <row r="860" customFormat="false" ht="15" hidden="false" customHeight="false" outlineLevel="0" collapsed="false">
      <c r="A860" s="22"/>
      <c r="B860" s="23"/>
      <c r="C860" s="24"/>
      <c r="D860" s="24"/>
      <c r="E860" s="24"/>
      <c r="F860" s="24"/>
      <c r="G860" s="25"/>
      <c r="H860" s="25"/>
      <c r="I860" s="24"/>
      <c r="J860" s="24"/>
      <c r="K860" s="25"/>
      <c r="L860" s="25"/>
      <c r="M860" s="26" t="str">
        <f aca="false">IF(G860="","",G860-N(H860))</f>
        <v/>
      </c>
      <c r="N860" s="26" t="str">
        <f aca="false">IF(G860="","",G860-N(K860)-N(L860))</f>
        <v/>
      </c>
      <c r="O860" s="27" t="str">
        <f aca="false">IF(G860="","",IF(N(H860)&gt;=G860,"Pago",IF(N(H860)&gt;0,"Parcial","Pendente")))</f>
        <v/>
      </c>
      <c r="P860" s="24"/>
    </row>
    <row r="861" customFormat="false" ht="15" hidden="false" customHeight="false" outlineLevel="0" collapsed="false">
      <c r="A861" s="22"/>
      <c r="B861" s="23"/>
      <c r="C861" s="24"/>
      <c r="D861" s="24"/>
      <c r="E861" s="24"/>
      <c r="F861" s="24"/>
      <c r="G861" s="25"/>
      <c r="H861" s="25"/>
      <c r="I861" s="24"/>
      <c r="J861" s="24"/>
      <c r="K861" s="25"/>
      <c r="L861" s="25"/>
      <c r="M861" s="26" t="str">
        <f aca="false">IF(G861="","",G861-N(H861))</f>
        <v/>
      </c>
      <c r="N861" s="26" t="str">
        <f aca="false">IF(G861="","",G861-N(K861)-N(L861))</f>
        <v/>
      </c>
      <c r="O861" s="27" t="str">
        <f aca="false">IF(G861="","",IF(N(H861)&gt;=G861,"Pago",IF(N(H861)&gt;0,"Parcial","Pendente")))</f>
        <v/>
      </c>
      <c r="P861" s="24"/>
    </row>
    <row r="862" customFormat="false" ht="15" hidden="false" customHeight="false" outlineLevel="0" collapsed="false">
      <c r="A862" s="22"/>
      <c r="B862" s="23"/>
      <c r="C862" s="24"/>
      <c r="D862" s="24"/>
      <c r="E862" s="24"/>
      <c r="F862" s="24"/>
      <c r="G862" s="25"/>
      <c r="H862" s="25"/>
      <c r="I862" s="24"/>
      <c r="J862" s="24"/>
      <c r="K862" s="25"/>
      <c r="L862" s="25"/>
      <c r="M862" s="26" t="str">
        <f aca="false">IF(G862="","",G862-N(H862))</f>
        <v/>
      </c>
      <c r="N862" s="26" t="str">
        <f aca="false">IF(G862="","",G862-N(K862)-N(L862))</f>
        <v/>
      </c>
      <c r="O862" s="27" t="str">
        <f aca="false">IF(G862="","",IF(N(H862)&gt;=G862,"Pago",IF(N(H862)&gt;0,"Parcial","Pendente")))</f>
        <v/>
      </c>
      <c r="P862" s="24"/>
    </row>
    <row r="863" customFormat="false" ht="15" hidden="false" customHeight="false" outlineLevel="0" collapsed="false">
      <c r="A863" s="22"/>
      <c r="B863" s="23"/>
      <c r="C863" s="24"/>
      <c r="D863" s="24"/>
      <c r="E863" s="24"/>
      <c r="F863" s="24"/>
      <c r="G863" s="25"/>
      <c r="H863" s="25"/>
      <c r="I863" s="24"/>
      <c r="J863" s="24"/>
      <c r="K863" s="25"/>
      <c r="L863" s="25"/>
      <c r="M863" s="26" t="str">
        <f aca="false">IF(G863="","",G863-N(H863))</f>
        <v/>
      </c>
      <c r="N863" s="26" t="str">
        <f aca="false">IF(G863="","",G863-N(K863)-N(L863))</f>
        <v/>
      </c>
      <c r="O863" s="27" t="str">
        <f aca="false">IF(G863="","",IF(N(H863)&gt;=G863,"Pago",IF(N(H863)&gt;0,"Parcial","Pendente")))</f>
        <v/>
      </c>
      <c r="P863" s="24"/>
    </row>
    <row r="864" customFormat="false" ht="15" hidden="false" customHeight="false" outlineLevel="0" collapsed="false">
      <c r="A864" s="22"/>
      <c r="B864" s="23"/>
      <c r="C864" s="24"/>
      <c r="D864" s="24"/>
      <c r="E864" s="24"/>
      <c r="F864" s="24"/>
      <c r="G864" s="25"/>
      <c r="H864" s="25"/>
      <c r="I864" s="24"/>
      <c r="J864" s="24"/>
      <c r="K864" s="25"/>
      <c r="L864" s="25"/>
      <c r="M864" s="26" t="str">
        <f aca="false">IF(G864="","",G864-N(H864))</f>
        <v/>
      </c>
      <c r="N864" s="26" t="str">
        <f aca="false">IF(G864="","",G864-N(K864)-N(L864))</f>
        <v/>
      </c>
      <c r="O864" s="27" t="str">
        <f aca="false">IF(G864="","",IF(N(H864)&gt;=G864,"Pago",IF(N(H864)&gt;0,"Parcial","Pendente")))</f>
        <v/>
      </c>
      <c r="P864" s="24"/>
    </row>
    <row r="865" customFormat="false" ht="15" hidden="false" customHeight="false" outlineLevel="0" collapsed="false">
      <c r="A865" s="22"/>
      <c r="B865" s="23"/>
      <c r="C865" s="24"/>
      <c r="D865" s="24"/>
      <c r="E865" s="24"/>
      <c r="F865" s="24"/>
      <c r="G865" s="25"/>
      <c r="H865" s="25"/>
      <c r="I865" s="24"/>
      <c r="J865" s="24"/>
      <c r="K865" s="25"/>
      <c r="L865" s="25"/>
      <c r="M865" s="26" t="str">
        <f aca="false">IF(G865="","",G865-N(H865))</f>
        <v/>
      </c>
      <c r="N865" s="26" t="str">
        <f aca="false">IF(G865="","",G865-N(K865)-N(L865))</f>
        <v/>
      </c>
      <c r="O865" s="27" t="str">
        <f aca="false">IF(G865="","",IF(N(H865)&gt;=G865,"Pago",IF(N(H865)&gt;0,"Parcial","Pendente")))</f>
        <v/>
      </c>
      <c r="P865" s="24"/>
    </row>
    <row r="866" customFormat="false" ht="15" hidden="false" customHeight="false" outlineLevel="0" collapsed="false">
      <c r="A866" s="22"/>
      <c r="B866" s="23"/>
      <c r="C866" s="24"/>
      <c r="D866" s="24"/>
      <c r="E866" s="24"/>
      <c r="F866" s="24"/>
      <c r="G866" s="25"/>
      <c r="H866" s="25"/>
      <c r="I866" s="24"/>
      <c r="J866" s="24"/>
      <c r="K866" s="25"/>
      <c r="L866" s="25"/>
      <c r="M866" s="26" t="str">
        <f aca="false">IF(G866="","",G866-N(H866))</f>
        <v/>
      </c>
      <c r="N866" s="26" t="str">
        <f aca="false">IF(G866="","",G866-N(K866)-N(L866))</f>
        <v/>
      </c>
      <c r="O866" s="27" t="str">
        <f aca="false">IF(G866="","",IF(N(H866)&gt;=G866,"Pago",IF(N(H866)&gt;0,"Parcial","Pendente")))</f>
        <v/>
      </c>
      <c r="P866" s="24"/>
    </row>
    <row r="867" customFormat="false" ht="15" hidden="false" customHeight="false" outlineLevel="0" collapsed="false">
      <c r="A867" s="22"/>
      <c r="B867" s="23"/>
      <c r="C867" s="24"/>
      <c r="D867" s="24"/>
      <c r="E867" s="24"/>
      <c r="F867" s="24"/>
      <c r="G867" s="25"/>
      <c r="H867" s="25"/>
      <c r="I867" s="24"/>
      <c r="J867" s="24"/>
      <c r="K867" s="25"/>
      <c r="L867" s="25"/>
      <c r="M867" s="26" t="str">
        <f aca="false">IF(G867="","",G867-N(H867))</f>
        <v/>
      </c>
      <c r="N867" s="26" t="str">
        <f aca="false">IF(G867="","",G867-N(K867)-N(L867))</f>
        <v/>
      </c>
      <c r="O867" s="27" t="str">
        <f aca="false">IF(G867="","",IF(N(H867)&gt;=G867,"Pago",IF(N(H867)&gt;0,"Parcial","Pendente")))</f>
        <v/>
      </c>
      <c r="P867" s="24"/>
    </row>
    <row r="868" customFormat="false" ht="15" hidden="false" customHeight="false" outlineLevel="0" collapsed="false">
      <c r="A868" s="22"/>
      <c r="B868" s="23"/>
      <c r="C868" s="24"/>
      <c r="D868" s="24"/>
      <c r="E868" s="24"/>
      <c r="F868" s="24"/>
      <c r="G868" s="25"/>
      <c r="H868" s="25"/>
      <c r="I868" s="24"/>
      <c r="J868" s="24"/>
      <c r="K868" s="25"/>
      <c r="L868" s="25"/>
      <c r="M868" s="26" t="str">
        <f aca="false">IF(G868="","",G868-N(H868))</f>
        <v/>
      </c>
      <c r="N868" s="26" t="str">
        <f aca="false">IF(G868="","",G868-N(K868)-N(L868))</f>
        <v/>
      </c>
      <c r="O868" s="27" t="str">
        <f aca="false">IF(G868="","",IF(N(H868)&gt;=G868,"Pago",IF(N(H868)&gt;0,"Parcial","Pendente")))</f>
        <v/>
      </c>
      <c r="P868" s="24"/>
    </row>
    <row r="869" customFormat="false" ht="15" hidden="false" customHeight="false" outlineLevel="0" collapsed="false">
      <c r="A869" s="22"/>
      <c r="B869" s="23"/>
      <c r="C869" s="24"/>
      <c r="D869" s="24"/>
      <c r="E869" s="24"/>
      <c r="F869" s="24"/>
      <c r="G869" s="25"/>
      <c r="H869" s="25"/>
      <c r="I869" s="24"/>
      <c r="J869" s="24"/>
      <c r="K869" s="25"/>
      <c r="L869" s="25"/>
      <c r="M869" s="26" t="str">
        <f aca="false">IF(G869="","",G869-N(H869))</f>
        <v/>
      </c>
      <c r="N869" s="26" t="str">
        <f aca="false">IF(G869="","",G869-N(K869)-N(L869))</f>
        <v/>
      </c>
      <c r="O869" s="27" t="str">
        <f aca="false">IF(G869="","",IF(N(H869)&gt;=G869,"Pago",IF(N(H869)&gt;0,"Parcial","Pendente")))</f>
        <v/>
      </c>
      <c r="P869" s="24"/>
    </row>
    <row r="870" customFormat="false" ht="15" hidden="false" customHeight="false" outlineLevel="0" collapsed="false">
      <c r="A870" s="22"/>
      <c r="B870" s="23"/>
      <c r="C870" s="24"/>
      <c r="D870" s="24"/>
      <c r="E870" s="24"/>
      <c r="F870" s="24"/>
      <c r="G870" s="25"/>
      <c r="H870" s="25"/>
      <c r="I870" s="24"/>
      <c r="J870" s="24"/>
      <c r="K870" s="25"/>
      <c r="L870" s="25"/>
      <c r="M870" s="26" t="str">
        <f aca="false">IF(G870="","",G870-N(H870))</f>
        <v/>
      </c>
      <c r="N870" s="26" t="str">
        <f aca="false">IF(G870="","",G870-N(K870)-N(L870))</f>
        <v/>
      </c>
      <c r="O870" s="27" t="str">
        <f aca="false">IF(G870="","",IF(N(H870)&gt;=G870,"Pago",IF(N(H870)&gt;0,"Parcial","Pendente")))</f>
        <v/>
      </c>
      <c r="P870" s="24"/>
    </row>
    <row r="871" customFormat="false" ht="15" hidden="false" customHeight="false" outlineLevel="0" collapsed="false">
      <c r="A871" s="22"/>
      <c r="B871" s="23"/>
      <c r="C871" s="24"/>
      <c r="D871" s="24"/>
      <c r="E871" s="24"/>
      <c r="F871" s="24"/>
      <c r="G871" s="25"/>
      <c r="H871" s="25"/>
      <c r="I871" s="24"/>
      <c r="J871" s="24"/>
      <c r="K871" s="25"/>
      <c r="L871" s="25"/>
      <c r="M871" s="26" t="str">
        <f aca="false">IF(G871="","",G871-N(H871))</f>
        <v/>
      </c>
      <c r="N871" s="26" t="str">
        <f aca="false">IF(G871="","",G871-N(K871)-N(L871))</f>
        <v/>
      </c>
      <c r="O871" s="27" t="str">
        <f aca="false">IF(G871="","",IF(N(H871)&gt;=G871,"Pago",IF(N(H871)&gt;0,"Parcial","Pendente")))</f>
        <v/>
      </c>
      <c r="P871" s="24"/>
    </row>
    <row r="872" customFormat="false" ht="15" hidden="false" customHeight="false" outlineLevel="0" collapsed="false">
      <c r="A872" s="22"/>
      <c r="B872" s="23"/>
      <c r="C872" s="24"/>
      <c r="D872" s="24"/>
      <c r="E872" s="24"/>
      <c r="F872" s="24"/>
      <c r="G872" s="25"/>
      <c r="H872" s="25"/>
      <c r="I872" s="24"/>
      <c r="J872" s="24"/>
      <c r="K872" s="25"/>
      <c r="L872" s="25"/>
      <c r="M872" s="26" t="str">
        <f aca="false">IF(G872="","",G872-N(H872))</f>
        <v/>
      </c>
      <c r="N872" s="26" t="str">
        <f aca="false">IF(G872="","",G872-N(K872)-N(L872))</f>
        <v/>
      </c>
      <c r="O872" s="27" t="str">
        <f aca="false">IF(G872="","",IF(N(H872)&gt;=G872,"Pago",IF(N(H872)&gt;0,"Parcial","Pendente")))</f>
        <v/>
      </c>
      <c r="P872" s="24"/>
    </row>
    <row r="873" customFormat="false" ht="15" hidden="false" customHeight="false" outlineLevel="0" collapsed="false">
      <c r="A873" s="22"/>
      <c r="B873" s="23"/>
      <c r="C873" s="24"/>
      <c r="D873" s="24"/>
      <c r="E873" s="24"/>
      <c r="F873" s="24"/>
      <c r="G873" s="25"/>
      <c r="H873" s="25"/>
      <c r="I873" s="24"/>
      <c r="J873" s="24"/>
      <c r="K873" s="25"/>
      <c r="L873" s="25"/>
      <c r="M873" s="26" t="str">
        <f aca="false">IF(G873="","",G873-N(H873))</f>
        <v/>
      </c>
      <c r="N873" s="26" t="str">
        <f aca="false">IF(G873="","",G873-N(K873)-N(L873))</f>
        <v/>
      </c>
      <c r="O873" s="27" t="str">
        <f aca="false">IF(G873="","",IF(N(H873)&gt;=G873,"Pago",IF(N(H873)&gt;0,"Parcial","Pendente")))</f>
        <v/>
      </c>
      <c r="P873" s="24"/>
    </row>
    <row r="874" customFormat="false" ht="15" hidden="false" customHeight="false" outlineLevel="0" collapsed="false">
      <c r="A874" s="22"/>
      <c r="B874" s="23"/>
      <c r="C874" s="24"/>
      <c r="D874" s="24"/>
      <c r="E874" s="24"/>
      <c r="F874" s="24"/>
      <c r="G874" s="25"/>
      <c r="H874" s="25"/>
      <c r="I874" s="24"/>
      <c r="J874" s="24"/>
      <c r="K874" s="25"/>
      <c r="L874" s="25"/>
      <c r="M874" s="26" t="str">
        <f aca="false">IF(G874="","",G874-N(H874))</f>
        <v/>
      </c>
      <c r="N874" s="26" t="str">
        <f aca="false">IF(G874="","",G874-N(K874)-N(L874))</f>
        <v/>
      </c>
      <c r="O874" s="27" t="str">
        <f aca="false">IF(G874="","",IF(N(H874)&gt;=G874,"Pago",IF(N(H874)&gt;0,"Parcial","Pendente")))</f>
        <v/>
      </c>
      <c r="P874" s="24"/>
    </row>
    <row r="875" customFormat="false" ht="15" hidden="false" customHeight="false" outlineLevel="0" collapsed="false">
      <c r="A875" s="22"/>
      <c r="B875" s="23"/>
      <c r="C875" s="24"/>
      <c r="D875" s="24"/>
      <c r="E875" s="24"/>
      <c r="F875" s="24"/>
      <c r="G875" s="25"/>
      <c r="H875" s="25"/>
      <c r="I875" s="24"/>
      <c r="J875" s="24"/>
      <c r="K875" s="25"/>
      <c r="L875" s="25"/>
      <c r="M875" s="26" t="str">
        <f aca="false">IF(G875="","",G875-N(H875))</f>
        <v/>
      </c>
      <c r="N875" s="26" t="str">
        <f aca="false">IF(G875="","",G875-N(K875)-N(L875))</f>
        <v/>
      </c>
      <c r="O875" s="27" t="str">
        <f aca="false">IF(G875="","",IF(N(H875)&gt;=G875,"Pago",IF(N(H875)&gt;0,"Parcial","Pendente")))</f>
        <v/>
      </c>
      <c r="P875" s="24"/>
    </row>
    <row r="876" customFormat="false" ht="15" hidden="false" customHeight="false" outlineLevel="0" collapsed="false">
      <c r="A876" s="22"/>
      <c r="B876" s="23"/>
      <c r="C876" s="24"/>
      <c r="D876" s="24"/>
      <c r="E876" s="24"/>
      <c r="F876" s="24"/>
      <c r="G876" s="25"/>
      <c r="H876" s="25"/>
      <c r="I876" s="24"/>
      <c r="J876" s="24"/>
      <c r="K876" s="25"/>
      <c r="L876" s="25"/>
      <c r="M876" s="26" t="str">
        <f aca="false">IF(G876="","",G876-N(H876))</f>
        <v/>
      </c>
      <c r="N876" s="26" t="str">
        <f aca="false">IF(G876="","",G876-N(K876)-N(L876))</f>
        <v/>
      </c>
      <c r="O876" s="27" t="str">
        <f aca="false">IF(G876="","",IF(N(H876)&gt;=G876,"Pago",IF(N(H876)&gt;0,"Parcial","Pendente")))</f>
        <v/>
      </c>
      <c r="P876" s="24"/>
    </row>
    <row r="877" customFormat="false" ht="15" hidden="false" customHeight="false" outlineLevel="0" collapsed="false">
      <c r="A877" s="22"/>
      <c r="B877" s="23"/>
      <c r="C877" s="24"/>
      <c r="D877" s="24"/>
      <c r="E877" s="24"/>
      <c r="F877" s="24"/>
      <c r="G877" s="25"/>
      <c r="H877" s="25"/>
      <c r="I877" s="24"/>
      <c r="J877" s="24"/>
      <c r="K877" s="25"/>
      <c r="L877" s="25"/>
      <c r="M877" s="26" t="str">
        <f aca="false">IF(G877="","",G877-N(H877))</f>
        <v/>
      </c>
      <c r="N877" s="26" t="str">
        <f aca="false">IF(G877="","",G877-N(K877)-N(L877))</f>
        <v/>
      </c>
      <c r="O877" s="27" t="str">
        <f aca="false">IF(G877="","",IF(N(H877)&gt;=G877,"Pago",IF(N(H877)&gt;0,"Parcial","Pendente")))</f>
        <v/>
      </c>
      <c r="P877" s="24"/>
    </row>
    <row r="878" customFormat="false" ht="15" hidden="false" customHeight="false" outlineLevel="0" collapsed="false">
      <c r="A878" s="22"/>
      <c r="B878" s="23"/>
      <c r="C878" s="24"/>
      <c r="D878" s="24"/>
      <c r="E878" s="24"/>
      <c r="F878" s="24"/>
      <c r="G878" s="25"/>
      <c r="H878" s="25"/>
      <c r="I878" s="24"/>
      <c r="J878" s="24"/>
      <c r="K878" s="25"/>
      <c r="L878" s="25"/>
      <c r="M878" s="26" t="str">
        <f aca="false">IF(G878="","",G878-N(H878))</f>
        <v/>
      </c>
      <c r="N878" s="26" t="str">
        <f aca="false">IF(G878="","",G878-N(K878)-N(L878))</f>
        <v/>
      </c>
      <c r="O878" s="27" t="str">
        <f aca="false">IF(G878="","",IF(N(H878)&gt;=G878,"Pago",IF(N(H878)&gt;0,"Parcial","Pendente")))</f>
        <v/>
      </c>
      <c r="P878" s="24"/>
    </row>
    <row r="879" customFormat="false" ht="15" hidden="false" customHeight="false" outlineLevel="0" collapsed="false">
      <c r="A879" s="22"/>
      <c r="B879" s="23"/>
      <c r="C879" s="24"/>
      <c r="D879" s="24"/>
      <c r="E879" s="24"/>
      <c r="F879" s="24"/>
      <c r="G879" s="25"/>
      <c r="H879" s="25"/>
      <c r="I879" s="24"/>
      <c r="J879" s="24"/>
      <c r="K879" s="25"/>
      <c r="L879" s="25"/>
      <c r="M879" s="26" t="str">
        <f aca="false">IF(G879="","",G879-N(H879))</f>
        <v/>
      </c>
      <c r="N879" s="26" t="str">
        <f aca="false">IF(G879="","",G879-N(K879)-N(L879))</f>
        <v/>
      </c>
      <c r="O879" s="27" t="str">
        <f aca="false">IF(G879="","",IF(N(H879)&gt;=G879,"Pago",IF(N(H879)&gt;0,"Parcial","Pendente")))</f>
        <v/>
      </c>
      <c r="P879" s="24"/>
    </row>
    <row r="880" customFormat="false" ht="15" hidden="false" customHeight="false" outlineLevel="0" collapsed="false">
      <c r="A880" s="22"/>
      <c r="B880" s="23"/>
      <c r="C880" s="24"/>
      <c r="D880" s="24"/>
      <c r="E880" s="24"/>
      <c r="F880" s="24"/>
      <c r="G880" s="25"/>
      <c r="H880" s="25"/>
      <c r="I880" s="24"/>
      <c r="J880" s="24"/>
      <c r="K880" s="25"/>
      <c r="L880" s="25"/>
      <c r="M880" s="26" t="str">
        <f aca="false">IF(G880="","",G880-N(H880))</f>
        <v/>
      </c>
      <c r="N880" s="26" t="str">
        <f aca="false">IF(G880="","",G880-N(K880)-N(L880))</f>
        <v/>
      </c>
      <c r="O880" s="27" t="str">
        <f aca="false">IF(G880="","",IF(N(H880)&gt;=G880,"Pago",IF(N(H880)&gt;0,"Parcial","Pendente")))</f>
        <v/>
      </c>
      <c r="P880" s="24"/>
    </row>
    <row r="881" customFormat="false" ht="15" hidden="false" customHeight="false" outlineLevel="0" collapsed="false">
      <c r="A881" s="22"/>
      <c r="B881" s="23"/>
      <c r="C881" s="24"/>
      <c r="D881" s="24"/>
      <c r="E881" s="24"/>
      <c r="F881" s="24"/>
      <c r="G881" s="25"/>
      <c r="H881" s="25"/>
      <c r="I881" s="24"/>
      <c r="J881" s="24"/>
      <c r="K881" s="25"/>
      <c r="L881" s="25"/>
      <c r="M881" s="26" t="str">
        <f aca="false">IF(G881="","",G881-N(H881))</f>
        <v/>
      </c>
      <c r="N881" s="26" t="str">
        <f aca="false">IF(G881="","",G881-N(K881)-N(L881))</f>
        <v/>
      </c>
      <c r="O881" s="27" t="str">
        <f aca="false">IF(G881="","",IF(N(H881)&gt;=G881,"Pago",IF(N(H881)&gt;0,"Parcial","Pendente")))</f>
        <v/>
      </c>
      <c r="P881" s="24"/>
    </row>
    <row r="882" customFormat="false" ht="15" hidden="false" customHeight="false" outlineLevel="0" collapsed="false">
      <c r="A882" s="22"/>
      <c r="B882" s="23"/>
      <c r="C882" s="24"/>
      <c r="D882" s="24"/>
      <c r="E882" s="24"/>
      <c r="F882" s="24"/>
      <c r="G882" s="25"/>
      <c r="H882" s="25"/>
      <c r="I882" s="24"/>
      <c r="J882" s="24"/>
      <c r="K882" s="25"/>
      <c r="L882" s="25"/>
      <c r="M882" s="26" t="str">
        <f aca="false">IF(G882="","",G882-N(H882))</f>
        <v/>
      </c>
      <c r="N882" s="26" t="str">
        <f aca="false">IF(G882="","",G882-N(K882)-N(L882))</f>
        <v/>
      </c>
      <c r="O882" s="27" t="str">
        <f aca="false">IF(G882="","",IF(N(H882)&gt;=G882,"Pago",IF(N(H882)&gt;0,"Parcial","Pendente")))</f>
        <v/>
      </c>
      <c r="P882" s="24"/>
    </row>
    <row r="883" customFormat="false" ht="15" hidden="false" customHeight="false" outlineLevel="0" collapsed="false">
      <c r="A883" s="22"/>
      <c r="B883" s="23"/>
      <c r="C883" s="24"/>
      <c r="D883" s="24"/>
      <c r="E883" s="24"/>
      <c r="F883" s="24"/>
      <c r="G883" s="25"/>
      <c r="H883" s="25"/>
      <c r="I883" s="24"/>
      <c r="J883" s="24"/>
      <c r="K883" s="25"/>
      <c r="L883" s="25"/>
      <c r="M883" s="26" t="str">
        <f aca="false">IF(G883="","",G883-N(H883))</f>
        <v/>
      </c>
      <c r="N883" s="26" t="str">
        <f aca="false">IF(G883="","",G883-N(K883)-N(L883))</f>
        <v/>
      </c>
      <c r="O883" s="27" t="str">
        <f aca="false">IF(G883="","",IF(N(H883)&gt;=G883,"Pago",IF(N(H883)&gt;0,"Parcial","Pendente")))</f>
        <v/>
      </c>
      <c r="P883" s="24"/>
    </row>
    <row r="884" customFormat="false" ht="15" hidden="false" customHeight="false" outlineLevel="0" collapsed="false">
      <c r="A884" s="22"/>
      <c r="B884" s="23"/>
      <c r="C884" s="24"/>
      <c r="D884" s="24"/>
      <c r="E884" s="24"/>
      <c r="F884" s="24"/>
      <c r="G884" s="25"/>
      <c r="H884" s="25"/>
      <c r="I884" s="24"/>
      <c r="J884" s="24"/>
      <c r="K884" s="25"/>
      <c r="L884" s="25"/>
      <c r="M884" s="26" t="str">
        <f aca="false">IF(G884="","",G884-N(H884))</f>
        <v/>
      </c>
      <c r="N884" s="26" t="str">
        <f aca="false">IF(G884="","",G884-N(K884)-N(L884))</f>
        <v/>
      </c>
      <c r="O884" s="27" t="str">
        <f aca="false">IF(G884="","",IF(N(H884)&gt;=G884,"Pago",IF(N(H884)&gt;0,"Parcial","Pendente")))</f>
        <v/>
      </c>
      <c r="P884" s="24"/>
    </row>
    <row r="885" customFormat="false" ht="15" hidden="false" customHeight="false" outlineLevel="0" collapsed="false">
      <c r="A885" s="22"/>
      <c r="B885" s="23"/>
      <c r="C885" s="24"/>
      <c r="D885" s="24"/>
      <c r="E885" s="24"/>
      <c r="F885" s="24"/>
      <c r="G885" s="25"/>
      <c r="H885" s="25"/>
      <c r="I885" s="24"/>
      <c r="J885" s="24"/>
      <c r="K885" s="25"/>
      <c r="L885" s="25"/>
      <c r="M885" s="26" t="str">
        <f aca="false">IF(G885="","",G885-N(H885))</f>
        <v/>
      </c>
      <c r="N885" s="26" t="str">
        <f aca="false">IF(G885="","",G885-N(K885)-N(L885))</f>
        <v/>
      </c>
      <c r="O885" s="27" t="str">
        <f aca="false">IF(G885="","",IF(N(H885)&gt;=G885,"Pago",IF(N(H885)&gt;0,"Parcial","Pendente")))</f>
        <v/>
      </c>
      <c r="P885" s="24"/>
    </row>
    <row r="886" customFormat="false" ht="15" hidden="false" customHeight="false" outlineLevel="0" collapsed="false">
      <c r="A886" s="22"/>
      <c r="B886" s="23"/>
      <c r="C886" s="24"/>
      <c r="D886" s="24"/>
      <c r="E886" s="24"/>
      <c r="F886" s="24"/>
      <c r="G886" s="25"/>
      <c r="H886" s="25"/>
      <c r="I886" s="24"/>
      <c r="J886" s="24"/>
      <c r="K886" s="25"/>
      <c r="L886" s="25"/>
      <c r="M886" s="26" t="str">
        <f aca="false">IF(G886="","",G886-N(H886))</f>
        <v/>
      </c>
      <c r="N886" s="26" t="str">
        <f aca="false">IF(G886="","",G886-N(K886)-N(L886))</f>
        <v/>
      </c>
      <c r="O886" s="27" t="str">
        <f aca="false">IF(G886="","",IF(N(H886)&gt;=G886,"Pago",IF(N(H886)&gt;0,"Parcial","Pendente")))</f>
        <v/>
      </c>
      <c r="P886" s="24"/>
    </row>
    <row r="887" customFormat="false" ht="15" hidden="false" customHeight="false" outlineLevel="0" collapsed="false">
      <c r="A887" s="22"/>
      <c r="B887" s="23"/>
      <c r="C887" s="24"/>
      <c r="D887" s="24"/>
      <c r="E887" s="24"/>
      <c r="F887" s="24"/>
      <c r="G887" s="25"/>
      <c r="H887" s="25"/>
      <c r="I887" s="24"/>
      <c r="J887" s="24"/>
      <c r="K887" s="25"/>
      <c r="L887" s="25"/>
      <c r="M887" s="26" t="str">
        <f aca="false">IF(G887="","",G887-N(H887))</f>
        <v/>
      </c>
      <c r="N887" s="26" t="str">
        <f aca="false">IF(G887="","",G887-N(K887)-N(L887))</f>
        <v/>
      </c>
      <c r="O887" s="27" t="str">
        <f aca="false">IF(G887="","",IF(N(H887)&gt;=G887,"Pago",IF(N(H887)&gt;0,"Parcial","Pendente")))</f>
        <v/>
      </c>
      <c r="P887" s="24"/>
    </row>
    <row r="888" customFormat="false" ht="15" hidden="false" customHeight="false" outlineLevel="0" collapsed="false">
      <c r="A888" s="22"/>
      <c r="B888" s="23"/>
      <c r="C888" s="24"/>
      <c r="D888" s="24"/>
      <c r="E888" s="24"/>
      <c r="F888" s="24"/>
      <c r="G888" s="25"/>
      <c r="H888" s="25"/>
      <c r="I888" s="24"/>
      <c r="J888" s="24"/>
      <c r="K888" s="25"/>
      <c r="L888" s="25"/>
      <c r="M888" s="26" t="str">
        <f aca="false">IF(G888="","",G888-N(H888))</f>
        <v/>
      </c>
      <c r="N888" s="26" t="str">
        <f aca="false">IF(G888="","",G888-N(K888)-N(L888))</f>
        <v/>
      </c>
      <c r="O888" s="27" t="str">
        <f aca="false">IF(G888="","",IF(N(H888)&gt;=G888,"Pago",IF(N(H888)&gt;0,"Parcial","Pendente")))</f>
        <v/>
      </c>
      <c r="P888" s="24"/>
    </row>
    <row r="889" customFormat="false" ht="15" hidden="false" customHeight="false" outlineLevel="0" collapsed="false">
      <c r="A889" s="22"/>
      <c r="B889" s="23"/>
      <c r="C889" s="24"/>
      <c r="D889" s="24"/>
      <c r="E889" s="24"/>
      <c r="F889" s="24"/>
      <c r="G889" s="25"/>
      <c r="H889" s="25"/>
      <c r="I889" s="24"/>
      <c r="J889" s="24"/>
      <c r="K889" s="25"/>
      <c r="L889" s="25"/>
      <c r="M889" s="26" t="str">
        <f aca="false">IF(G889="","",G889-N(H889))</f>
        <v/>
      </c>
      <c r="N889" s="26" t="str">
        <f aca="false">IF(G889="","",G889-N(K889)-N(L889))</f>
        <v/>
      </c>
      <c r="O889" s="27" t="str">
        <f aca="false">IF(G889="","",IF(N(H889)&gt;=G889,"Pago",IF(N(H889)&gt;0,"Parcial","Pendente")))</f>
        <v/>
      </c>
      <c r="P889" s="24"/>
    </row>
    <row r="890" customFormat="false" ht="15" hidden="false" customHeight="false" outlineLevel="0" collapsed="false">
      <c r="A890" s="22"/>
      <c r="B890" s="23"/>
      <c r="C890" s="24"/>
      <c r="D890" s="24"/>
      <c r="E890" s="24"/>
      <c r="F890" s="24"/>
      <c r="G890" s="25"/>
      <c r="H890" s="25"/>
      <c r="I890" s="24"/>
      <c r="J890" s="24"/>
      <c r="K890" s="25"/>
      <c r="L890" s="25"/>
      <c r="M890" s="26" t="str">
        <f aca="false">IF(G890="","",G890-N(H890))</f>
        <v/>
      </c>
      <c r="N890" s="26" t="str">
        <f aca="false">IF(G890="","",G890-N(K890)-N(L890))</f>
        <v/>
      </c>
      <c r="O890" s="27" t="str">
        <f aca="false">IF(G890="","",IF(N(H890)&gt;=G890,"Pago",IF(N(H890)&gt;0,"Parcial","Pendente")))</f>
        <v/>
      </c>
      <c r="P890" s="24"/>
    </row>
    <row r="891" customFormat="false" ht="15" hidden="false" customHeight="false" outlineLevel="0" collapsed="false">
      <c r="A891" s="22"/>
      <c r="B891" s="23"/>
      <c r="C891" s="24"/>
      <c r="D891" s="24"/>
      <c r="E891" s="24"/>
      <c r="F891" s="24"/>
      <c r="G891" s="25"/>
      <c r="H891" s="25"/>
      <c r="I891" s="24"/>
      <c r="J891" s="24"/>
      <c r="K891" s="25"/>
      <c r="L891" s="25"/>
      <c r="M891" s="26" t="str">
        <f aca="false">IF(G891="","",G891-N(H891))</f>
        <v/>
      </c>
      <c r="N891" s="26" t="str">
        <f aca="false">IF(G891="","",G891-N(K891)-N(L891))</f>
        <v/>
      </c>
      <c r="O891" s="27" t="str">
        <f aca="false">IF(G891="","",IF(N(H891)&gt;=G891,"Pago",IF(N(H891)&gt;0,"Parcial","Pendente")))</f>
        <v/>
      </c>
      <c r="P891" s="24"/>
    </row>
    <row r="892" customFormat="false" ht="15" hidden="false" customHeight="false" outlineLevel="0" collapsed="false">
      <c r="A892" s="22"/>
      <c r="B892" s="23"/>
      <c r="C892" s="24"/>
      <c r="D892" s="24"/>
      <c r="E892" s="24"/>
      <c r="F892" s="24"/>
      <c r="G892" s="25"/>
      <c r="H892" s="25"/>
      <c r="I892" s="24"/>
      <c r="J892" s="24"/>
      <c r="K892" s="25"/>
      <c r="L892" s="25"/>
      <c r="M892" s="26" t="str">
        <f aca="false">IF(G892="","",G892-N(H892))</f>
        <v/>
      </c>
      <c r="N892" s="26" t="str">
        <f aca="false">IF(G892="","",G892-N(K892)-N(L892))</f>
        <v/>
      </c>
      <c r="O892" s="27" t="str">
        <f aca="false">IF(G892="","",IF(N(H892)&gt;=G892,"Pago",IF(N(H892)&gt;0,"Parcial","Pendente")))</f>
        <v/>
      </c>
      <c r="P892" s="24"/>
    </row>
    <row r="893" customFormat="false" ht="15" hidden="false" customHeight="false" outlineLevel="0" collapsed="false">
      <c r="A893" s="22"/>
      <c r="B893" s="23"/>
      <c r="C893" s="24"/>
      <c r="D893" s="24"/>
      <c r="E893" s="24"/>
      <c r="F893" s="24"/>
      <c r="G893" s="25"/>
      <c r="H893" s="25"/>
      <c r="I893" s="24"/>
      <c r="J893" s="24"/>
      <c r="K893" s="25"/>
      <c r="L893" s="25"/>
      <c r="M893" s="26" t="str">
        <f aca="false">IF(G893="","",G893-N(H893))</f>
        <v/>
      </c>
      <c r="N893" s="26" t="str">
        <f aca="false">IF(G893="","",G893-N(K893)-N(L893))</f>
        <v/>
      </c>
      <c r="O893" s="27" t="str">
        <f aca="false">IF(G893="","",IF(N(H893)&gt;=G893,"Pago",IF(N(H893)&gt;0,"Parcial","Pendente")))</f>
        <v/>
      </c>
      <c r="P893" s="24"/>
    </row>
    <row r="894" customFormat="false" ht="15" hidden="false" customHeight="false" outlineLevel="0" collapsed="false">
      <c r="A894" s="22"/>
      <c r="B894" s="23"/>
      <c r="C894" s="24"/>
      <c r="D894" s="24"/>
      <c r="E894" s="24"/>
      <c r="F894" s="24"/>
      <c r="G894" s="25"/>
      <c r="H894" s="25"/>
      <c r="I894" s="24"/>
      <c r="J894" s="24"/>
      <c r="K894" s="25"/>
      <c r="L894" s="25"/>
      <c r="M894" s="26" t="str">
        <f aca="false">IF(G894="","",G894-N(H894))</f>
        <v/>
      </c>
      <c r="N894" s="26" t="str">
        <f aca="false">IF(G894="","",G894-N(K894)-N(L894))</f>
        <v/>
      </c>
      <c r="O894" s="27" t="str">
        <f aca="false">IF(G894="","",IF(N(H894)&gt;=G894,"Pago",IF(N(H894)&gt;0,"Parcial","Pendente")))</f>
        <v/>
      </c>
      <c r="P894" s="24"/>
    </row>
    <row r="895" customFormat="false" ht="15" hidden="false" customHeight="false" outlineLevel="0" collapsed="false">
      <c r="A895" s="22"/>
      <c r="B895" s="23"/>
      <c r="C895" s="24"/>
      <c r="D895" s="24"/>
      <c r="E895" s="24"/>
      <c r="F895" s="24"/>
      <c r="G895" s="25"/>
      <c r="H895" s="25"/>
      <c r="I895" s="24"/>
      <c r="J895" s="24"/>
      <c r="K895" s="25"/>
      <c r="L895" s="25"/>
      <c r="M895" s="26" t="str">
        <f aca="false">IF(G895="","",G895-N(H895))</f>
        <v/>
      </c>
      <c r="N895" s="26" t="str">
        <f aca="false">IF(G895="","",G895-N(K895)-N(L895))</f>
        <v/>
      </c>
      <c r="O895" s="27" t="str">
        <f aca="false">IF(G895="","",IF(N(H895)&gt;=G895,"Pago",IF(N(H895)&gt;0,"Parcial","Pendente")))</f>
        <v/>
      </c>
      <c r="P895" s="24"/>
    </row>
    <row r="896" customFormat="false" ht="15" hidden="false" customHeight="false" outlineLevel="0" collapsed="false">
      <c r="A896" s="22"/>
      <c r="B896" s="23"/>
      <c r="C896" s="24"/>
      <c r="D896" s="24"/>
      <c r="E896" s="24"/>
      <c r="F896" s="24"/>
      <c r="G896" s="25"/>
      <c r="H896" s="25"/>
      <c r="I896" s="24"/>
      <c r="J896" s="24"/>
      <c r="K896" s="25"/>
      <c r="L896" s="25"/>
      <c r="M896" s="26" t="str">
        <f aca="false">IF(G896="","",G896-N(H896))</f>
        <v/>
      </c>
      <c r="N896" s="26" t="str">
        <f aca="false">IF(G896="","",G896-N(K896)-N(L896))</f>
        <v/>
      </c>
      <c r="O896" s="27" t="str">
        <f aca="false">IF(G896="","",IF(N(H896)&gt;=G896,"Pago",IF(N(H896)&gt;0,"Parcial","Pendente")))</f>
        <v/>
      </c>
      <c r="P896" s="24"/>
    </row>
    <row r="897" customFormat="false" ht="15" hidden="false" customHeight="false" outlineLevel="0" collapsed="false">
      <c r="A897" s="22"/>
      <c r="B897" s="23"/>
      <c r="C897" s="24"/>
      <c r="D897" s="24"/>
      <c r="E897" s="24"/>
      <c r="F897" s="24"/>
      <c r="G897" s="25"/>
      <c r="H897" s="25"/>
      <c r="I897" s="24"/>
      <c r="J897" s="24"/>
      <c r="K897" s="25"/>
      <c r="L897" s="25"/>
      <c r="M897" s="26" t="str">
        <f aca="false">IF(G897="","",G897-N(H897))</f>
        <v/>
      </c>
      <c r="N897" s="26" t="str">
        <f aca="false">IF(G897="","",G897-N(K897)-N(L897))</f>
        <v/>
      </c>
      <c r="O897" s="27" t="str">
        <f aca="false">IF(G897="","",IF(N(H897)&gt;=G897,"Pago",IF(N(H897)&gt;0,"Parcial","Pendente")))</f>
        <v/>
      </c>
      <c r="P897" s="24"/>
    </row>
    <row r="898" customFormat="false" ht="15" hidden="false" customHeight="false" outlineLevel="0" collapsed="false">
      <c r="A898" s="22"/>
      <c r="B898" s="23"/>
      <c r="C898" s="24"/>
      <c r="D898" s="24"/>
      <c r="E898" s="24"/>
      <c r="F898" s="24"/>
      <c r="G898" s="25"/>
      <c r="H898" s="25"/>
      <c r="I898" s="24"/>
      <c r="J898" s="24"/>
      <c r="K898" s="25"/>
      <c r="L898" s="25"/>
      <c r="M898" s="26" t="str">
        <f aca="false">IF(G898="","",G898-N(H898))</f>
        <v/>
      </c>
      <c r="N898" s="26" t="str">
        <f aca="false">IF(G898="","",G898-N(K898)-N(L898))</f>
        <v/>
      </c>
      <c r="O898" s="27" t="str">
        <f aca="false">IF(G898="","",IF(N(H898)&gt;=G898,"Pago",IF(N(H898)&gt;0,"Parcial","Pendente")))</f>
        <v/>
      </c>
      <c r="P898" s="24"/>
    </row>
    <row r="899" customFormat="false" ht="15" hidden="false" customHeight="false" outlineLevel="0" collapsed="false">
      <c r="A899" s="22"/>
      <c r="B899" s="23"/>
      <c r="C899" s="24"/>
      <c r="D899" s="24"/>
      <c r="E899" s="24"/>
      <c r="F899" s="24"/>
      <c r="G899" s="25"/>
      <c r="H899" s="25"/>
      <c r="I899" s="24"/>
      <c r="J899" s="24"/>
      <c r="K899" s="25"/>
      <c r="L899" s="25"/>
      <c r="M899" s="26" t="str">
        <f aca="false">IF(G899="","",G899-N(H899))</f>
        <v/>
      </c>
      <c r="N899" s="26" t="str">
        <f aca="false">IF(G899="","",G899-N(K899)-N(L899))</f>
        <v/>
      </c>
      <c r="O899" s="27" t="str">
        <f aca="false">IF(G899="","",IF(N(H899)&gt;=G899,"Pago",IF(N(H899)&gt;0,"Parcial","Pendente")))</f>
        <v/>
      </c>
      <c r="P899" s="24"/>
    </row>
    <row r="900" customFormat="false" ht="15" hidden="false" customHeight="false" outlineLevel="0" collapsed="false">
      <c r="A900" s="22"/>
      <c r="B900" s="23"/>
      <c r="C900" s="24"/>
      <c r="D900" s="24"/>
      <c r="E900" s="24"/>
      <c r="F900" s="24"/>
      <c r="G900" s="25"/>
      <c r="H900" s="25"/>
      <c r="I900" s="24"/>
      <c r="J900" s="24"/>
      <c r="K900" s="25"/>
      <c r="L900" s="25"/>
      <c r="M900" s="26" t="str">
        <f aca="false">IF(G900="","",G900-N(H900))</f>
        <v/>
      </c>
      <c r="N900" s="26" t="str">
        <f aca="false">IF(G900="","",G900-N(K900)-N(L900))</f>
        <v/>
      </c>
      <c r="O900" s="27" t="str">
        <f aca="false">IF(G900="","",IF(N(H900)&gt;=G900,"Pago",IF(N(H900)&gt;0,"Parcial","Pendente")))</f>
        <v/>
      </c>
      <c r="P900" s="24"/>
    </row>
    <row r="901" customFormat="false" ht="15" hidden="false" customHeight="false" outlineLevel="0" collapsed="false">
      <c r="A901" s="22"/>
      <c r="B901" s="23"/>
      <c r="C901" s="24"/>
      <c r="D901" s="24"/>
      <c r="E901" s="24"/>
      <c r="F901" s="24"/>
      <c r="G901" s="25"/>
      <c r="H901" s="25"/>
      <c r="I901" s="24"/>
      <c r="J901" s="24"/>
      <c r="K901" s="25"/>
      <c r="L901" s="25"/>
      <c r="M901" s="26" t="str">
        <f aca="false">IF(G901="","",G901-N(H901))</f>
        <v/>
      </c>
      <c r="N901" s="26" t="str">
        <f aca="false">IF(G901="","",G901-N(K901)-N(L901))</f>
        <v/>
      </c>
      <c r="O901" s="27" t="str">
        <f aca="false">IF(G901="","",IF(N(H901)&gt;=G901,"Pago",IF(N(H901)&gt;0,"Parcial","Pendente")))</f>
        <v/>
      </c>
      <c r="P901" s="24"/>
    </row>
    <row r="902" customFormat="false" ht="15" hidden="false" customHeight="false" outlineLevel="0" collapsed="false">
      <c r="A902" s="22"/>
      <c r="B902" s="23"/>
      <c r="C902" s="24"/>
      <c r="D902" s="24"/>
      <c r="E902" s="24"/>
      <c r="F902" s="24"/>
      <c r="G902" s="25"/>
      <c r="H902" s="25"/>
      <c r="I902" s="24"/>
      <c r="J902" s="24"/>
      <c r="K902" s="25"/>
      <c r="L902" s="25"/>
      <c r="M902" s="26" t="str">
        <f aca="false">IF(G902="","",G902-N(H902))</f>
        <v/>
      </c>
      <c r="N902" s="26" t="str">
        <f aca="false">IF(G902="","",G902-N(K902)-N(L902))</f>
        <v/>
      </c>
      <c r="O902" s="27" t="str">
        <f aca="false">IF(G902="","",IF(N(H902)&gt;=G902,"Pago",IF(N(H902)&gt;0,"Parcial","Pendente")))</f>
        <v/>
      </c>
      <c r="P902" s="24"/>
    </row>
    <row r="903" customFormat="false" ht="15" hidden="false" customHeight="false" outlineLevel="0" collapsed="false">
      <c r="A903" s="22"/>
      <c r="B903" s="23"/>
      <c r="C903" s="24"/>
      <c r="D903" s="24"/>
      <c r="E903" s="24"/>
      <c r="F903" s="24"/>
      <c r="G903" s="25"/>
      <c r="H903" s="25"/>
      <c r="I903" s="24"/>
      <c r="J903" s="24"/>
      <c r="K903" s="25"/>
      <c r="L903" s="25"/>
      <c r="M903" s="26" t="str">
        <f aca="false">IF(G903="","",G903-N(H903))</f>
        <v/>
      </c>
      <c r="N903" s="26" t="str">
        <f aca="false">IF(G903="","",G903-N(K903)-N(L903))</f>
        <v/>
      </c>
      <c r="O903" s="27" t="str">
        <f aca="false">IF(G903="","",IF(N(H903)&gt;=G903,"Pago",IF(N(H903)&gt;0,"Parcial","Pendente")))</f>
        <v/>
      </c>
      <c r="P903" s="24"/>
    </row>
    <row r="904" customFormat="false" ht="15" hidden="false" customHeight="false" outlineLevel="0" collapsed="false">
      <c r="A904" s="22"/>
      <c r="B904" s="23"/>
      <c r="C904" s="24"/>
      <c r="D904" s="24"/>
      <c r="E904" s="24"/>
      <c r="F904" s="24"/>
      <c r="G904" s="25"/>
      <c r="H904" s="25"/>
      <c r="I904" s="24"/>
      <c r="J904" s="24"/>
      <c r="K904" s="25"/>
      <c r="L904" s="25"/>
      <c r="M904" s="26" t="str">
        <f aca="false">IF(G904="","",G904-N(H904))</f>
        <v/>
      </c>
      <c r="N904" s="26" t="str">
        <f aca="false">IF(G904="","",G904-N(K904)-N(L904))</f>
        <v/>
      </c>
      <c r="O904" s="27" t="str">
        <f aca="false">IF(G904="","",IF(N(H904)&gt;=G904,"Pago",IF(N(H904)&gt;0,"Parcial","Pendente")))</f>
        <v/>
      </c>
      <c r="P904" s="24"/>
    </row>
    <row r="905" customFormat="false" ht="15" hidden="false" customHeight="false" outlineLevel="0" collapsed="false">
      <c r="A905" s="22"/>
      <c r="B905" s="23"/>
      <c r="C905" s="24"/>
      <c r="D905" s="24"/>
      <c r="E905" s="24"/>
      <c r="F905" s="24"/>
      <c r="G905" s="25"/>
      <c r="H905" s="25"/>
      <c r="I905" s="24"/>
      <c r="J905" s="24"/>
      <c r="K905" s="25"/>
      <c r="L905" s="25"/>
      <c r="M905" s="26" t="str">
        <f aca="false">IF(G905="","",G905-N(H905))</f>
        <v/>
      </c>
      <c r="N905" s="26" t="str">
        <f aca="false">IF(G905="","",G905-N(K905)-N(L905))</f>
        <v/>
      </c>
      <c r="O905" s="27" t="str">
        <f aca="false">IF(G905="","",IF(N(H905)&gt;=G905,"Pago",IF(N(H905)&gt;0,"Parcial","Pendente")))</f>
        <v/>
      </c>
      <c r="P905" s="24"/>
    </row>
    <row r="906" customFormat="false" ht="15" hidden="false" customHeight="false" outlineLevel="0" collapsed="false">
      <c r="A906" s="22"/>
      <c r="B906" s="23"/>
      <c r="C906" s="24"/>
      <c r="D906" s="24"/>
      <c r="E906" s="24"/>
      <c r="F906" s="24"/>
      <c r="G906" s="25"/>
      <c r="H906" s="25"/>
      <c r="I906" s="24"/>
      <c r="J906" s="24"/>
      <c r="K906" s="25"/>
      <c r="L906" s="25"/>
      <c r="M906" s="26" t="str">
        <f aca="false">IF(G906="","",G906-N(H906))</f>
        <v/>
      </c>
      <c r="N906" s="26" t="str">
        <f aca="false">IF(G906="","",G906-N(K906)-N(L906))</f>
        <v/>
      </c>
      <c r="O906" s="27" t="str">
        <f aca="false">IF(G906="","",IF(N(H906)&gt;=G906,"Pago",IF(N(H906)&gt;0,"Parcial","Pendente")))</f>
        <v/>
      </c>
      <c r="P906" s="24"/>
    </row>
    <row r="907" customFormat="false" ht="15" hidden="false" customHeight="false" outlineLevel="0" collapsed="false">
      <c r="A907" s="22"/>
      <c r="B907" s="23"/>
      <c r="C907" s="24"/>
      <c r="D907" s="24"/>
      <c r="E907" s="24"/>
      <c r="F907" s="24"/>
      <c r="G907" s="25"/>
      <c r="H907" s="25"/>
      <c r="I907" s="24"/>
      <c r="J907" s="24"/>
      <c r="K907" s="25"/>
      <c r="L907" s="25"/>
      <c r="M907" s="26" t="str">
        <f aca="false">IF(G907="","",G907-N(H907))</f>
        <v/>
      </c>
      <c r="N907" s="26" t="str">
        <f aca="false">IF(G907="","",G907-N(K907)-N(L907))</f>
        <v/>
      </c>
      <c r="O907" s="27" t="str">
        <f aca="false">IF(G907="","",IF(N(H907)&gt;=G907,"Pago",IF(N(H907)&gt;0,"Parcial","Pendente")))</f>
        <v/>
      </c>
      <c r="P907" s="24"/>
    </row>
    <row r="908" customFormat="false" ht="15" hidden="false" customHeight="false" outlineLevel="0" collapsed="false">
      <c r="A908" s="22"/>
      <c r="B908" s="23"/>
      <c r="C908" s="24"/>
      <c r="D908" s="24"/>
      <c r="E908" s="24"/>
      <c r="F908" s="24"/>
      <c r="G908" s="25"/>
      <c r="H908" s="25"/>
      <c r="I908" s="24"/>
      <c r="J908" s="24"/>
      <c r="K908" s="25"/>
      <c r="L908" s="25"/>
      <c r="M908" s="26" t="str">
        <f aca="false">IF(G908="","",G908-N(H908))</f>
        <v/>
      </c>
      <c r="N908" s="26" t="str">
        <f aca="false">IF(G908="","",G908-N(K908)-N(L908))</f>
        <v/>
      </c>
      <c r="O908" s="27" t="str">
        <f aca="false">IF(G908="","",IF(N(H908)&gt;=G908,"Pago",IF(N(H908)&gt;0,"Parcial","Pendente")))</f>
        <v/>
      </c>
      <c r="P908" s="24"/>
    </row>
    <row r="909" customFormat="false" ht="15" hidden="false" customHeight="false" outlineLevel="0" collapsed="false">
      <c r="A909" s="22"/>
      <c r="B909" s="23"/>
      <c r="C909" s="24"/>
      <c r="D909" s="24"/>
      <c r="E909" s="24"/>
      <c r="F909" s="24"/>
      <c r="G909" s="25"/>
      <c r="H909" s="25"/>
      <c r="I909" s="24"/>
      <c r="J909" s="24"/>
      <c r="K909" s="25"/>
      <c r="L909" s="25"/>
      <c r="M909" s="26" t="str">
        <f aca="false">IF(G909="","",G909-N(H909))</f>
        <v/>
      </c>
      <c r="N909" s="26" t="str">
        <f aca="false">IF(G909="","",G909-N(K909)-N(L909))</f>
        <v/>
      </c>
      <c r="O909" s="27" t="str">
        <f aca="false">IF(G909="","",IF(N(H909)&gt;=G909,"Pago",IF(N(H909)&gt;0,"Parcial","Pendente")))</f>
        <v/>
      </c>
      <c r="P909" s="24"/>
    </row>
    <row r="910" customFormat="false" ht="15" hidden="false" customHeight="false" outlineLevel="0" collapsed="false">
      <c r="A910" s="22"/>
      <c r="B910" s="23"/>
      <c r="C910" s="24"/>
      <c r="D910" s="24"/>
      <c r="E910" s="24"/>
      <c r="F910" s="24"/>
      <c r="G910" s="25"/>
      <c r="H910" s="25"/>
      <c r="I910" s="24"/>
      <c r="J910" s="24"/>
      <c r="K910" s="25"/>
      <c r="L910" s="25"/>
      <c r="M910" s="26" t="str">
        <f aca="false">IF(G910="","",G910-N(H910))</f>
        <v/>
      </c>
      <c r="N910" s="26" t="str">
        <f aca="false">IF(G910="","",G910-N(K910)-N(L910))</f>
        <v/>
      </c>
      <c r="O910" s="27" t="str">
        <f aca="false">IF(G910="","",IF(N(H910)&gt;=G910,"Pago",IF(N(H910)&gt;0,"Parcial","Pendente")))</f>
        <v/>
      </c>
      <c r="P910" s="24"/>
    </row>
    <row r="911" customFormat="false" ht="15" hidden="false" customHeight="false" outlineLevel="0" collapsed="false">
      <c r="A911" s="22"/>
      <c r="B911" s="23"/>
      <c r="C911" s="24"/>
      <c r="D911" s="24"/>
      <c r="E911" s="24"/>
      <c r="F911" s="24"/>
      <c r="G911" s="25"/>
      <c r="H911" s="25"/>
      <c r="I911" s="24"/>
      <c r="J911" s="24"/>
      <c r="K911" s="25"/>
      <c r="L911" s="25"/>
      <c r="M911" s="26" t="str">
        <f aca="false">IF(G911="","",G911-N(H911))</f>
        <v/>
      </c>
      <c r="N911" s="26" t="str">
        <f aca="false">IF(G911="","",G911-N(K911)-N(L911))</f>
        <v/>
      </c>
      <c r="O911" s="27" t="str">
        <f aca="false">IF(G911="","",IF(N(H911)&gt;=G911,"Pago",IF(N(H911)&gt;0,"Parcial","Pendente")))</f>
        <v/>
      </c>
      <c r="P911" s="24"/>
    </row>
    <row r="912" customFormat="false" ht="15" hidden="false" customHeight="false" outlineLevel="0" collapsed="false">
      <c r="A912" s="22"/>
      <c r="B912" s="23"/>
      <c r="C912" s="24"/>
      <c r="D912" s="24"/>
      <c r="E912" s="24"/>
      <c r="F912" s="24"/>
      <c r="G912" s="25"/>
      <c r="H912" s="25"/>
      <c r="I912" s="24"/>
      <c r="J912" s="24"/>
      <c r="K912" s="25"/>
      <c r="L912" s="25"/>
      <c r="M912" s="26" t="str">
        <f aca="false">IF(G912="","",G912-N(H912))</f>
        <v/>
      </c>
      <c r="N912" s="26" t="str">
        <f aca="false">IF(G912="","",G912-N(K912)-N(L912))</f>
        <v/>
      </c>
      <c r="O912" s="27" t="str">
        <f aca="false">IF(G912="","",IF(N(H912)&gt;=G912,"Pago",IF(N(H912)&gt;0,"Parcial","Pendente")))</f>
        <v/>
      </c>
      <c r="P912" s="24"/>
    </row>
    <row r="913" customFormat="false" ht="15" hidden="false" customHeight="false" outlineLevel="0" collapsed="false">
      <c r="A913" s="22"/>
      <c r="B913" s="23"/>
      <c r="C913" s="24"/>
      <c r="D913" s="24"/>
      <c r="E913" s="24"/>
      <c r="F913" s="24"/>
      <c r="G913" s="25"/>
      <c r="H913" s="25"/>
      <c r="I913" s="24"/>
      <c r="J913" s="24"/>
      <c r="K913" s="25"/>
      <c r="L913" s="25"/>
      <c r="M913" s="26" t="str">
        <f aca="false">IF(G913="","",G913-N(H913))</f>
        <v/>
      </c>
      <c r="N913" s="26" t="str">
        <f aca="false">IF(G913="","",G913-N(K913)-N(L913))</f>
        <v/>
      </c>
      <c r="O913" s="27" t="str">
        <f aca="false">IF(G913="","",IF(N(H913)&gt;=G913,"Pago",IF(N(H913)&gt;0,"Parcial","Pendente")))</f>
        <v/>
      </c>
      <c r="P913" s="24"/>
    </row>
    <row r="914" customFormat="false" ht="15" hidden="false" customHeight="false" outlineLevel="0" collapsed="false">
      <c r="A914" s="22"/>
      <c r="B914" s="23"/>
      <c r="C914" s="24"/>
      <c r="D914" s="24"/>
      <c r="E914" s="24"/>
      <c r="F914" s="24"/>
      <c r="G914" s="25"/>
      <c r="H914" s="25"/>
      <c r="I914" s="24"/>
      <c r="J914" s="24"/>
      <c r="K914" s="25"/>
      <c r="L914" s="25"/>
      <c r="M914" s="26" t="str">
        <f aca="false">IF(G914="","",G914-N(H914))</f>
        <v/>
      </c>
      <c r="N914" s="26" t="str">
        <f aca="false">IF(G914="","",G914-N(K914)-N(L914))</f>
        <v/>
      </c>
      <c r="O914" s="27" t="str">
        <f aca="false">IF(G914="","",IF(N(H914)&gt;=G914,"Pago",IF(N(H914)&gt;0,"Parcial","Pendente")))</f>
        <v/>
      </c>
      <c r="P914" s="24"/>
    </row>
    <row r="915" customFormat="false" ht="15" hidden="false" customHeight="false" outlineLevel="0" collapsed="false">
      <c r="A915" s="22"/>
      <c r="B915" s="23"/>
      <c r="C915" s="24"/>
      <c r="D915" s="24"/>
      <c r="E915" s="24"/>
      <c r="F915" s="24"/>
      <c r="G915" s="25"/>
      <c r="H915" s="25"/>
      <c r="I915" s="24"/>
      <c r="J915" s="24"/>
      <c r="K915" s="25"/>
      <c r="L915" s="25"/>
      <c r="M915" s="26" t="str">
        <f aca="false">IF(G915="","",G915-N(H915))</f>
        <v/>
      </c>
      <c r="N915" s="26" t="str">
        <f aca="false">IF(G915="","",G915-N(K915)-N(L915))</f>
        <v/>
      </c>
      <c r="O915" s="27" t="str">
        <f aca="false">IF(G915="","",IF(N(H915)&gt;=G915,"Pago",IF(N(H915)&gt;0,"Parcial","Pendente")))</f>
        <v/>
      </c>
      <c r="P915" s="24"/>
    </row>
    <row r="916" customFormat="false" ht="15" hidden="false" customHeight="false" outlineLevel="0" collapsed="false">
      <c r="A916" s="22"/>
      <c r="B916" s="23"/>
      <c r="C916" s="24"/>
      <c r="D916" s="24"/>
      <c r="E916" s="24"/>
      <c r="F916" s="24"/>
      <c r="G916" s="25"/>
      <c r="H916" s="25"/>
      <c r="I916" s="24"/>
      <c r="J916" s="24"/>
      <c r="K916" s="25"/>
      <c r="L916" s="25"/>
      <c r="M916" s="26" t="str">
        <f aca="false">IF(G916="","",G916-N(H916))</f>
        <v/>
      </c>
      <c r="N916" s="26" t="str">
        <f aca="false">IF(G916="","",G916-N(K916)-N(L916))</f>
        <v/>
      </c>
      <c r="O916" s="27" t="str">
        <f aca="false">IF(G916="","",IF(N(H916)&gt;=G916,"Pago",IF(N(H916)&gt;0,"Parcial","Pendente")))</f>
        <v/>
      </c>
      <c r="P916" s="24"/>
    </row>
    <row r="917" customFormat="false" ht="15" hidden="false" customHeight="false" outlineLevel="0" collapsed="false">
      <c r="A917" s="22"/>
      <c r="B917" s="23"/>
      <c r="C917" s="24"/>
      <c r="D917" s="24"/>
      <c r="E917" s="24"/>
      <c r="F917" s="24"/>
      <c r="G917" s="25"/>
      <c r="H917" s="25"/>
      <c r="I917" s="24"/>
      <c r="J917" s="24"/>
      <c r="K917" s="25"/>
      <c r="L917" s="25"/>
      <c r="M917" s="26" t="str">
        <f aca="false">IF(G917="","",G917-N(H917))</f>
        <v/>
      </c>
      <c r="N917" s="26" t="str">
        <f aca="false">IF(G917="","",G917-N(K917)-N(L917))</f>
        <v/>
      </c>
      <c r="O917" s="27" t="str">
        <f aca="false">IF(G917="","",IF(N(H917)&gt;=G917,"Pago",IF(N(H917)&gt;0,"Parcial","Pendente")))</f>
        <v/>
      </c>
      <c r="P917" s="24"/>
    </row>
    <row r="918" customFormat="false" ht="15" hidden="false" customHeight="false" outlineLevel="0" collapsed="false">
      <c r="A918" s="22"/>
      <c r="B918" s="23"/>
      <c r="C918" s="24"/>
      <c r="D918" s="24"/>
      <c r="E918" s="24"/>
      <c r="F918" s="24"/>
      <c r="G918" s="25"/>
      <c r="H918" s="25"/>
      <c r="I918" s="24"/>
      <c r="J918" s="24"/>
      <c r="K918" s="25"/>
      <c r="L918" s="25"/>
      <c r="M918" s="26" t="str">
        <f aca="false">IF(G918="","",G918-N(H918))</f>
        <v/>
      </c>
      <c r="N918" s="26" t="str">
        <f aca="false">IF(G918="","",G918-N(K918)-N(L918))</f>
        <v/>
      </c>
      <c r="O918" s="27" t="str">
        <f aca="false">IF(G918="","",IF(N(H918)&gt;=G918,"Pago",IF(N(H918)&gt;0,"Parcial","Pendente")))</f>
        <v/>
      </c>
      <c r="P918" s="24"/>
    </row>
    <row r="919" customFormat="false" ht="15" hidden="false" customHeight="false" outlineLevel="0" collapsed="false">
      <c r="A919" s="22"/>
      <c r="B919" s="23"/>
      <c r="C919" s="24"/>
      <c r="D919" s="24"/>
      <c r="E919" s="24"/>
      <c r="F919" s="24"/>
      <c r="G919" s="25"/>
      <c r="H919" s="25"/>
      <c r="I919" s="24"/>
      <c r="J919" s="24"/>
      <c r="K919" s="25"/>
      <c r="L919" s="25"/>
      <c r="M919" s="26" t="str">
        <f aca="false">IF(G919="","",G919-N(H919))</f>
        <v/>
      </c>
      <c r="N919" s="26" t="str">
        <f aca="false">IF(G919="","",G919-N(K919)-N(L919))</f>
        <v/>
      </c>
      <c r="O919" s="27" t="str">
        <f aca="false">IF(G919="","",IF(N(H919)&gt;=G919,"Pago",IF(N(H919)&gt;0,"Parcial","Pendente")))</f>
        <v/>
      </c>
      <c r="P919" s="24"/>
    </row>
    <row r="920" customFormat="false" ht="15" hidden="false" customHeight="false" outlineLevel="0" collapsed="false">
      <c r="A920" s="22"/>
      <c r="B920" s="23"/>
      <c r="C920" s="24"/>
      <c r="D920" s="24"/>
      <c r="E920" s="24"/>
      <c r="F920" s="24"/>
      <c r="G920" s="25"/>
      <c r="H920" s="25"/>
      <c r="I920" s="24"/>
      <c r="J920" s="24"/>
      <c r="K920" s="25"/>
      <c r="L920" s="25"/>
      <c r="M920" s="26" t="str">
        <f aca="false">IF(G920="","",G920-N(H920))</f>
        <v/>
      </c>
      <c r="N920" s="26" t="str">
        <f aca="false">IF(G920="","",G920-N(K920)-N(L920))</f>
        <v/>
      </c>
      <c r="O920" s="27" t="str">
        <f aca="false">IF(G920="","",IF(N(H920)&gt;=G920,"Pago",IF(N(H920)&gt;0,"Parcial","Pendente")))</f>
        <v/>
      </c>
      <c r="P920" s="24"/>
    </row>
    <row r="921" customFormat="false" ht="15" hidden="false" customHeight="false" outlineLevel="0" collapsed="false">
      <c r="A921" s="22"/>
      <c r="B921" s="23"/>
      <c r="C921" s="24"/>
      <c r="D921" s="24"/>
      <c r="E921" s="24"/>
      <c r="F921" s="24"/>
      <c r="G921" s="25"/>
      <c r="H921" s="25"/>
      <c r="I921" s="24"/>
      <c r="J921" s="24"/>
      <c r="K921" s="25"/>
      <c r="L921" s="25"/>
      <c r="M921" s="26" t="str">
        <f aca="false">IF(G921="","",G921-N(H921))</f>
        <v/>
      </c>
      <c r="N921" s="26" t="str">
        <f aca="false">IF(G921="","",G921-N(K921)-N(L921))</f>
        <v/>
      </c>
      <c r="O921" s="27" t="str">
        <f aca="false">IF(G921="","",IF(N(H921)&gt;=G921,"Pago",IF(N(H921)&gt;0,"Parcial","Pendente")))</f>
        <v/>
      </c>
      <c r="P921" s="24"/>
    </row>
    <row r="922" customFormat="false" ht="15" hidden="false" customHeight="false" outlineLevel="0" collapsed="false">
      <c r="A922" s="22"/>
      <c r="B922" s="23"/>
      <c r="C922" s="24"/>
      <c r="D922" s="24"/>
      <c r="E922" s="24"/>
      <c r="F922" s="24"/>
      <c r="G922" s="25"/>
      <c r="H922" s="25"/>
      <c r="I922" s="24"/>
      <c r="J922" s="24"/>
      <c r="K922" s="25"/>
      <c r="L922" s="25"/>
      <c r="M922" s="26" t="str">
        <f aca="false">IF(G922="","",G922-N(H922))</f>
        <v/>
      </c>
      <c r="N922" s="26" t="str">
        <f aca="false">IF(G922="","",G922-N(K922)-N(L922))</f>
        <v/>
      </c>
      <c r="O922" s="27" t="str">
        <f aca="false">IF(G922="","",IF(N(H922)&gt;=G922,"Pago",IF(N(H922)&gt;0,"Parcial","Pendente")))</f>
        <v/>
      </c>
      <c r="P922" s="24"/>
    </row>
    <row r="923" customFormat="false" ht="15" hidden="false" customHeight="false" outlineLevel="0" collapsed="false">
      <c r="A923" s="22"/>
      <c r="B923" s="23"/>
      <c r="C923" s="24"/>
      <c r="D923" s="24"/>
      <c r="E923" s="24"/>
      <c r="F923" s="24"/>
      <c r="G923" s="25"/>
      <c r="H923" s="25"/>
      <c r="I923" s="24"/>
      <c r="J923" s="24"/>
      <c r="K923" s="25"/>
      <c r="L923" s="25"/>
      <c r="M923" s="26" t="str">
        <f aca="false">IF(G923="","",G923-N(H923))</f>
        <v/>
      </c>
      <c r="N923" s="26" t="str">
        <f aca="false">IF(G923="","",G923-N(K923)-N(L923))</f>
        <v/>
      </c>
      <c r="O923" s="27" t="str">
        <f aca="false">IF(G923="","",IF(N(H923)&gt;=G923,"Pago",IF(N(H923)&gt;0,"Parcial","Pendente")))</f>
        <v/>
      </c>
      <c r="P923" s="24"/>
    </row>
    <row r="924" customFormat="false" ht="15" hidden="false" customHeight="false" outlineLevel="0" collapsed="false">
      <c r="A924" s="22"/>
      <c r="B924" s="23"/>
      <c r="C924" s="24"/>
      <c r="D924" s="24"/>
      <c r="E924" s="24"/>
      <c r="F924" s="24"/>
      <c r="G924" s="25"/>
      <c r="H924" s="25"/>
      <c r="I924" s="24"/>
      <c r="J924" s="24"/>
      <c r="K924" s="25"/>
      <c r="L924" s="25"/>
      <c r="M924" s="26" t="str">
        <f aca="false">IF(G924="","",G924-N(H924))</f>
        <v/>
      </c>
      <c r="N924" s="26" t="str">
        <f aca="false">IF(G924="","",G924-N(K924)-N(L924))</f>
        <v/>
      </c>
      <c r="O924" s="27" t="str">
        <f aca="false">IF(G924="","",IF(N(H924)&gt;=G924,"Pago",IF(N(H924)&gt;0,"Parcial","Pendente")))</f>
        <v/>
      </c>
      <c r="P924" s="24"/>
    </row>
    <row r="925" customFormat="false" ht="15" hidden="false" customHeight="false" outlineLevel="0" collapsed="false">
      <c r="A925" s="22"/>
      <c r="B925" s="23"/>
      <c r="C925" s="24"/>
      <c r="D925" s="24"/>
      <c r="E925" s="24"/>
      <c r="F925" s="24"/>
      <c r="G925" s="25"/>
      <c r="H925" s="25"/>
      <c r="I925" s="24"/>
      <c r="J925" s="24"/>
      <c r="K925" s="25"/>
      <c r="L925" s="25"/>
      <c r="M925" s="26" t="str">
        <f aca="false">IF(G925="","",G925-N(H925))</f>
        <v/>
      </c>
      <c r="N925" s="26" t="str">
        <f aca="false">IF(G925="","",G925-N(K925)-N(L925))</f>
        <v/>
      </c>
      <c r="O925" s="27" t="str">
        <f aca="false">IF(G925="","",IF(N(H925)&gt;=G925,"Pago",IF(N(H925)&gt;0,"Parcial","Pendente")))</f>
        <v/>
      </c>
      <c r="P925" s="24"/>
    </row>
    <row r="926" customFormat="false" ht="15" hidden="false" customHeight="false" outlineLevel="0" collapsed="false">
      <c r="A926" s="22"/>
      <c r="B926" s="23"/>
      <c r="C926" s="24"/>
      <c r="D926" s="24"/>
      <c r="E926" s="24"/>
      <c r="F926" s="24"/>
      <c r="G926" s="25"/>
      <c r="H926" s="25"/>
      <c r="I926" s="24"/>
      <c r="J926" s="24"/>
      <c r="K926" s="25"/>
      <c r="L926" s="25"/>
      <c r="M926" s="26" t="str">
        <f aca="false">IF(G926="","",G926-N(H926))</f>
        <v/>
      </c>
      <c r="N926" s="26" t="str">
        <f aca="false">IF(G926="","",G926-N(K926)-N(L926))</f>
        <v/>
      </c>
      <c r="O926" s="27" t="str">
        <f aca="false">IF(G926="","",IF(N(H926)&gt;=G926,"Pago",IF(N(H926)&gt;0,"Parcial","Pendente")))</f>
        <v/>
      </c>
      <c r="P926" s="24"/>
    </row>
    <row r="927" customFormat="false" ht="15" hidden="false" customHeight="false" outlineLevel="0" collapsed="false">
      <c r="A927" s="22"/>
      <c r="B927" s="23"/>
      <c r="C927" s="24"/>
      <c r="D927" s="24"/>
      <c r="E927" s="24"/>
      <c r="F927" s="24"/>
      <c r="G927" s="25"/>
      <c r="H927" s="25"/>
      <c r="I927" s="24"/>
      <c r="J927" s="24"/>
      <c r="K927" s="25"/>
      <c r="L927" s="25"/>
      <c r="M927" s="26" t="str">
        <f aca="false">IF(G927="","",G927-N(H927))</f>
        <v/>
      </c>
      <c r="N927" s="26" t="str">
        <f aca="false">IF(G927="","",G927-N(K927)-N(L927))</f>
        <v/>
      </c>
      <c r="O927" s="27" t="str">
        <f aca="false">IF(G927="","",IF(N(H927)&gt;=G927,"Pago",IF(N(H927)&gt;0,"Parcial","Pendente")))</f>
        <v/>
      </c>
      <c r="P927" s="24"/>
    </row>
    <row r="928" customFormat="false" ht="15" hidden="false" customHeight="false" outlineLevel="0" collapsed="false">
      <c r="A928" s="22"/>
      <c r="B928" s="23"/>
      <c r="C928" s="24"/>
      <c r="D928" s="24"/>
      <c r="E928" s="24"/>
      <c r="F928" s="24"/>
      <c r="G928" s="25"/>
      <c r="H928" s="25"/>
      <c r="I928" s="24"/>
      <c r="J928" s="24"/>
      <c r="K928" s="25"/>
      <c r="L928" s="25"/>
      <c r="M928" s="26" t="str">
        <f aca="false">IF(G928="","",G928-N(H928))</f>
        <v/>
      </c>
      <c r="N928" s="26" t="str">
        <f aca="false">IF(G928="","",G928-N(K928)-N(L928))</f>
        <v/>
      </c>
      <c r="O928" s="27" t="str">
        <f aca="false">IF(G928="","",IF(N(H928)&gt;=G928,"Pago",IF(N(H928)&gt;0,"Parcial","Pendente")))</f>
        <v/>
      </c>
      <c r="P928" s="24"/>
    </row>
    <row r="929" customFormat="false" ht="15" hidden="false" customHeight="false" outlineLevel="0" collapsed="false">
      <c r="A929" s="22"/>
      <c r="B929" s="23"/>
      <c r="C929" s="24"/>
      <c r="D929" s="24"/>
      <c r="E929" s="24"/>
      <c r="F929" s="24"/>
      <c r="G929" s="25"/>
      <c r="H929" s="25"/>
      <c r="I929" s="24"/>
      <c r="J929" s="24"/>
      <c r="K929" s="25"/>
      <c r="L929" s="25"/>
      <c r="M929" s="26" t="str">
        <f aca="false">IF(G929="","",G929-N(H929))</f>
        <v/>
      </c>
      <c r="N929" s="26" t="str">
        <f aca="false">IF(G929="","",G929-N(K929)-N(L929))</f>
        <v/>
      </c>
      <c r="O929" s="27" t="str">
        <f aca="false">IF(G929="","",IF(N(H929)&gt;=G929,"Pago",IF(N(H929)&gt;0,"Parcial","Pendente")))</f>
        <v/>
      </c>
      <c r="P929" s="24"/>
    </row>
    <row r="930" customFormat="false" ht="15" hidden="false" customHeight="false" outlineLevel="0" collapsed="false">
      <c r="A930" s="22"/>
      <c r="B930" s="23"/>
      <c r="C930" s="24"/>
      <c r="D930" s="24"/>
      <c r="E930" s="24"/>
      <c r="F930" s="24"/>
      <c r="G930" s="25"/>
      <c r="H930" s="25"/>
      <c r="I930" s="24"/>
      <c r="J930" s="24"/>
      <c r="K930" s="25"/>
      <c r="L930" s="25"/>
      <c r="M930" s="26" t="str">
        <f aca="false">IF(G930="","",G930-N(H930))</f>
        <v/>
      </c>
      <c r="N930" s="26" t="str">
        <f aca="false">IF(G930="","",G930-N(K930)-N(L930))</f>
        <v/>
      </c>
      <c r="O930" s="27" t="str">
        <f aca="false">IF(G930="","",IF(N(H930)&gt;=G930,"Pago",IF(N(H930)&gt;0,"Parcial","Pendente")))</f>
        <v/>
      </c>
      <c r="P930" s="24"/>
    </row>
    <row r="931" customFormat="false" ht="15" hidden="false" customHeight="false" outlineLevel="0" collapsed="false">
      <c r="A931" s="22"/>
      <c r="B931" s="23"/>
      <c r="C931" s="24"/>
      <c r="D931" s="24"/>
      <c r="E931" s="24"/>
      <c r="F931" s="24"/>
      <c r="G931" s="25"/>
      <c r="H931" s="25"/>
      <c r="I931" s="24"/>
      <c r="J931" s="24"/>
      <c r="K931" s="25"/>
      <c r="L931" s="25"/>
      <c r="M931" s="26" t="str">
        <f aca="false">IF(G931="","",G931-N(H931))</f>
        <v/>
      </c>
      <c r="N931" s="26" t="str">
        <f aca="false">IF(G931="","",G931-N(K931)-N(L931))</f>
        <v/>
      </c>
      <c r="O931" s="27" t="str">
        <f aca="false">IF(G931="","",IF(N(H931)&gt;=G931,"Pago",IF(N(H931)&gt;0,"Parcial","Pendente")))</f>
        <v/>
      </c>
      <c r="P931" s="24"/>
    </row>
    <row r="932" customFormat="false" ht="15" hidden="false" customHeight="false" outlineLevel="0" collapsed="false">
      <c r="A932" s="22"/>
      <c r="B932" s="23"/>
      <c r="C932" s="24"/>
      <c r="D932" s="24"/>
      <c r="E932" s="24"/>
      <c r="F932" s="24"/>
      <c r="G932" s="25"/>
      <c r="H932" s="25"/>
      <c r="I932" s="24"/>
      <c r="J932" s="24"/>
      <c r="K932" s="25"/>
      <c r="L932" s="25"/>
      <c r="M932" s="26" t="str">
        <f aca="false">IF(G932="","",G932-N(H932))</f>
        <v/>
      </c>
      <c r="N932" s="26" t="str">
        <f aca="false">IF(G932="","",G932-N(K932)-N(L932))</f>
        <v/>
      </c>
      <c r="O932" s="27" t="str">
        <f aca="false">IF(G932="","",IF(N(H932)&gt;=G932,"Pago",IF(N(H932)&gt;0,"Parcial","Pendente")))</f>
        <v/>
      </c>
      <c r="P932" s="24"/>
    </row>
    <row r="933" customFormat="false" ht="15" hidden="false" customHeight="false" outlineLevel="0" collapsed="false">
      <c r="A933" s="22"/>
      <c r="B933" s="23"/>
      <c r="C933" s="24"/>
      <c r="D933" s="24"/>
      <c r="E933" s="24"/>
      <c r="F933" s="24"/>
      <c r="G933" s="25"/>
      <c r="H933" s="25"/>
      <c r="I933" s="24"/>
      <c r="J933" s="24"/>
      <c r="K933" s="25"/>
      <c r="L933" s="25"/>
      <c r="M933" s="26" t="str">
        <f aca="false">IF(G933="","",G933-N(H933))</f>
        <v/>
      </c>
      <c r="N933" s="26" t="str">
        <f aca="false">IF(G933="","",G933-N(K933)-N(L933))</f>
        <v/>
      </c>
      <c r="O933" s="27" t="str">
        <f aca="false">IF(G933="","",IF(N(H933)&gt;=G933,"Pago",IF(N(H933)&gt;0,"Parcial","Pendente")))</f>
        <v/>
      </c>
      <c r="P933" s="24"/>
    </row>
    <row r="934" customFormat="false" ht="15" hidden="false" customHeight="false" outlineLevel="0" collapsed="false">
      <c r="A934" s="22"/>
      <c r="B934" s="23"/>
      <c r="C934" s="24"/>
      <c r="D934" s="24"/>
      <c r="E934" s="24"/>
      <c r="F934" s="24"/>
      <c r="G934" s="25"/>
      <c r="H934" s="25"/>
      <c r="I934" s="24"/>
      <c r="J934" s="24"/>
      <c r="K934" s="25"/>
      <c r="L934" s="25"/>
      <c r="M934" s="26" t="str">
        <f aca="false">IF(G934="","",G934-N(H934))</f>
        <v/>
      </c>
      <c r="N934" s="26" t="str">
        <f aca="false">IF(G934="","",G934-N(K934)-N(L934))</f>
        <v/>
      </c>
      <c r="O934" s="27" t="str">
        <f aca="false">IF(G934="","",IF(N(H934)&gt;=G934,"Pago",IF(N(H934)&gt;0,"Parcial","Pendente")))</f>
        <v/>
      </c>
      <c r="P934" s="24"/>
    </row>
    <row r="935" customFormat="false" ht="15" hidden="false" customHeight="false" outlineLevel="0" collapsed="false">
      <c r="A935" s="22"/>
      <c r="B935" s="23"/>
      <c r="C935" s="24"/>
      <c r="D935" s="24"/>
      <c r="E935" s="24"/>
      <c r="F935" s="24"/>
      <c r="G935" s="25"/>
      <c r="H935" s="25"/>
      <c r="I935" s="24"/>
      <c r="J935" s="24"/>
      <c r="K935" s="25"/>
      <c r="L935" s="25"/>
      <c r="M935" s="26" t="str">
        <f aca="false">IF(G935="","",G935-N(H935))</f>
        <v/>
      </c>
      <c r="N935" s="26" t="str">
        <f aca="false">IF(G935="","",G935-N(K935)-N(L935))</f>
        <v/>
      </c>
      <c r="O935" s="27" t="str">
        <f aca="false">IF(G935="","",IF(N(H935)&gt;=G935,"Pago",IF(N(H935)&gt;0,"Parcial","Pendente")))</f>
        <v/>
      </c>
      <c r="P935" s="24"/>
    </row>
    <row r="936" customFormat="false" ht="15" hidden="false" customHeight="false" outlineLevel="0" collapsed="false">
      <c r="A936" s="22"/>
      <c r="B936" s="23"/>
      <c r="C936" s="24"/>
      <c r="D936" s="24"/>
      <c r="E936" s="24"/>
      <c r="F936" s="24"/>
      <c r="G936" s="25"/>
      <c r="H936" s="25"/>
      <c r="I936" s="24"/>
      <c r="J936" s="24"/>
      <c r="K936" s="25"/>
      <c r="L936" s="25"/>
      <c r="M936" s="26" t="str">
        <f aca="false">IF(G936="","",G936-N(H936))</f>
        <v/>
      </c>
      <c r="N936" s="26" t="str">
        <f aca="false">IF(G936="","",G936-N(K936)-N(L936))</f>
        <v/>
      </c>
      <c r="O936" s="27" t="str">
        <f aca="false">IF(G936="","",IF(N(H936)&gt;=G936,"Pago",IF(N(H936)&gt;0,"Parcial","Pendente")))</f>
        <v/>
      </c>
      <c r="P936" s="24"/>
    </row>
    <row r="937" customFormat="false" ht="15" hidden="false" customHeight="false" outlineLevel="0" collapsed="false">
      <c r="A937" s="22"/>
      <c r="B937" s="23"/>
      <c r="C937" s="24"/>
      <c r="D937" s="24"/>
      <c r="E937" s="24"/>
      <c r="F937" s="24"/>
      <c r="G937" s="25"/>
      <c r="H937" s="25"/>
      <c r="I937" s="24"/>
      <c r="J937" s="24"/>
      <c r="K937" s="25"/>
      <c r="L937" s="25"/>
      <c r="M937" s="26" t="str">
        <f aca="false">IF(G937="","",G937-N(H937))</f>
        <v/>
      </c>
      <c r="N937" s="26" t="str">
        <f aca="false">IF(G937="","",G937-N(K937)-N(L937))</f>
        <v/>
      </c>
      <c r="O937" s="27" t="str">
        <f aca="false">IF(G937="","",IF(N(H937)&gt;=G937,"Pago",IF(N(H937)&gt;0,"Parcial","Pendente")))</f>
        <v/>
      </c>
      <c r="P937" s="24"/>
    </row>
    <row r="938" customFormat="false" ht="15" hidden="false" customHeight="false" outlineLevel="0" collapsed="false">
      <c r="A938" s="22"/>
      <c r="B938" s="23"/>
      <c r="C938" s="24"/>
      <c r="D938" s="24"/>
      <c r="E938" s="24"/>
      <c r="F938" s="24"/>
      <c r="G938" s="25"/>
      <c r="H938" s="25"/>
      <c r="I938" s="24"/>
      <c r="J938" s="24"/>
      <c r="K938" s="25"/>
      <c r="L938" s="25"/>
      <c r="M938" s="26" t="str">
        <f aca="false">IF(G938="","",G938-N(H938))</f>
        <v/>
      </c>
      <c r="N938" s="26" t="str">
        <f aca="false">IF(G938="","",G938-N(K938)-N(L938))</f>
        <v/>
      </c>
      <c r="O938" s="27" t="str">
        <f aca="false">IF(G938="","",IF(N(H938)&gt;=G938,"Pago",IF(N(H938)&gt;0,"Parcial","Pendente")))</f>
        <v/>
      </c>
      <c r="P938" s="24"/>
    </row>
    <row r="939" customFormat="false" ht="15" hidden="false" customHeight="false" outlineLevel="0" collapsed="false">
      <c r="A939" s="22"/>
      <c r="B939" s="23"/>
      <c r="C939" s="24"/>
      <c r="D939" s="24"/>
      <c r="E939" s="24"/>
      <c r="F939" s="24"/>
      <c r="G939" s="25"/>
      <c r="H939" s="25"/>
      <c r="I939" s="24"/>
      <c r="J939" s="24"/>
      <c r="K939" s="25"/>
      <c r="L939" s="25"/>
      <c r="M939" s="26" t="str">
        <f aca="false">IF(G939="","",G939-N(H939))</f>
        <v/>
      </c>
      <c r="N939" s="26" t="str">
        <f aca="false">IF(G939="","",G939-N(K939)-N(L939))</f>
        <v/>
      </c>
      <c r="O939" s="27" t="str">
        <f aca="false">IF(G939="","",IF(N(H939)&gt;=G939,"Pago",IF(N(H939)&gt;0,"Parcial","Pendente")))</f>
        <v/>
      </c>
      <c r="P939" s="24"/>
    </row>
    <row r="940" customFormat="false" ht="15" hidden="false" customHeight="false" outlineLevel="0" collapsed="false">
      <c r="A940" s="22"/>
      <c r="B940" s="23"/>
      <c r="C940" s="24"/>
      <c r="D940" s="24"/>
      <c r="E940" s="24"/>
      <c r="F940" s="24"/>
      <c r="G940" s="25"/>
      <c r="H940" s="25"/>
      <c r="I940" s="24"/>
      <c r="J940" s="24"/>
      <c r="K940" s="25"/>
      <c r="L940" s="25"/>
      <c r="M940" s="26" t="str">
        <f aca="false">IF(G940="","",G940-N(H940))</f>
        <v/>
      </c>
      <c r="N940" s="26" t="str">
        <f aca="false">IF(G940="","",G940-N(K940)-N(L940))</f>
        <v/>
      </c>
      <c r="O940" s="27" t="str">
        <f aca="false">IF(G940="","",IF(N(H940)&gt;=G940,"Pago",IF(N(H940)&gt;0,"Parcial","Pendente")))</f>
        <v/>
      </c>
      <c r="P940" s="24"/>
    </row>
    <row r="941" customFormat="false" ht="15" hidden="false" customHeight="false" outlineLevel="0" collapsed="false">
      <c r="A941" s="22"/>
      <c r="B941" s="23"/>
      <c r="C941" s="24"/>
      <c r="D941" s="24"/>
      <c r="E941" s="24"/>
      <c r="F941" s="24"/>
      <c r="G941" s="25"/>
      <c r="H941" s="25"/>
      <c r="I941" s="24"/>
      <c r="J941" s="24"/>
      <c r="K941" s="25"/>
      <c r="L941" s="25"/>
      <c r="M941" s="26" t="str">
        <f aca="false">IF(G941="","",G941-N(H941))</f>
        <v/>
      </c>
      <c r="N941" s="26" t="str">
        <f aca="false">IF(G941="","",G941-N(K941)-N(L941))</f>
        <v/>
      </c>
      <c r="O941" s="27" t="str">
        <f aca="false">IF(G941="","",IF(N(H941)&gt;=G941,"Pago",IF(N(H941)&gt;0,"Parcial","Pendente")))</f>
        <v/>
      </c>
      <c r="P941" s="24"/>
    </row>
    <row r="942" customFormat="false" ht="15" hidden="false" customHeight="false" outlineLevel="0" collapsed="false">
      <c r="A942" s="22"/>
      <c r="B942" s="23"/>
      <c r="C942" s="24"/>
      <c r="D942" s="24"/>
      <c r="E942" s="24"/>
      <c r="F942" s="24"/>
      <c r="G942" s="25"/>
      <c r="H942" s="25"/>
      <c r="I942" s="24"/>
      <c r="J942" s="24"/>
      <c r="K942" s="25"/>
      <c r="L942" s="25"/>
      <c r="M942" s="26" t="str">
        <f aca="false">IF(G942="","",G942-N(H942))</f>
        <v/>
      </c>
      <c r="N942" s="26" t="str">
        <f aca="false">IF(G942="","",G942-N(K942)-N(L942))</f>
        <v/>
      </c>
      <c r="O942" s="27" t="str">
        <f aca="false">IF(G942="","",IF(N(H942)&gt;=G942,"Pago",IF(N(H942)&gt;0,"Parcial","Pendente")))</f>
        <v/>
      </c>
      <c r="P942" s="24"/>
    </row>
    <row r="943" customFormat="false" ht="15" hidden="false" customHeight="false" outlineLevel="0" collapsed="false">
      <c r="A943" s="22"/>
      <c r="B943" s="23"/>
      <c r="C943" s="24"/>
      <c r="D943" s="24"/>
      <c r="E943" s="24"/>
      <c r="F943" s="24"/>
      <c r="G943" s="25"/>
      <c r="H943" s="25"/>
      <c r="I943" s="24"/>
      <c r="J943" s="24"/>
      <c r="K943" s="25"/>
      <c r="L943" s="25"/>
      <c r="M943" s="26" t="str">
        <f aca="false">IF(G943="","",G943-N(H943))</f>
        <v/>
      </c>
      <c r="N943" s="26" t="str">
        <f aca="false">IF(G943="","",G943-N(K943)-N(L943))</f>
        <v/>
      </c>
      <c r="O943" s="27" t="str">
        <f aca="false">IF(G943="","",IF(N(H943)&gt;=G943,"Pago",IF(N(H943)&gt;0,"Parcial","Pendente")))</f>
        <v/>
      </c>
      <c r="P943" s="24"/>
    </row>
    <row r="944" customFormat="false" ht="15" hidden="false" customHeight="false" outlineLevel="0" collapsed="false">
      <c r="A944" s="22"/>
      <c r="B944" s="23"/>
      <c r="C944" s="24"/>
      <c r="D944" s="24"/>
      <c r="E944" s="24"/>
      <c r="F944" s="24"/>
      <c r="G944" s="25"/>
      <c r="H944" s="25"/>
      <c r="I944" s="24"/>
      <c r="J944" s="24"/>
      <c r="K944" s="25"/>
      <c r="L944" s="25"/>
      <c r="M944" s="26" t="str">
        <f aca="false">IF(G944="","",G944-N(H944))</f>
        <v/>
      </c>
      <c r="N944" s="26" t="str">
        <f aca="false">IF(G944="","",G944-N(K944)-N(L944))</f>
        <v/>
      </c>
      <c r="O944" s="27" t="str">
        <f aca="false">IF(G944="","",IF(N(H944)&gt;=G944,"Pago",IF(N(H944)&gt;0,"Parcial","Pendente")))</f>
        <v/>
      </c>
      <c r="P944" s="24"/>
    </row>
    <row r="945" customFormat="false" ht="15" hidden="false" customHeight="false" outlineLevel="0" collapsed="false">
      <c r="A945" s="22"/>
      <c r="B945" s="23"/>
      <c r="C945" s="24"/>
      <c r="D945" s="24"/>
      <c r="E945" s="24"/>
      <c r="F945" s="24"/>
      <c r="G945" s="25"/>
      <c r="H945" s="25"/>
      <c r="I945" s="24"/>
      <c r="J945" s="24"/>
      <c r="K945" s="25"/>
      <c r="L945" s="25"/>
      <c r="M945" s="26" t="str">
        <f aca="false">IF(G945="","",G945-N(H945))</f>
        <v/>
      </c>
      <c r="N945" s="26" t="str">
        <f aca="false">IF(G945="","",G945-N(K945)-N(L945))</f>
        <v/>
      </c>
      <c r="O945" s="27" t="str">
        <f aca="false">IF(G945="","",IF(N(H945)&gt;=G945,"Pago",IF(N(H945)&gt;0,"Parcial","Pendente")))</f>
        <v/>
      </c>
      <c r="P945" s="24"/>
    </row>
    <row r="946" customFormat="false" ht="15" hidden="false" customHeight="false" outlineLevel="0" collapsed="false">
      <c r="A946" s="22"/>
      <c r="B946" s="23"/>
      <c r="C946" s="24"/>
      <c r="D946" s="24"/>
      <c r="E946" s="24"/>
      <c r="F946" s="24"/>
      <c r="G946" s="25"/>
      <c r="H946" s="25"/>
      <c r="I946" s="24"/>
      <c r="J946" s="24"/>
      <c r="K946" s="25"/>
      <c r="L946" s="25"/>
      <c r="M946" s="26" t="str">
        <f aca="false">IF(G946="","",G946-N(H946))</f>
        <v/>
      </c>
      <c r="N946" s="26" t="str">
        <f aca="false">IF(G946="","",G946-N(K946)-N(L946))</f>
        <v/>
      </c>
      <c r="O946" s="27" t="str">
        <f aca="false">IF(G946="","",IF(N(H946)&gt;=G946,"Pago",IF(N(H946)&gt;0,"Parcial","Pendente")))</f>
        <v/>
      </c>
      <c r="P946" s="24"/>
    </row>
    <row r="947" customFormat="false" ht="15" hidden="false" customHeight="false" outlineLevel="0" collapsed="false">
      <c r="A947" s="22"/>
      <c r="B947" s="23"/>
      <c r="C947" s="24"/>
      <c r="D947" s="24"/>
      <c r="E947" s="24"/>
      <c r="F947" s="24"/>
      <c r="G947" s="25"/>
      <c r="H947" s="25"/>
      <c r="I947" s="24"/>
      <c r="J947" s="24"/>
      <c r="K947" s="25"/>
      <c r="L947" s="25"/>
      <c r="M947" s="26" t="str">
        <f aca="false">IF(G947="","",G947-N(H947))</f>
        <v/>
      </c>
      <c r="N947" s="26" t="str">
        <f aca="false">IF(G947="","",G947-N(K947)-N(L947))</f>
        <v/>
      </c>
      <c r="O947" s="27" t="str">
        <f aca="false">IF(G947="","",IF(N(H947)&gt;=G947,"Pago",IF(N(H947)&gt;0,"Parcial","Pendente")))</f>
        <v/>
      </c>
      <c r="P947" s="24"/>
    </row>
    <row r="948" customFormat="false" ht="15" hidden="false" customHeight="false" outlineLevel="0" collapsed="false">
      <c r="A948" s="22"/>
      <c r="B948" s="23"/>
      <c r="C948" s="24"/>
      <c r="D948" s="24"/>
      <c r="E948" s="24"/>
      <c r="F948" s="24"/>
      <c r="G948" s="25"/>
      <c r="H948" s="25"/>
      <c r="I948" s="24"/>
      <c r="J948" s="24"/>
      <c r="K948" s="25"/>
      <c r="L948" s="25"/>
      <c r="M948" s="26" t="str">
        <f aca="false">IF(G948="","",G948-N(H948))</f>
        <v/>
      </c>
      <c r="N948" s="26" t="str">
        <f aca="false">IF(G948="","",G948-N(K948)-N(L948))</f>
        <v/>
      </c>
      <c r="O948" s="27" t="str">
        <f aca="false">IF(G948="","",IF(N(H948)&gt;=G948,"Pago",IF(N(H948)&gt;0,"Parcial","Pendente")))</f>
        <v/>
      </c>
      <c r="P948" s="24"/>
    </row>
    <row r="949" customFormat="false" ht="15" hidden="false" customHeight="false" outlineLevel="0" collapsed="false">
      <c r="A949" s="22"/>
      <c r="B949" s="23"/>
      <c r="C949" s="24"/>
      <c r="D949" s="24"/>
      <c r="E949" s="24"/>
      <c r="F949" s="24"/>
      <c r="G949" s="25"/>
      <c r="H949" s="25"/>
      <c r="I949" s="24"/>
      <c r="J949" s="24"/>
      <c r="K949" s="25"/>
      <c r="L949" s="25"/>
      <c r="M949" s="26" t="str">
        <f aca="false">IF(G949="","",G949-N(H949))</f>
        <v/>
      </c>
      <c r="N949" s="26" t="str">
        <f aca="false">IF(G949="","",G949-N(K949)-N(L949))</f>
        <v/>
      </c>
      <c r="O949" s="27" t="str">
        <f aca="false">IF(G949="","",IF(N(H949)&gt;=G949,"Pago",IF(N(H949)&gt;0,"Parcial","Pendente")))</f>
        <v/>
      </c>
      <c r="P949" s="24"/>
    </row>
    <row r="950" customFormat="false" ht="15" hidden="false" customHeight="false" outlineLevel="0" collapsed="false">
      <c r="A950" s="22"/>
      <c r="B950" s="23"/>
      <c r="C950" s="24"/>
      <c r="D950" s="24"/>
      <c r="E950" s="24"/>
      <c r="F950" s="24"/>
      <c r="G950" s="25"/>
      <c r="H950" s="25"/>
      <c r="I950" s="24"/>
      <c r="J950" s="24"/>
      <c r="K950" s="25"/>
      <c r="L950" s="25"/>
      <c r="M950" s="26" t="str">
        <f aca="false">IF(G950="","",G950-N(H950))</f>
        <v/>
      </c>
      <c r="N950" s="26" t="str">
        <f aca="false">IF(G950="","",G950-N(K950)-N(L950))</f>
        <v/>
      </c>
      <c r="O950" s="27" t="str">
        <f aca="false">IF(G950="","",IF(N(H950)&gt;=G950,"Pago",IF(N(H950)&gt;0,"Parcial","Pendente")))</f>
        <v/>
      </c>
      <c r="P950" s="24"/>
    </row>
    <row r="951" customFormat="false" ht="15" hidden="false" customHeight="false" outlineLevel="0" collapsed="false">
      <c r="A951" s="22"/>
      <c r="B951" s="23"/>
      <c r="C951" s="24"/>
      <c r="D951" s="24"/>
      <c r="E951" s="24"/>
      <c r="F951" s="24"/>
      <c r="G951" s="25"/>
      <c r="H951" s="25"/>
      <c r="I951" s="24"/>
      <c r="J951" s="24"/>
      <c r="K951" s="25"/>
      <c r="L951" s="25"/>
      <c r="M951" s="26" t="str">
        <f aca="false">IF(G951="","",G951-N(H951))</f>
        <v/>
      </c>
      <c r="N951" s="26" t="str">
        <f aca="false">IF(G951="","",G951-N(K951)-N(L951))</f>
        <v/>
      </c>
      <c r="O951" s="27" t="str">
        <f aca="false">IF(G951="","",IF(N(H951)&gt;=G951,"Pago",IF(N(H951)&gt;0,"Parcial","Pendente")))</f>
        <v/>
      </c>
      <c r="P951" s="24"/>
    </row>
    <row r="952" customFormat="false" ht="15" hidden="false" customHeight="false" outlineLevel="0" collapsed="false">
      <c r="A952" s="22"/>
      <c r="B952" s="23"/>
      <c r="C952" s="24"/>
      <c r="D952" s="24"/>
      <c r="E952" s="24"/>
      <c r="F952" s="24"/>
      <c r="G952" s="25"/>
      <c r="H952" s="25"/>
      <c r="I952" s="24"/>
      <c r="J952" s="24"/>
      <c r="K952" s="25"/>
      <c r="L952" s="25"/>
      <c r="M952" s="26" t="str">
        <f aca="false">IF(G952="","",G952-N(H952))</f>
        <v/>
      </c>
      <c r="N952" s="26" t="str">
        <f aca="false">IF(G952="","",G952-N(K952)-N(L952))</f>
        <v/>
      </c>
      <c r="O952" s="27" t="str">
        <f aca="false">IF(G952="","",IF(N(H952)&gt;=G952,"Pago",IF(N(H952)&gt;0,"Parcial","Pendente")))</f>
        <v/>
      </c>
      <c r="P952" s="24"/>
    </row>
    <row r="953" customFormat="false" ht="15" hidden="false" customHeight="false" outlineLevel="0" collapsed="false">
      <c r="A953" s="22"/>
      <c r="B953" s="23"/>
      <c r="C953" s="24"/>
      <c r="D953" s="24"/>
      <c r="E953" s="24"/>
      <c r="F953" s="24"/>
      <c r="G953" s="25"/>
      <c r="H953" s="25"/>
      <c r="I953" s="24"/>
      <c r="J953" s="24"/>
      <c r="K953" s="25"/>
      <c r="L953" s="25"/>
      <c r="M953" s="26" t="str">
        <f aca="false">IF(G953="","",G953-N(H953))</f>
        <v/>
      </c>
      <c r="N953" s="26" t="str">
        <f aca="false">IF(G953="","",G953-N(K953)-N(L953))</f>
        <v/>
      </c>
      <c r="O953" s="27" t="str">
        <f aca="false">IF(G953="","",IF(N(H953)&gt;=G953,"Pago",IF(N(H953)&gt;0,"Parcial","Pendente")))</f>
        <v/>
      </c>
      <c r="P953" s="24"/>
    </row>
    <row r="954" customFormat="false" ht="15" hidden="false" customHeight="false" outlineLevel="0" collapsed="false">
      <c r="A954" s="22"/>
      <c r="B954" s="23"/>
      <c r="C954" s="24"/>
      <c r="D954" s="24"/>
      <c r="E954" s="24"/>
      <c r="F954" s="24"/>
      <c r="G954" s="25"/>
      <c r="H954" s="25"/>
      <c r="I954" s="24"/>
      <c r="J954" s="24"/>
      <c r="K954" s="25"/>
      <c r="L954" s="25"/>
      <c r="M954" s="26" t="str">
        <f aca="false">IF(G954="","",G954-N(H954))</f>
        <v/>
      </c>
      <c r="N954" s="26" t="str">
        <f aca="false">IF(G954="","",G954-N(K954)-N(L954))</f>
        <v/>
      </c>
      <c r="O954" s="27" t="str">
        <f aca="false">IF(G954="","",IF(N(H954)&gt;=G954,"Pago",IF(N(H954)&gt;0,"Parcial","Pendente")))</f>
        <v/>
      </c>
      <c r="P954" s="24"/>
    </row>
    <row r="955" customFormat="false" ht="15" hidden="false" customHeight="false" outlineLevel="0" collapsed="false">
      <c r="A955" s="22"/>
      <c r="B955" s="23"/>
      <c r="C955" s="24"/>
      <c r="D955" s="24"/>
      <c r="E955" s="24"/>
      <c r="F955" s="24"/>
      <c r="G955" s="25"/>
      <c r="H955" s="25"/>
      <c r="I955" s="24"/>
      <c r="J955" s="24"/>
      <c r="K955" s="25"/>
      <c r="L955" s="25"/>
      <c r="M955" s="26" t="str">
        <f aca="false">IF(G955="","",G955-N(H955))</f>
        <v/>
      </c>
      <c r="N955" s="26" t="str">
        <f aca="false">IF(G955="","",G955-N(K955)-N(L955))</f>
        <v/>
      </c>
      <c r="O955" s="27" t="str">
        <f aca="false">IF(G955="","",IF(N(H955)&gt;=G955,"Pago",IF(N(H955)&gt;0,"Parcial","Pendente")))</f>
        <v/>
      </c>
      <c r="P955" s="24"/>
    </row>
    <row r="956" customFormat="false" ht="15" hidden="false" customHeight="false" outlineLevel="0" collapsed="false">
      <c r="A956" s="22"/>
      <c r="B956" s="23"/>
      <c r="C956" s="24"/>
      <c r="D956" s="24"/>
      <c r="E956" s="24"/>
      <c r="F956" s="24"/>
      <c r="G956" s="25"/>
      <c r="H956" s="25"/>
      <c r="I956" s="24"/>
      <c r="J956" s="24"/>
      <c r="K956" s="25"/>
      <c r="L956" s="25"/>
      <c r="M956" s="26" t="str">
        <f aca="false">IF(G956="","",G956-N(H956))</f>
        <v/>
      </c>
      <c r="N956" s="26" t="str">
        <f aca="false">IF(G956="","",G956-N(K956)-N(L956))</f>
        <v/>
      </c>
      <c r="O956" s="27" t="str">
        <f aca="false">IF(G956="","",IF(N(H956)&gt;=G956,"Pago",IF(N(H956)&gt;0,"Parcial","Pendente")))</f>
        <v/>
      </c>
      <c r="P956" s="24"/>
    </row>
    <row r="957" customFormat="false" ht="15" hidden="false" customHeight="false" outlineLevel="0" collapsed="false">
      <c r="A957" s="22"/>
      <c r="B957" s="23"/>
      <c r="C957" s="24"/>
      <c r="D957" s="24"/>
      <c r="E957" s="24"/>
      <c r="F957" s="24"/>
      <c r="G957" s="25"/>
      <c r="H957" s="25"/>
      <c r="I957" s="24"/>
      <c r="J957" s="24"/>
      <c r="K957" s="25"/>
      <c r="L957" s="25"/>
      <c r="M957" s="26" t="str">
        <f aca="false">IF(G957="","",G957-N(H957))</f>
        <v/>
      </c>
      <c r="N957" s="26" t="str">
        <f aca="false">IF(G957="","",G957-N(K957)-N(L957))</f>
        <v/>
      </c>
      <c r="O957" s="27" t="str">
        <f aca="false">IF(G957="","",IF(N(H957)&gt;=G957,"Pago",IF(N(H957)&gt;0,"Parcial","Pendente")))</f>
        <v/>
      </c>
      <c r="P957" s="24"/>
    </row>
    <row r="958" customFormat="false" ht="15" hidden="false" customHeight="false" outlineLevel="0" collapsed="false">
      <c r="A958" s="22"/>
      <c r="B958" s="23"/>
      <c r="C958" s="24"/>
      <c r="D958" s="24"/>
      <c r="E958" s="24"/>
      <c r="F958" s="24"/>
      <c r="G958" s="25"/>
      <c r="H958" s="25"/>
      <c r="I958" s="24"/>
      <c r="J958" s="24"/>
      <c r="K958" s="25"/>
      <c r="L958" s="25"/>
      <c r="M958" s="26" t="str">
        <f aca="false">IF(G958="","",G958-N(H958))</f>
        <v/>
      </c>
      <c r="N958" s="26" t="str">
        <f aca="false">IF(G958="","",G958-N(K958)-N(L958))</f>
        <v/>
      </c>
      <c r="O958" s="27" t="str">
        <f aca="false">IF(G958="","",IF(N(H958)&gt;=G958,"Pago",IF(N(H958)&gt;0,"Parcial","Pendente")))</f>
        <v/>
      </c>
      <c r="P958" s="24"/>
    </row>
    <row r="959" customFormat="false" ht="15" hidden="false" customHeight="false" outlineLevel="0" collapsed="false">
      <c r="A959" s="22"/>
      <c r="B959" s="23"/>
      <c r="C959" s="24"/>
      <c r="D959" s="24"/>
      <c r="E959" s="24"/>
      <c r="F959" s="24"/>
      <c r="G959" s="25"/>
      <c r="H959" s="25"/>
      <c r="I959" s="24"/>
      <c r="J959" s="24"/>
      <c r="K959" s="25"/>
      <c r="L959" s="25"/>
      <c r="M959" s="26" t="str">
        <f aca="false">IF(G959="","",G959-N(H959))</f>
        <v/>
      </c>
      <c r="N959" s="26" t="str">
        <f aca="false">IF(G959="","",G959-N(K959)-N(L959))</f>
        <v/>
      </c>
      <c r="O959" s="27" t="str">
        <f aca="false">IF(G959="","",IF(N(H959)&gt;=G959,"Pago",IF(N(H959)&gt;0,"Parcial","Pendente")))</f>
        <v/>
      </c>
      <c r="P959" s="24"/>
    </row>
    <row r="960" customFormat="false" ht="15" hidden="false" customHeight="false" outlineLevel="0" collapsed="false">
      <c r="A960" s="22"/>
      <c r="B960" s="23"/>
      <c r="C960" s="24"/>
      <c r="D960" s="24"/>
      <c r="E960" s="24"/>
      <c r="F960" s="24"/>
      <c r="G960" s="25"/>
      <c r="H960" s="25"/>
      <c r="I960" s="24"/>
      <c r="J960" s="24"/>
      <c r="K960" s="25"/>
      <c r="L960" s="25"/>
      <c r="M960" s="26" t="str">
        <f aca="false">IF(G960="","",G960-N(H960))</f>
        <v/>
      </c>
      <c r="N960" s="26" t="str">
        <f aca="false">IF(G960="","",G960-N(K960)-N(L960))</f>
        <v/>
      </c>
      <c r="O960" s="27" t="str">
        <f aca="false">IF(G960="","",IF(N(H960)&gt;=G960,"Pago",IF(N(H960)&gt;0,"Parcial","Pendente")))</f>
        <v/>
      </c>
      <c r="P960" s="24"/>
    </row>
    <row r="961" customFormat="false" ht="15" hidden="false" customHeight="false" outlineLevel="0" collapsed="false">
      <c r="A961" s="22"/>
      <c r="B961" s="23"/>
      <c r="C961" s="24"/>
      <c r="D961" s="24"/>
      <c r="E961" s="24"/>
      <c r="F961" s="24"/>
      <c r="G961" s="25"/>
      <c r="H961" s="25"/>
      <c r="I961" s="24"/>
      <c r="J961" s="24"/>
      <c r="K961" s="25"/>
      <c r="L961" s="25"/>
      <c r="M961" s="26" t="str">
        <f aca="false">IF(G961="","",G961-N(H961))</f>
        <v/>
      </c>
      <c r="N961" s="26" t="str">
        <f aca="false">IF(G961="","",G961-N(K961)-N(L961))</f>
        <v/>
      </c>
      <c r="O961" s="27" t="str">
        <f aca="false">IF(G961="","",IF(N(H961)&gt;=G961,"Pago",IF(N(H961)&gt;0,"Parcial","Pendente")))</f>
        <v/>
      </c>
      <c r="P961" s="24"/>
    </row>
    <row r="962" customFormat="false" ht="15" hidden="false" customHeight="false" outlineLevel="0" collapsed="false">
      <c r="A962" s="22"/>
      <c r="B962" s="23"/>
      <c r="C962" s="24"/>
      <c r="D962" s="24"/>
      <c r="E962" s="24"/>
      <c r="F962" s="24"/>
      <c r="G962" s="25"/>
      <c r="H962" s="25"/>
      <c r="I962" s="24"/>
      <c r="J962" s="24"/>
      <c r="K962" s="25"/>
      <c r="L962" s="25"/>
      <c r="M962" s="26" t="str">
        <f aca="false">IF(G962="","",G962-N(H962))</f>
        <v/>
      </c>
      <c r="N962" s="26" t="str">
        <f aca="false">IF(G962="","",G962-N(K962)-N(L962))</f>
        <v/>
      </c>
      <c r="O962" s="27" t="str">
        <f aca="false">IF(G962="","",IF(N(H962)&gt;=G962,"Pago",IF(N(H962)&gt;0,"Parcial","Pendente")))</f>
        <v/>
      </c>
      <c r="P962" s="24"/>
    </row>
    <row r="963" customFormat="false" ht="15" hidden="false" customHeight="false" outlineLevel="0" collapsed="false">
      <c r="A963" s="22"/>
      <c r="B963" s="23"/>
      <c r="C963" s="24"/>
      <c r="D963" s="24"/>
      <c r="E963" s="24"/>
      <c r="F963" s="24"/>
      <c r="G963" s="25"/>
      <c r="H963" s="25"/>
      <c r="I963" s="24"/>
      <c r="J963" s="24"/>
      <c r="K963" s="25"/>
      <c r="L963" s="25"/>
      <c r="M963" s="26" t="str">
        <f aca="false">IF(G963="","",G963-N(H963))</f>
        <v/>
      </c>
      <c r="N963" s="26" t="str">
        <f aca="false">IF(G963="","",G963-N(K963)-N(L963))</f>
        <v/>
      </c>
      <c r="O963" s="27" t="str">
        <f aca="false">IF(G963="","",IF(N(H963)&gt;=G963,"Pago",IF(N(H963)&gt;0,"Parcial","Pendente")))</f>
        <v/>
      </c>
      <c r="P963" s="24"/>
    </row>
    <row r="964" customFormat="false" ht="15" hidden="false" customHeight="false" outlineLevel="0" collapsed="false">
      <c r="A964" s="22"/>
      <c r="B964" s="23"/>
      <c r="C964" s="24"/>
      <c r="D964" s="24"/>
      <c r="E964" s="24"/>
      <c r="F964" s="24"/>
      <c r="G964" s="25"/>
      <c r="H964" s="25"/>
      <c r="I964" s="24"/>
      <c r="J964" s="24"/>
      <c r="K964" s="25"/>
      <c r="L964" s="25"/>
      <c r="M964" s="26" t="str">
        <f aca="false">IF(G964="","",G964-N(H964))</f>
        <v/>
      </c>
      <c r="N964" s="26" t="str">
        <f aca="false">IF(G964="","",G964-N(K964)-N(L964))</f>
        <v/>
      </c>
      <c r="O964" s="27" t="str">
        <f aca="false">IF(G964="","",IF(N(H964)&gt;=G964,"Pago",IF(N(H964)&gt;0,"Parcial","Pendente")))</f>
        <v/>
      </c>
      <c r="P964" s="24"/>
    </row>
    <row r="965" customFormat="false" ht="15" hidden="false" customHeight="false" outlineLevel="0" collapsed="false">
      <c r="A965" s="22"/>
      <c r="B965" s="23"/>
      <c r="C965" s="24"/>
      <c r="D965" s="24"/>
      <c r="E965" s="24"/>
      <c r="F965" s="24"/>
      <c r="G965" s="25"/>
      <c r="H965" s="25"/>
      <c r="I965" s="24"/>
      <c r="J965" s="24"/>
      <c r="K965" s="25"/>
      <c r="L965" s="25"/>
      <c r="M965" s="26" t="str">
        <f aca="false">IF(G965="","",G965-N(H965))</f>
        <v/>
      </c>
      <c r="N965" s="26" t="str">
        <f aca="false">IF(G965="","",G965-N(K965)-N(L965))</f>
        <v/>
      </c>
      <c r="O965" s="27" t="str">
        <f aca="false">IF(G965="","",IF(N(H965)&gt;=G965,"Pago",IF(N(H965)&gt;0,"Parcial","Pendente")))</f>
        <v/>
      </c>
      <c r="P965" s="24"/>
    </row>
    <row r="966" customFormat="false" ht="15" hidden="false" customHeight="false" outlineLevel="0" collapsed="false">
      <c r="A966" s="22"/>
      <c r="B966" s="23"/>
      <c r="C966" s="24"/>
      <c r="D966" s="24"/>
      <c r="E966" s="24"/>
      <c r="F966" s="24"/>
      <c r="G966" s="25"/>
      <c r="H966" s="25"/>
      <c r="I966" s="24"/>
      <c r="J966" s="24"/>
      <c r="K966" s="25"/>
      <c r="L966" s="25"/>
      <c r="M966" s="26" t="str">
        <f aca="false">IF(G966="","",G966-N(H966))</f>
        <v/>
      </c>
      <c r="N966" s="26" t="str">
        <f aca="false">IF(G966="","",G966-N(K966)-N(L966))</f>
        <v/>
      </c>
      <c r="O966" s="27" t="str">
        <f aca="false">IF(G966="","",IF(N(H966)&gt;=G966,"Pago",IF(N(H966)&gt;0,"Parcial","Pendente")))</f>
        <v/>
      </c>
      <c r="P966" s="24"/>
    </row>
    <row r="967" customFormat="false" ht="15" hidden="false" customHeight="false" outlineLevel="0" collapsed="false">
      <c r="A967" s="22"/>
      <c r="B967" s="23"/>
      <c r="C967" s="24"/>
      <c r="D967" s="24"/>
      <c r="E967" s="24"/>
      <c r="F967" s="24"/>
      <c r="G967" s="25"/>
      <c r="H967" s="25"/>
      <c r="I967" s="24"/>
      <c r="J967" s="24"/>
      <c r="K967" s="25"/>
      <c r="L967" s="25"/>
      <c r="M967" s="26" t="str">
        <f aca="false">IF(G967="","",G967-N(H967))</f>
        <v/>
      </c>
      <c r="N967" s="26" t="str">
        <f aca="false">IF(G967="","",G967-N(K967)-N(L967))</f>
        <v/>
      </c>
      <c r="O967" s="27" t="str">
        <f aca="false">IF(G967="","",IF(N(H967)&gt;=G967,"Pago",IF(N(H967)&gt;0,"Parcial","Pendente")))</f>
        <v/>
      </c>
      <c r="P967" s="24"/>
    </row>
    <row r="968" customFormat="false" ht="15" hidden="false" customHeight="false" outlineLevel="0" collapsed="false">
      <c r="A968" s="22"/>
      <c r="B968" s="23"/>
      <c r="C968" s="24"/>
      <c r="D968" s="24"/>
      <c r="E968" s="24"/>
      <c r="F968" s="24"/>
      <c r="G968" s="25"/>
      <c r="H968" s="25"/>
      <c r="I968" s="24"/>
      <c r="J968" s="24"/>
      <c r="K968" s="25"/>
      <c r="L968" s="25"/>
      <c r="M968" s="26" t="str">
        <f aca="false">IF(G968="","",G968-N(H968))</f>
        <v/>
      </c>
      <c r="N968" s="26" t="str">
        <f aca="false">IF(G968="","",G968-N(K968)-N(L968))</f>
        <v/>
      </c>
      <c r="O968" s="27" t="str">
        <f aca="false">IF(G968="","",IF(N(H968)&gt;=G968,"Pago",IF(N(H968)&gt;0,"Parcial","Pendente")))</f>
        <v/>
      </c>
      <c r="P968" s="24"/>
    </row>
    <row r="969" customFormat="false" ht="15" hidden="false" customHeight="false" outlineLevel="0" collapsed="false">
      <c r="A969" s="22"/>
      <c r="B969" s="23"/>
      <c r="C969" s="24"/>
      <c r="D969" s="24"/>
      <c r="E969" s="24"/>
      <c r="F969" s="24"/>
      <c r="G969" s="25"/>
      <c r="H969" s="25"/>
      <c r="I969" s="24"/>
      <c r="J969" s="24"/>
      <c r="K969" s="25"/>
      <c r="L969" s="25"/>
      <c r="M969" s="26" t="str">
        <f aca="false">IF(G969="","",G969-N(H969))</f>
        <v/>
      </c>
      <c r="N969" s="26" t="str">
        <f aca="false">IF(G969="","",G969-N(K969)-N(L969))</f>
        <v/>
      </c>
      <c r="O969" s="27" t="str">
        <f aca="false">IF(G969="","",IF(N(H969)&gt;=G969,"Pago",IF(N(H969)&gt;0,"Parcial","Pendente")))</f>
        <v/>
      </c>
      <c r="P969" s="24"/>
    </row>
    <row r="970" customFormat="false" ht="15" hidden="false" customHeight="false" outlineLevel="0" collapsed="false">
      <c r="A970" s="22"/>
      <c r="B970" s="23"/>
      <c r="C970" s="24"/>
      <c r="D970" s="24"/>
      <c r="E970" s="24"/>
      <c r="F970" s="24"/>
      <c r="G970" s="25"/>
      <c r="H970" s="25"/>
      <c r="I970" s="24"/>
      <c r="J970" s="24"/>
      <c r="K970" s="25"/>
      <c r="L970" s="25"/>
      <c r="M970" s="26" t="str">
        <f aca="false">IF(G970="","",G970-N(H970))</f>
        <v/>
      </c>
      <c r="N970" s="26" t="str">
        <f aca="false">IF(G970="","",G970-N(K970)-N(L970))</f>
        <v/>
      </c>
      <c r="O970" s="27" t="str">
        <f aca="false">IF(G970="","",IF(N(H970)&gt;=G970,"Pago",IF(N(H970)&gt;0,"Parcial","Pendente")))</f>
        <v/>
      </c>
      <c r="P970" s="24"/>
    </row>
    <row r="971" customFormat="false" ht="15" hidden="false" customHeight="false" outlineLevel="0" collapsed="false">
      <c r="A971" s="22"/>
      <c r="B971" s="23"/>
      <c r="C971" s="24"/>
      <c r="D971" s="24"/>
      <c r="E971" s="24"/>
      <c r="F971" s="24"/>
      <c r="G971" s="25"/>
      <c r="H971" s="25"/>
      <c r="I971" s="24"/>
      <c r="J971" s="24"/>
      <c r="K971" s="25"/>
      <c r="L971" s="25"/>
      <c r="M971" s="26" t="str">
        <f aca="false">IF(G971="","",G971-N(H971))</f>
        <v/>
      </c>
      <c r="N971" s="26" t="str">
        <f aca="false">IF(G971="","",G971-N(K971)-N(L971))</f>
        <v/>
      </c>
      <c r="O971" s="27" t="str">
        <f aca="false">IF(G971="","",IF(N(H971)&gt;=G971,"Pago",IF(N(H971)&gt;0,"Parcial","Pendente")))</f>
        <v/>
      </c>
      <c r="P971" s="24"/>
    </row>
    <row r="972" customFormat="false" ht="15" hidden="false" customHeight="false" outlineLevel="0" collapsed="false">
      <c r="A972" s="22"/>
      <c r="B972" s="23"/>
      <c r="C972" s="24"/>
      <c r="D972" s="24"/>
      <c r="E972" s="24"/>
      <c r="F972" s="24"/>
      <c r="G972" s="25"/>
      <c r="H972" s="25"/>
      <c r="I972" s="24"/>
      <c r="J972" s="24"/>
      <c r="K972" s="25"/>
      <c r="L972" s="25"/>
      <c r="M972" s="26" t="str">
        <f aca="false">IF(G972="","",G972-N(H972))</f>
        <v/>
      </c>
      <c r="N972" s="26" t="str">
        <f aca="false">IF(G972="","",G972-N(K972)-N(L972))</f>
        <v/>
      </c>
      <c r="O972" s="27" t="str">
        <f aca="false">IF(G972="","",IF(N(H972)&gt;=G972,"Pago",IF(N(H972)&gt;0,"Parcial","Pendente")))</f>
        <v/>
      </c>
      <c r="P972" s="24"/>
    </row>
    <row r="973" customFormat="false" ht="15" hidden="false" customHeight="false" outlineLevel="0" collapsed="false">
      <c r="A973" s="22"/>
      <c r="B973" s="23"/>
      <c r="C973" s="24"/>
      <c r="D973" s="24"/>
      <c r="E973" s="24"/>
      <c r="F973" s="24"/>
      <c r="G973" s="25"/>
      <c r="H973" s="25"/>
      <c r="I973" s="24"/>
      <c r="J973" s="24"/>
      <c r="K973" s="25"/>
      <c r="L973" s="25"/>
      <c r="M973" s="26" t="str">
        <f aca="false">IF(G973="","",G973-N(H973))</f>
        <v/>
      </c>
      <c r="N973" s="26" t="str">
        <f aca="false">IF(G973="","",G973-N(K973)-N(L973))</f>
        <v/>
      </c>
      <c r="O973" s="27" t="str">
        <f aca="false">IF(G973="","",IF(N(H973)&gt;=G973,"Pago",IF(N(H973)&gt;0,"Parcial","Pendente")))</f>
        <v/>
      </c>
      <c r="P973" s="24"/>
    </row>
    <row r="974" customFormat="false" ht="15" hidden="false" customHeight="false" outlineLevel="0" collapsed="false">
      <c r="A974" s="22"/>
      <c r="B974" s="23"/>
      <c r="C974" s="24"/>
      <c r="D974" s="24"/>
      <c r="E974" s="24"/>
      <c r="F974" s="24"/>
      <c r="G974" s="25"/>
      <c r="H974" s="25"/>
      <c r="I974" s="24"/>
      <c r="J974" s="24"/>
      <c r="K974" s="25"/>
      <c r="L974" s="25"/>
      <c r="M974" s="26" t="str">
        <f aca="false">IF(G974="","",G974-N(H974))</f>
        <v/>
      </c>
      <c r="N974" s="26" t="str">
        <f aca="false">IF(G974="","",G974-N(K974)-N(L974))</f>
        <v/>
      </c>
      <c r="O974" s="27" t="str">
        <f aca="false">IF(G974="","",IF(N(H974)&gt;=G974,"Pago",IF(N(H974)&gt;0,"Parcial","Pendente")))</f>
        <v/>
      </c>
      <c r="P974" s="24"/>
    </row>
    <row r="975" customFormat="false" ht="15" hidden="false" customHeight="false" outlineLevel="0" collapsed="false">
      <c r="A975" s="22"/>
      <c r="B975" s="23"/>
      <c r="C975" s="24"/>
      <c r="D975" s="24"/>
      <c r="E975" s="24"/>
      <c r="F975" s="24"/>
      <c r="G975" s="25"/>
      <c r="H975" s="25"/>
      <c r="I975" s="24"/>
      <c r="J975" s="24"/>
      <c r="K975" s="25"/>
      <c r="L975" s="25"/>
      <c r="M975" s="26" t="str">
        <f aca="false">IF(G975="","",G975-N(H975))</f>
        <v/>
      </c>
      <c r="N975" s="26" t="str">
        <f aca="false">IF(G975="","",G975-N(K975)-N(L975))</f>
        <v/>
      </c>
      <c r="O975" s="27" t="str">
        <f aca="false">IF(G975="","",IF(N(H975)&gt;=G975,"Pago",IF(N(H975)&gt;0,"Parcial","Pendente")))</f>
        <v/>
      </c>
      <c r="P975" s="24"/>
    </row>
    <row r="976" customFormat="false" ht="15" hidden="false" customHeight="false" outlineLevel="0" collapsed="false">
      <c r="A976" s="22"/>
      <c r="B976" s="23"/>
      <c r="C976" s="24"/>
      <c r="D976" s="24"/>
      <c r="E976" s="24"/>
      <c r="F976" s="24"/>
      <c r="G976" s="25"/>
      <c r="H976" s="25"/>
      <c r="I976" s="24"/>
      <c r="J976" s="24"/>
      <c r="K976" s="25"/>
      <c r="L976" s="25"/>
      <c r="M976" s="26" t="str">
        <f aca="false">IF(G976="","",G976-N(H976))</f>
        <v/>
      </c>
      <c r="N976" s="26" t="str">
        <f aca="false">IF(G976="","",G976-N(K976)-N(L976))</f>
        <v/>
      </c>
      <c r="O976" s="27" t="str">
        <f aca="false">IF(G976="","",IF(N(H976)&gt;=G976,"Pago",IF(N(H976)&gt;0,"Parcial","Pendente")))</f>
        <v/>
      </c>
      <c r="P976" s="24"/>
    </row>
    <row r="977" customFormat="false" ht="15" hidden="false" customHeight="false" outlineLevel="0" collapsed="false">
      <c r="A977" s="22"/>
      <c r="B977" s="23"/>
      <c r="C977" s="24"/>
      <c r="D977" s="24"/>
      <c r="E977" s="24"/>
      <c r="F977" s="24"/>
      <c r="G977" s="25"/>
      <c r="H977" s="25"/>
      <c r="I977" s="24"/>
      <c r="J977" s="24"/>
      <c r="K977" s="25"/>
      <c r="L977" s="25"/>
      <c r="M977" s="26" t="str">
        <f aca="false">IF(G977="","",G977-N(H977))</f>
        <v/>
      </c>
      <c r="N977" s="26" t="str">
        <f aca="false">IF(G977="","",G977-N(K977)-N(L977))</f>
        <v/>
      </c>
      <c r="O977" s="27" t="str">
        <f aca="false">IF(G977="","",IF(N(H977)&gt;=G977,"Pago",IF(N(H977)&gt;0,"Parcial","Pendente")))</f>
        <v/>
      </c>
      <c r="P977" s="24"/>
    </row>
    <row r="978" customFormat="false" ht="15" hidden="false" customHeight="false" outlineLevel="0" collapsed="false">
      <c r="A978" s="22"/>
      <c r="B978" s="23"/>
      <c r="C978" s="24"/>
      <c r="D978" s="24"/>
      <c r="E978" s="24"/>
      <c r="F978" s="24"/>
      <c r="G978" s="25"/>
      <c r="H978" s="25"/>
      <c r="I978" s="24"/>
      <c r="J978" s="24"/>
      <c r="K978" s="25"/>
      <c r="L978" s="25"/>
      <c r="M978" s="26" t="str">
        <f aca="false">IF(G978="","",G978-N(H978))</f>
        <v/>
      </c>
      <c r="N978" s="26" t="str">
        <f aca="false">IF(G978="","",G978-N(K978)-N(L978))</f>
        <v/>
      </c>
      <c r="O978" s="27" t="str">
        <f aca="false">IF(G978="","",IF(N(H978)&gt;=G978,"Pago",IF(N(H978)&gt;0,"Parcial","Pendente")))</f>
        <v/>
      </c>
      <c r="P978" s="24"/>
    </row>
    <row r="979" customFormat="false" ht="15" hidden="false" customHeight="false" outlineLevel="0" collapsed="false">
      <c r="A979" s="22"/>
      <c r="B979" s="23"/>
      <c r="C979" s="24"/>
      <c r="D979" s="24"/>
      <c r="E979" s="24"/>
      <c r="F979" s="24"/>
      <c r="G979" s="25"/>
      <c r="H979" s="25"/>
      <c r="I979" s="24"/>
      <c r="J979" s="24"/>
      <c r="K979" s="25"/>
      <c r="L979" s="25"/>
      <c r="M979" s="26" t="str">
        <f aca="false">IF(G979="","",G979-N(H979))</f>
        <v/>
      </c>
      <c r="N979" s="26" t="str">
        <f aca="false">IF(G979="","",G979-N(K979)-N(L979))</f>
        <v/>
      </c>
      <c r="O979" s="27" t="str">
        <f aca="false">IF(G979="","",IF(N(H979)&gt;=G979,"Pago",IF(N(H979)&gt;0,"Parcial","Pendente")))</f>
        <v/>
      </c>
      <c r="P979" s="24"/>
    </row>
    <row r="980" customFormat="false" ht="15" hidden="false" customHeight="false" outlineLevel="0" collapsed="false">
      <c r="A980" s="22"/>
      <c r="B980" s="23"/>
      <c r="C980" s="24"/>
      <c r="D980" s="24"/>
      <c r="E980" s="24"/>
      <c r="F980" s="24"/>
      <c r="G980" s="25"/>
      <c r="H980" s="25"/>
      <c r="I980" s="24"/>
      <c r="J980" s="24"/>
      <c r="K980" s="25"/>
      <c r="L980" s="25"/>
      <c r="M980" s="26" t="str">
        <f aca="false">IF(G980="","",G980-N(H980))</f>
        <v/>
      </c>
      <c r="N980" s="26" t="str">
        <f aca="false">IF(G980="","",G980-N(K980)-N(L980))</f>
        <v/>
      </c>
      <c r="O980" s="27" t="str">
        <f aca="false">IF(G980="","",IF(N(H980)&gt;=G980,"Pago",IF(N(H980)&gt;0,"Parcial","Pendente")))</f>
        <v/>
      </c>
      <c r="P980" s="24"/>
    </row>
    <row r="981" customFormat="false" ht="15" hidden="false" customHeight="false" outlineLevel="0" collapsed="false">
      <c r="A981" s="22"/>
      <c r="B981" s="23"/>
      <c r="C981" s="24"/>
      <c r="D981" s="24"/>
      <c r="E981" s="24"/>
      <c r="F981" s="24"/>
      <c r="G981" s="25"/>
      <c r="H981" s="25"/>
      <c r="I981" s="24"/>
      <c r="J981" s="24"/>
      <c r="K981" s="25"/>
      <c r="L981" s="25"/>
      <c r="M981" s="26" t="str">
        <f aca="false">IF(G981="","",G981-N(H981))</f>
        <v/>
      </c>
      <c r="N981" s="26" t="str">
        <f aca="false">IF(G981="","",G981-N(K981)-N(L981))</f>
        <v/>
      </c>
      <c r="O981" s="27" t="str">
        <f aca="false">IF(G981="","",IF(N(H981)&gt;=G981,"Pago",IF(N(H981)&gt;0,"Parcial","Pendente")))</f>
        <v/>
      </c>
      <c r="P981" s="24"/>
    </row>
    <row r="982" customFormat="false" ht="15" hidden="false" customHeight="false" outlineLevel="0" collapsed="false">
      <c r="A982" s="22"/>
      <c r="B982" s="23"/>
      <c r="C982" s="24"/>
      <c r="D982" s="24"/>
      <c r="E982" s="24"/>
      <c r="F982" s="24"/>
      <c r="G982" s="25"/>
      <c r="H982" s="25"/>
      <c r="I982" s="24"/>
      <c r="J982" s="24"/>
      <c r="K982" s="25"/>
      <c r="L982" s="25"/>
      <c r="M982" s="26" t="str">
        <f aca="false">IF(G982="","",G982-N(H982))</f>
        <v/>
      </c>
      <c r="N982" s="26" t="str">
        <f aca="false">IF(G982="","",G982-N(K982)-N(L982))</f>
        <v/>
      </c>
      <c r="O982" s="27" t="str">
        <f aca="false">IF(G982="","",IF(N(H982)&gt;=G982,"Pago",IF(N(H982)&gt;0,"Parcial","Pendente")))</f>
        <v/>
      </c>
      <c r="P982" s="24"/>
    </row>
    <row r="983" customFormat="false" ht="15" hidden="false" customHeight="false" outlineLevel="0" collapsed="false">
      <c r="A983" s="22"/>
      <c r="B983" s="23"/>
      <c r="C983" s="24"/>
      <c r="D983" s="24"/>
      <c r="E983" s="24"/>
      <c r="F983" s="24"/>
      <c r="G983" s="25"/>
      <c r="H983" s="25"/>
      <c r="I983" s="24"/>
      <c r="J983" s="24"/>
      <c r="K983" s="25"/>
      <c r="L983" s="25"/>
      <c r="M983" s="26" t="str">
        <f aca="false">IF(G983="","",G983-N(H983))</f>
        <v/>
      </c>
      <c r="N983" s="26" t="str">
        <f aca="false">IF(G983="","",G983-N(K983)-N(L983))</f>
        <v/>
      </c>
      <c r="O983" s="27" t="str">
        <f aca="false">IF(G983="","",IF(N(H983)&gt;=G983,"Pago",IF(N(H983)&gt;0,"Parcial","Pendente")))</f>
        <v/>
      </c>
      <c r="P983" s="24"/>
    </row>
    <row r="984" customFormat="false" ht="15" hidden="false" customHeight="false" outlineLevel="0" collapsed="false">
      <c r="A984" s="22"/>
      <c r="B984" s="23"/>
      <c r="C984" s="24"/>
      <c r="D984" s="24"/>
      <c r="E984" s="24"/>
      <c r="F984" s="24"/>
      <c r="G984" s="25"/>
      <c r="H984" s="25"/>
      <c r="I984" s="24"/>
      <c r="J984" s="24"/>
      <c r="K984" s="25"/>
      <c r="L984" s="25"/>
      <c r="M984" s="26" t="str">
        <f aca="false">IF(G984="","",G984-N(H984))</f>
        <v/>
      </c>
      <c r="N984" s="26" t="str">
        <f aca="false">IF(G984="","",G984-N(K984)-N(L984))</f>
        <v/>
      </c>
      <c r="O984" s="27" t="str">
        <f aca="false">IF(G984="","",IF(N(H984)&gt;=G984,"Pago",IF(N(H984)&gt;0,"Parcial","Pendente")))</f>
        <v/>
      </c>
      <c r="P984" s="24"/>
    </row>
    <row r="985" customFormat="false" ht="15" hidden="false" customHeight="false" outlineLevel="0" collapsed="false">
      <c r="A985" s="22"/>
      <c r="B985" s="23"/>
      <c r="C985" s="24"/>
      <c r="D985" s="24"/>
      <c r="E985" s="24"/>
      <c r="F985" s="24"/>
      <c r="G985" s="25"/>
      <c r="H985" s="25"/>
      <c r="I985" s="24"/>
      <c r="J985" s="24"/>
      <c r="K985" s="25"/>
      <c r="L985" s="25"/>
      <c r="M985" s="26" t="str">
        <f aca="false">IF(G985="","",G985-N(H985))</f>
        <v/>
      </c>
      <c r="N985" s="26" t="str">
        <f aca="false">IF(G985="","",G985-N(K985)-N(L985))</f>
        <v/>
      </c>
      <c r="O985" s="27" t="str">
        <f aca="false">IF(G985="","",IF(N(H985)&gt;=G985,"Pago",IF(N(H985)&gt;0,"Parcial","Pendente")))</f>
        <v/>
      </c>
      <c r="P985" s="24"/>
    </row>
    <row r="986" customFormat="false" ht="15" hidden="false" customHeight="false" outlineLevel="0" collapsed="false">
      <c r="A986" s="22"/>
      <c r="B986" s="23"/>
      <c r="C986" s="24"/>
      <c r="D986" s="24"/>
      <c r="E986" s="24"/>
      <c r="F986" s="24"/>
      <c r="G986" s="25"/>
      <c r="H986" s="25"/>
      <c r="I986" s="24"/>
      <c r="J986" s="24"/>
      <c r="K986" s="25"/>
      <c r="L986" s="25"/>
      <c r="M986" s="26" t="str">
        <f aca="false">IF(G986="","",G986-N(H986))</f>
        <v/>
      </c>
      <c r="N986" s="26" t="str">
        <f aca="false">IF(G986="","",G986-N(K986)-N(L986))</f>
        <v/>
      </c>
      <c r="O986" s="27" t="str">
        <f aca="false">IF(G986="","",IF(N(H986)&gt;=G986,"Pago",IF(N(H986)&gt;0,"Parcial","Pendente")))</f>
        <v/>
      </c>
      <c r="P986" s="24"/>
    </row>
    <row r="987" customFormat="false" ht="15" hidden="false" customHeight="false" outlineLevel="0" collapsed="false">
      <c r="A987" s="22"/>
      <c r="B987" s="23"/>
      <c r="C987" s="24"/>
      <c r="D987" s="24"/>
      <c r="E987" s="24"/>
      <c r="F987" s="24"/>
      <c r="G987" s="25"/>
      <c r="H987" s="25"/>
      <c r="I987" s="24"/>
      <c r="J987" s="24"/>
      <c r="K987" s="25"/>
      <c r="L987" s="25"/>
      <c r="M987" s="26" t="str">
        <f aca="false">IF(G987="","",G987-N(H987))</f>
        <v/>
      </c>
      <c r="N987" s="26" t="str">
        <f aca="false">IF(G987="","",G987-N(K987)-N(L987))</f>
        <v/>
      </c>
      <c r="O987" s="27" t="str">
        <f aca="false">IF(G987="","",IF(N(H987)&gt;=G987,"Pago",IF(N(H987)&gt;0,"Parcial","Pendente")))</f>
        <v/>
      </c>
      <c r="P987" s="24"/>
    </row>
    <row r="988" customFormat="false" ht="15" hidden="false" customHeight="false" outlineLevel="0" collapsed="false">
      <c r="A988" s="22"/>
      <c r="B988" s="23"/>
      <c r="C988" s="24"/>
      <c r="D988" s="24"/>
      <c r="E988" s="24"/>
      <c r="F988" s="24"/>
      <c r="G988" s="25"/>
      <c r="H988" s="25"/>
      <c r="I988" s="24"/>
      <c r="J988" s="24"/>
      <c r="K988" s="25"/>
      <c r="L988" s="25"/>
      <c r="M988" s="26" t="str">
        <f aca="false">IF(G988="","",G988-N(H988))</f>
        <v/>
      </c>
      <c r="N988" s="26" t="str">
        <f aca="false">IF(G988="","",G988-N(K988)-N(L988))</f>
        <v/>
      </c>
      <c r="O988" s="27" t="str">
        <f aca="false">IF(G988="","",IF(N(H988)&gt;=G988,"Pago",IF(N(H988)&gt;0,"Parcial","Pendente")))</f>
        <v/>
      </c>
      <c r="P988" s="24"/>
    </row>
    <row r="989" customFormat="false" ht="15" hidden="false" customHeight="false" outlineLevel="0" collapsed="false">
      <c r="A989" s="22"/>
      <c r="B989" s="23"/>
      <c r="C989" s="24"/>
      <c r="D989" s="24"/>
      <c r="E989" s="24"/>
      <c r="F989" s="24"/>
      <c r="G989" s="25"/>
      <c r="H989" s="25"/>
      <c r="I989" s="24"/>
      <c r="J989" s="24"/>
      <c r="K989" s="25"/>
      <c r="L989" s="25"/>
      <c r="M989" s="26" t="str">
        <f aca="false">IF(G989="","",G989-N(H989))</f>
        <v/>
      </c>
      <c r="N989" s="26" t="str">
        <f aca="false">IF(G989="","",G989-N(K989)-N(L989))</f>
        <v/>
      </c>
      <c r="O989" s="27" t="str">
        <f aca="false">IF(G989="","",IF(N(H989)&gt;=G989,"Pago",IF(N(H989)&gt;0,"Parcial","Pendente")))</f>
        <v/>
      </c>
      <c r="P989" s="24"/>
    </row>
    <row r="990" customFormat="false" ht="15" hidden="false" customHeight="false" outlineLevel="0" collapsed="false">
      <c r="A990" s="22"/>
      <c r="B990" s="23"/>
      <c r="C990" s="24"/>
      <c r="D990" s="24"/>
      <c r="E990" s="24"/>
      <c r="F990" s="24"/>
      <c r="G990" s="25"/>
      <c r="H990" s="25"/>
      <c r="I990" s="24"/>
      <c r="J990" s="24"/>
      <c r="K990" s="25"/>
      <c r="L990" s="25"/>
      <c r="M990" s="26" t="str">
        <f aca="false">IF(G990="","",G990-N(H990))</f>
        <v/>
      </c>
      <c r="N990" s="26" t="str">
        <f aca="false">IF(G990="","",G990-N(K990)-N(L990))</f>
        <v/>
      </c>
      <c r="O990" s="27" t="str">
        <f aca="false">IF(G990="","",IF(N(H990)&gt;=G990,"Pago",IF(N(H990)&gt;0,"Parcial","Pendente")))</f>
        <v/>
      </c>
      <c r="P990" s="24"/>
    </row>
    <row r="991" customFormat="false" ht="15" hidden="false" customHeight="false" outlineLevel="0" collapsed="false">
      <c r="A991" s="22"/>
      <c r="B991" s="23"/>
      <c r="C991" s="24"/>
      <c r="D991" s="24"/>
      <c r="E991" s="24"/>
      <c r="F991" s="24"/>
      <c r="G991" s="25"/>
      <c r="H991" s="25"/>
      <c r="I991" s="24"/>
      <c r="J991" s="24"/>
      <c r="K991" s="25"/>
      <c r="L991" s="25"/>
      <c r="M991" s="26" t="str">
        <f aca="false">IF(G991="","",G991-N(H991))</f>
        <v/>
      </c>
      <c r="N991" s="26" t="str">
        <f aca="false">IF(G991="","",G991-N(K991)-N(L991))</f>
        <v/>
      </c>
      <c r="O991" s="27" t="str">
        <f aca="false">IF(G991="","",IF(N(H991)&gt;=G991,"Pago",IF(N(H991)&gt;0,"Parcial","Pendente")))</f>
        <v/>
      </c>
      <c r="P991" s="24"/>
    </row>
    <row r="992" customFormat="false" ht="15" hidden="false" customHeight="false" outlineLevel="0" collapsed="false">
      <c r="A992" s="22"/>
      <c r="B992" s="23"/>
      <c r="C992" s="24"/>
      <c r="D992" s="24"/>
      <c r="E992" s="24"/>
      <c r="F992" s="24"/>
      <c r="G992" s="25"/>
      <c r="H992" s="25"/>
      <c r="I992" s="24"/>
      <c r="J992" s="24"/>
      <c r="K992" s="25"/>
      <c r="L992" s="25"/>
      <c r="M992" s="26" t="str">
        <f aca="false">IF(G992="","",G992-N(H992))</f>
        <v/>
      </c>
      <c r="N992" s="26" t="str">
        <f aca="false">IF(G992="","",G992-N(K992)-N(L992))</f>
        <v/>
      </c>
      <c r="O992" s="27" t="str">
        <f aca="false">IF(G992="","",IF(N(H992)&gt;=G992,"Pago",IF(N(H992)&gt;0,"Parcial","Pendente")))</f>
        <v/>
      </c>
      <c r="P992" s="24"/>
    </row>
    <row r="993" customFormat="false" ht="15" hidden="false" customHeight="false" outlineLevel="0" collapsed="false">
      <c r="A993" s="22"/>
      <c r="B993" s="23"/>
      <c r="C993" s="24"/>
      <c r="D993" s="24"/>
      <c r="E993" s="24"/>
      <c r="F993" s="24"/>
      <c r="G993" s="25"/>
      <c r="H993" s="25"/>
      <c r="I993" s="24"/>
      <c r="J993" s="24"/>
      <c r="K993" s="25"/>
      <c r="L993" s="25"/>
      <c r="M993" s="26" t="str">
        <f aca="false">IF(G993="","",G993-N(H993))</f>
        <v/>
      </c>
      <c r="N993" s="26" t="str">
        <f aca="false">IF(G993="","",G993-N(K993)-N(L993))</f>
        <v/>
      </c>
      <c r="O993" s="27" t="str">
        <f aca="false">IF(G993="","",IF(N(H993)&gt;=G993,"Pago",IF(N(H993)&gt;0,"Parcial","Pendente")))</f>
        <v/>
      </c>
      <c r="P993" s="24"/>
    </row>
    <row r="994" customFormat="false" ht="15" hidden="false" customHeight="false" outlineLevel="0" collapsed="false">
      <c r="A994" s="22"/>
      <c r="B994" s="23"/>
      <c r="C994" s="24"/>
      <c r="D994" s="24"/>
      <c r="E994" s="24"/>
      <c r="F994" s="24"/>
      <c r="G994" s="25"/>
      <c r="H994" s="25"/>
      <c r="I994" s="24"/>
      <c r="J994" s="24"/>
      <c r="K994" s="25"/>
      <c r="L994" s="25"/>
      <c r="M994" s="26" t="str">
        <f aca="false">IF(G994="","",G994-N(H994))</f>
        <v/>
      </c>
      <c r="N994" s="26" t="str">
        <f aca="false">IF(G994="","",G994-N(K994)-N(L994))</f>
        <v/>
      </c>
      <c r="O994" s="27" t="str">
        <f aca="false">IF(G994="","",IF(N(H994)&gt;=G994,"Pago",IF(N(H994)&gt;0,"Parcial","Pendente")))</f>
        <v/>
      </c>
      <c r="P994" s="24"/>
    </row>
    <row r="995" customFormat="false" ht="15" hidden="false" customHeight="false" outlineLevel="0" collapsed="false">
      <c r="A995" s="22"/>
      <c r="B995" s="23"/>
      <c r="C995" s="24"/>
      <c r="D995" s="24"/>
      <c r="E995" s="24"/>
      <c r="F995" s="24"/>
      <c r="G995" s="25"/>
      <c r="H995" s="25"/>
      <c r="I995" s="24"/>
      <c r="J995" s="24"/>
      <c r="K995" s="25"/>
      <c r="L995" s="25"/>
      <c r="M995" s="26" t="str">
        <f aca="false">IF(G995="","",G995-N(H995))</f>
        <v/>
      </c>
      <c r="N995" s="26" t="str">
        <f aca="false">IF(G995="","",G995-N(K995)-N(L995))</f>
        <v/>
      </c>
      <c r="O995" s="27" t="str">
        <f aca="false">IF(G995="","",IF(N(H995)&gt;=G995,"Pago",IF(N(H995)&gt;0,"Parcial","Pendente")))</f>
        <v/>
      </c>
      <c r="P995" s="24"/>
    </row>
    <row r="996" customFormat="false" ht="15" hidden="false" customHeight="false" outlineLevel="0" collapsed="false">
      <c r="A996" s="22"/>
      <c r="B996" s="23"/>
      <c r="C996" s="24"/>
      <c r="D996" s="24"/>
      <c r="E996" s="24"/>
      <c r="F996" s="24"/>
      <c r="G996" s="25"/>
      <c r="H996" s="25"/>
      <c r="I996" s="24"/>
      <c r="J996" s="24"/>
      <c r="K996" s="25"/>
      <c r="L996" s="25"/>
      <c r="M996" s="26" t="str">
        <f aca="false">IF(G996="","",G996-N(H996))</f>
        <v/>
      </c>
      <c r="N996" s="26" t="str">
        <f aca="false">IF(G996="","",G996-N(K996)-N(L996))</f>
        <v/>
      </c>
      <c r="O996" s="27" t="str">
        <f aca="false">IF(G996="","",IF(N(H996)&gt;=G996,"Pago",IF(N(H996)&gt;0,"Parcial","Pendente")))</f>
        <v/>
      </c>
      <c r="P996" s="24"/>
    </row>
    <row r="997" customFormat="false" ht="15" hidden="false" customHeight="false" outlineLevel="0" collapsed="false">
      <c r="A997" s="22"/>
      <c r="B997" s="23"/>
      <c r="C997" s="24"/>
      <c r="D997" s="24"/>
      <c r="E997" s="24"/>
      <c r="F997" s="24"/>
      <c r="G997" s="25"/>
      <c r="H997" s="25"/>
      <c r="I997" s="24"/>
      <c r="J997" s="24"/>
      <c r="K997" s="25"/>
      <c r="L997" s="25"/>
      <c r="M997" s="26" t="str">
        <f aca="false">IF(G997="","",G997-N(H997))</f>
        <v/>
      </c>
      <c r="N997" s="26" t="str">
        <f aca="false">IF(G997="","",G997-N(K997)-N(L997))</f>
        <v/>
      </c>
      <c r="O997" s="27" t="str">
        <f aca="false">IF(G997="","",IF(N(H997)&gt;=G997,"Pago",IF(N(H997)&gt;0,"Parcial","Pendente")))</f>
        <v/>
      </c>
      <c r="P997" s="24"/>
    </row>
    <row r="998" customFormat="false" ht="15" hidden="false" customHeight="false" outlineLevel="0" collapsed="false">
      <c r="A998" s="22"/>
      <c r="B998" s="23"/>
      <c r="C998" s="24"/>
      <c r="D998" s="24"/>
      <c r="E998" s="24"/>
      <c r="F998" s="24"/>
      <c r="G998" s="25"/>
      <c r="H998" s="25"/>
      <c r="I998" s="24"/>
      <c r="J998" s="24"/>
      <c r="K998" s="25"/>
      <c r="L998" s="25"/>
      <c r="M998" s="26" t="str">
        <f aca="false">IF(G998="","",G998-N(H998))</f>
        <v/>
      </c>
      <c r="N998" s="26" t="str">
        <f aca="false">IF(G998="","",G998-N(K998)-N(L998))</f>
        <v/>
      </c>
      <c r="O998" s="27" t="str">
        <f aca="false">IF(G998="","",IF(N(H998)&gt;=G998,"Pago",IF(N(H998)&gt;0,"Parcial","Pendente")))</f>
        <v/>
      </c>
      <c r="P998" s="24"/>
    </row>
    <row r="999" customFormat="false" ht="15" hidden="false" customHeight="false" outlineLevel="0" collapsed="false">
      <c r="A999" s="22"/>
      <c r="B999" s="23"/>
      <c r="C999" s="24"/>
      <c r="D999" s="24"/>
      <c r="E999" s="24"/>
      <c r="F999" s="24"/>
      <c r="G999" s="25"/>
      <c r="H999" s="25"/>
      <c r="I999" s="24"/>
      <c r="J999" s="24"/>
      <c r="K999" s="25"/>
      <c r="L999" s="25"/>
      <c r="M999" s="26" t="str">
        <f aca="false">IF(G999="","",G999-N(H999))</f>
        <v/>
      </c>
      <c r="N999" s="26" t="str">
        <f aca="false">IF(G999="","",G999-N(K999)-N(L999))</f>
        <v/>
      </c>
      <c r="O999" s="27" t="str">
        <f aca="false">IF(G999="","",IF(N(H999)&gt;=G999,"Pago",IF(N(H999)&gt;0,"Parcial","Pendente")))</f>
        <v/>
      </c>
      <c r="P999" s="24"/>
    </row>
    <row r="1000" customFormat="false" ht="15" hidden="false" customHeight="false" outlineLevel="0" collapsed="false">
      <c r="A1000" s="22"/>
      <c r="B1000" s="23"/>
      <c r="C1000" s="24"/>
      <c r="D1000" s="24"/>
      <c r="E1000" s="24"/>
      <c r="F1000" s="24"/>
      <c r="G1000" s="25"/>
      <c r="H1000" s="25"/>
      <c r="I1000" s="24"/>
      <c r="J1000" s="24"/>
      <c r="K1000" s="25"/>
      <c r="L1000" s="25"/>
      <c r="M1000" s="26" t="str">
        <f aca="false">IF(G1000="","",G1000-N(H1000))</f>
        <v/>
      </c>
      <c r="N1000" s="26" t="str">
        <f aca="false">IF(G1000="","",G1000-N(K1000)-N(L1000))</f>
        <v/>
      </c>
      <c r="O1000" s="27" t="str">
        <f aca="false">IF(G1000="","",IF(N(H1000)&gt;=G1000,"Pago",IF(N(H1000)&gt;0,"Parcial","Pendente")))</f>
        <v/>
      </c>
      <c r="P1000" s="24"/>
    </row>
    <row r="1001" customFormat="false" ht="15" hidden="false" customHeight="false" outlineLevel="0" collapsed="false">
      <c r="A1001" s="22"/>
      <c r="B1001" s="23"/>
      <c r="C1001" s="24"/>
      <c r="D1001" s="24"/>
      <c r="E1001" s="24"/>
      <c r="F1001" s="24"/>
      <c r="G1001" s="25"/>
      <c r="H1001" s="25"/>
      <c r="I1001" s="24"/>
      <c r="J1001" s="24"/>
      <c r="K1001" s="25"/>
      <c r="L1001" s="25"/>
      <c r="M1001" s="26" t="str">
        <f aca="false">IF(G1001="","",G1001-N(H1001))</f>
        <v/>
      </c>
      <c r="N1001" s="26" t="str">
        <f aca="false">IF(G1001="","",G1001-N(K1001)-N(L1001))</f>
        <v/>
      </c>
      <c r="O1001" s="27" t="str">
        <f aca="false">IF(G1001="","",IF(N(H1001)&gt;=G1001,"Pago",IF(N(H1001)&gt;0,"Parcial","Pendente")))</f>
        <v/>
      </c>
      <c r="P1001" s="24"/>
    </row>
  </sheetData>
  <autoFilter ref="A1:P1001"/>
  <conditionalFormatting sqref="O2:O1001">
    <cfRule type="cellIs" priority="2" operator="equal" aboveAverage="0" equalAverage="0" bottom="0" percent="0" rank="0" text="" dxfId="12">
      <formula>"Pago"</formula>
    </cfRule>
    <cfRule type="cellIs" priority="3" operator="equal" aboveAverage="0" equalAverage="0" bottom="0" percent="0" rank="0" text="" dxfId="13">
      <formula>"Parcial"</formula>
    </cfRule>
    <cfRule type="cellIs" priority="4" operator="equal" aboveAverage="0" equalAverage="0" bottom="0" percent="0" rank="0" text="" dxfId="14">
      <formula>"Pendente"</formula>
    </cfRule>
  </conditionalFormatting>
  <dataValidations count="3">
    <dataValidation allowBlank="true" errorStyle="stop" operator="between" showDropDown="false" showErrorMessage="false" showInputMessage="false" sqref="D2:D1001" type="list">
      <formula1>Listas!$A$2:$A$40</formula1>
      <formula2>0</formula2>
    </dataValidation>
    <dataValidation allowBlank="true" errorStyle="stop" operator="between" showDropDown="false" showErrorMessage="false" showInputMessage="false" sqref="I2:I1001" type="list">
      <formula1>Listas!$C$2:$C$40</formula1>
      <formula2>0</formula2>
    </dataValidation>
    <dataValidation allowBlank="true" errorStyle="stop" operator="between" prompt="Escolha um cliente da aba Clientes ou digite o nome." promptTitle="Dica" showDropDown="false" showErrorMessage="false" showInputMessage="true" sqref="C2:C1001" type="list">
      <formula1>Clientes!$A$2:$A$1001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2E24"/>
    <pageSetUpPr fitToPage="false"/>
  </sheetPr>
  <dimension ref="A1:H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2"/>
  </cols>
  <sheetData>
    <row r="1" customFormat="false" ht="33.75" hidden="false" customHeight="true" outlineLevel="0" collapsed="false">
      <c r="A1" s="10" t="s">
        <v>141</v>
      </c>
      <c r="B1" s="10" t="s">
        <v>78</v>
      </c>
      <c r="C1" s="10" t="s">
        <v>73</v>
      </c>
      <c r="D1" s="10" t="s">
        <v>142</v>
      </c>
      <c r="E1" s="10" t="s">
        <v>76</v>
      </c>
      <c r="F1" s="10" t="s">
        <v>143</v>
      </c>
      <c r="G1" s="10" t="s">
        <v>144</v>
      </c>
      <c r="H1" s="10" t="s">
        <v>145</v>
      </c>
    </row>
    <row r="2" customFormat="false" ht="15" hidden="false" customHeight="false" outlineLevel="0" collapsed="false">
      <c r="A2" s="22" t="n">
        <v>46015</v>
      </c>
      <c r="B2" s="24" t="s">
        <v>87</v>
      </c>
      <c r="C2" s="24" t="s">
        <v>88</v>
      </c>
      <c r="D2" s="24" t="s">
        <v>89</v>
      </c>
      <c r="E2" s="22" t="n">
        <v>46046</v>
      </c>
      <c r="F2" s="25" t="n">
        <v>4800</v>
      </c>
      <c r="G2" s="24" t="s">
        <v>146</v>
      </c>
      <c r="H2" s="24" t="s">
        <v>93</v>
      </c>
    </row>
    <row r="3" customFormat="false" ht="15" hidden="false" customHeight="false" outlineLevel="0" collapsed="false">
      <c r="A3" s="22" t="n">
        <v>46036</v>
      </c>
      <c r="B3" s="24" t="s">
        <v>94</v>
      </c>
      <c r="C3" s="24" t="s">
        <v>95</v>
      </c>
      <c r="D3" s="24" t="s">
        <v>96</v>
      </c>
      <c r="E3" s="22" t="n">
        <v>46067</v>
      </c>
      <c r="F3" s="25" t="n">
        <v>1200</v>
      </c>
      <c r="G3" s="24" t="s">
        <v>146</v>
      </c>
      <c r="H3" s="24" t="s">
        <v>93</v>
      </c>
    </row>
    <row r="4" customFormat="false" ht="15" hidden="false" customHeight="false" outlineLevel="0" collapsed="false">
      <c r="A4" s="22" t="n">
        <v>46055</v>
      </c>
      <c r="B4" s="24" t="s">
        <v>147</v>
      </c>
      <c r="C4" s="24" t="s">
        <v>88</v>
      </c>
      <c r="D4" s="24" t="s">
        <v>148</v>
      </c>
      <c r="E4" s="22" t="n">
        <v>46179</v>
      </c>
      <c r="F4" s="25" t="n">
        <v>6500</v>
      </c>
      <c r="G4" s="24" t="s">
        <v>149</v>
      </c>
      <c r="H4" s="24" t="s">
        <v>150</v>
      </c>
    </row>
    <row r="5" customFormat="false" ht="23.85" hidden="false" customHeight="false" outlineLevel="0" collapsed="false">
      <c r="A5" s="22" t="n">
        <v>46060</v>
      </c>
      <c r="B5" s="24" t="s">
        <v>98</v>
      </c>
      <c r="C5" s="24" t="s">
        <v>99</v>
      </c>
      <c r="D5" s="24" t="s">
        <v>100</v>
      </c>
      <c r="E5" s="22" t="n">
        <v>46088</v>
      </c>
      <c r="F5" s="25" t="n">
        <v>3500</v>
      </c>
      <c r="G5" s="24" t="s">
        <v>146</v>
      </c>
      <c r="H5" s="24" t="s">
        <v>93</v>
      </c>
    </row>
    <row r="6" customFormat="false" ht="15" hidden="false" customHeight="false" outlineLevel="0" collapsed="false">
      <c r="A6" s="22" t="n">
        <v>46074</v>
      </c>
      <c r="B6" s="24" t="s">
        <v>103</v>
      </c>
      <c r="C6" s="24" t="s">
        <v>104</v>
      </c>
      <c r="D6" s="24" t="s">
        <v>105</v>
      </c>
      <c r="E6" s="22" t="n">
        <v>46102</v>
      </c>
      <c r="F6" s="25" t="n">
        <v>900</v>
      </c>
      <c r="G6" s="24" t="s">
        <v>146</v>
      </c>
      <c r="H6" s="24" t="s">
        <v>93</v>
      </c>
    </row>
    <row r="7" customFormat="false" ht="15" hidden="false" customHeight="false" outlineLevel="0" collapsed="false">
      <c r="A7" s="22" t="n">
        <v>46092</v>
      </c>
      <c r="B7" s="24" t="s">
        <v>107</v>
      </c>
      <c r="C7" s="24" t="s">
        <v>88</v>
      </c>
      <c r="D7" s="24" t="s">
        <v>108</v>
      </c>
      <c r="E7" s="22" t="n">
        <v>46123</v>
      </c>
      <c r="F7" s="25" t="n">
        <v>5200</v>
      </c>
      <c r="G7" s="24" t="s">
        <v>146</v>
      </c>
      <c r="H7" s="24" t="s">
        <v>93</v>
      </c>
    </row>
    <row r="8" customFormat="false" ht="15" hidden="false" customHeight="false" outlineLevel="0" collapsed="false">
      <c r="A8" s="22" t="n">
        <v>46115</v>
      </c>
      <c r="B8" s="24" t="s">
        <v>111</v>
      </c>
      <c r="C8" s="24" t="s">
        <v>112</v>
      </c>
      <c r="D8" s="24" t="s">
        <v>113</v>
      </c>
      <c r="E8" s="22" t="n">
        <v>46145</v>
      </c>
      <c r="F8" s="25" t="n">
        <v>750</v>
      </c>
      <c r="G8" s="24" t="s">
        <v>146</v>
      </c>
      <c r="H8" s="24" t="s">
        <v>93</v>
      </c>
    </row>
    <row r="9" customFormat="false" ht="15" hidden="false" customHeight="false" outlineLevel="0" collapsed="false">
      <c r="A9" s="22" t="n">
        <v>46127</v>
      </c>
      <c r="B9" s="24" t="s">
        <v>151</v>
      </c>
      <c r="C9" s="24" t="s">
        <v>95</v>
      </c>
      <c r="D9" s="24" t="s">
        <v>152</v>
      </c>
      <c r="E9" s="22" t="n">
        <v>46172</v>
      </c>
      <c r="F9" s="25" t="n">
        <v>900</v>
      </c>
      <c r="G9" s="24" t="s">
        <v>149</v>
      </c>
      <c r="H9" s="24" t="s">
        <v>153</v>
      </c>
    </row>
    <row r="10" customFormat="false" ht="15" hidden="false" customHeight="false" outlineLevel="0" collapsed="false">
      <c r="A10" s="22" t="n">
        <v>46132</v>
      </c>
      <c r="B10" s="24" t="s">
        <v>98</v>
      </c>
      <c r="C10" s="24" t="s">
        <v>114</v>
      </c>
      <c r="D10" s="24" t="s">
        <v>115</v>
      </c>
      <c r="E10" s="22" t="n">
        <v>46162</v>
      </c>
      <c r="F10" s="25" t="n">
        <v>960</v>
      </c>
      <c r="G10" s="24" t="s">
        <v>146</v>
      </c>
      <c r="H10" s="24" t="s">
        <v>93</v>
      </c>
    </row>
    <row r="11" customFormat="false" ht="15" hidden="false" customHeight="false" outlineLevel="0" collapsed="false">
      <c r="A11" s="22" t="n">
        <v>46155</v>
      </c>
      <c r="B11" s="24" t="s">
        <v>117</v>
      </c>
      <c r="C11" s="24" t="s">
        <v>88</v>
      </c>
      <c r="D11" s="24" t="s">
        <v>118</v>
      </c>
      <c r="E11" s="22" t="n">
        <v>46186</v>
      </c>
      <c r="F11" s="25" t="n">
        <v>3900</v>
      </c>
      <c r="G11" s="24" t="s">
        <v>146</v>
      </c>
      <c r="H11" s="24" t="s">
        <v>93</v>
      </c>
    </row>
    <row r="12" customFormat="false" ht="15" hidden="false" customHeight="false" outlineLevel="0" collapsed="false">
      <c r="A12" s="22" t="n">
        <v>46175</v>
      </c>
      <c r="B12" s="24" t="s">
        <v>154</v>
      </c>
      <c r="C12" s="24" t="s">
        <v>99</v>
      </c>
      <c r="D12" s="24" t="s">
        <v>155</v>
      </c>
      <c r="E12" s="22" t="n">
        <v>46213</v>
      </c>
      <c r="F12" s="25" t="n">
        <v>2500</v>
      </c>
      <c r="G12" s="24" t="s">
        <v>149</v>
      </c>
      <c r="H12" s="24" t="s">
        <v>156</v>
      </c>
    </row>
    <row r="13" customFormat="false" ht="15" hidden="false" customHeight="false" outlineLevel="0" collapsed="false">
      <c r="A13" s="22" t="n">
        <v>46191</v>
      </c>
      <c r="B13" s="24" t="s">
        <v>121</v>
      </c>
      <c r="C13" s="24" t="s">
        <v>95</v>
      </c>
      <c r="D13" s="24" t="s">
        <v>122</v>
      </c>
      <c r="E13" s="22" t="n">
        <v>46221</v>
      </c>
      <c r="F13" s="25" t="n">
        <v>2400</v>
      </c>
      <c r="G13" s="24" t="s">
        <v>146</v>
      </c>
      <c r="H13" s="24" t="s">
        <v>93</v>
      </c>
    </row>
    <row r="14" customFormat="false" ht="15" hidden="false" customHeight="false" outlineLevel="0" collapsed="false">
      <c r="A14" s="22" t="n">
        <v>46225</v>
      </c>
      <c r="B14" s="24" t="s">
        <v>124</v>
      </c>
      <c r="C14" s="24" t="s">
        <v>88</v>
      </c>
      <c r="D14" s="24" t="s">
        <v>125</v>
      </c>
      <c r="E14" s="22" t="n">
        <v>46256</v>
      </c>
      <c r="F14" s="25" t="n">
        <v>5600</v>
      </c>
      <c r="G14" s="24" t="s">
        <v>146</v>
      </c>
      <c r="H14" s="24" t="s">
        <v>93</v>
      </c>
    </row>
    <row r="15" customFormat="false" ht="15" hidden="false" customHeight="false" outlineLevel="0" collapsed="false">
      <c r="A15" s="22" t="n">
        <v>46239</v>
      </c>
      <c r="B15" s="24" t="s">
        <v>157</v>
      </c>
      <c r="C15" s="24" t="s">
        <v>112</v>
      </c>
      <c r="D15" s="24" t="s">
        <v>158</v>
      </c>
      <c r="E15" s="22" t="n">
        <v>46266</v>
      </c>
      <c r="F15" s="25" t="n">
        <v>650</v>
      </c>
      <c r="G15" s="24" t="s">
        <v>149</v>
      </c>
      <c r="H15" s="24" t="s">
        <v>93</v>
      </c>
    </row>
    <row r="16" customFormat="false" ht="15" hidden="false" customHeight="false" outlineLevel="0" collapsed="false">
      <c r="A16" s="22" t="n">
        <v>46246</v>
      </c>
      <c r="B16" s="24" t="s">
        <v>128</v>
      </c>
      <c r="C16" s="24" t="s">
        <v>129</v>
      </c>
      <c r="D16" s="24" t="s">
        <v>130</v>
      </c>
      <c r="E16" s="22" t="n">
        <v>46277</v>
      </c>
      <c r="F16" s="25" t="n">
        <v>1100</v>
      </c>
      <c r="G16" s="24" t="s">
        <v>146</v>
      </c>
      <c r="H16" s="24" t="s">
        <v>93</v>
      </c>
    </row>
    <row r="17" customFormat="false" ht="15" hidden="false" customHeight="false" outlineLevel="0" collapsed="false">
      <c r="A17" s="22" t="n">
        <v>46268</v>
      </c>
      <c r="B17" s="24" t="s">
        <v>131</v>
      </c>
      <c r="C17" s="24" t="s">
        <v>99</v>
      </c>
      <c r="D17" s="24" t="s">
        <v>132</v>
      </c>
      <c r="E17" s="22" t="n">
        <v>46298</v>
      </c>
      <c r="F17" s="25" t="n">
        <v>2800</v>
      </c>
      <c r="G17" s="24" t="s">
        <v>146</v>
      </c>
      <c r="H17" s="24" t="s">
        <v>93</v>
      </c>
    </row>
    <row r="18" customFormat="false" ht="15" hidden="false" customHeight="false" outlineLevel="0" collapsed="false">
      <c r="A18" s="22" t="n">
        <v>46290</v>
      </c>
      <c r="B18" s="24" t="s">
        <v>134</v>
      </c>
      <c r="C18" s="24" t="s">
        <v>104</v>
      </c>
      <c r="D18" s="24" t="s">
        <v>135</v>
      </c>
      <c r="E18" s="22" t="n">
        <v>46320</v>
      </c>
      <c r="F18" s="25" t="n">
        <v>1300</v>
      </c>
      <c r="G18" s="24" t="s">
        <v>146</v>
      </c>
      <c r="H18" s="24" t="s">
        <v>93</v>
      </c>
    </row>
    <row r="19" customFormat="false" ht="15" hidden="false" customHeight="false" outlineLevel="0" collapsed="false">
      <c r="A19" s="22" t="n">
        <v>46293</v>
      </c>
      <c r="B19" s="24" t="s">
        <v>159</v>
      </c>
      <c r="C19" s="24" t="s">
        <v>88</v>
      </c>
      <c r="D19" s="24" t="s">
        <v>160</v>
      </c>
      <c r="E19" s="22" t="n">
        <v>46466</v>
      </c>
      <c r="F19" s="25" t="n">
        <v>5900</v>
      </c>
      <c r="G19" s="24" t="s">
        <v>161</v>
      </c>
      <c r="H19" s="24" t="s">
        <v>93</v>
      </c>
    </row>
    <row r="20" customFormat="false" ht="15" hidden="false" customHeight="false" outlineLevel="0" collapsed="false">
      <c r="A20" s="22" t="n">
        <v>46301</v>
      </c>
      <c r="B20" s="24" t="s">
        <v>162</v>
      </c>
      <c r="C20" s="24" t="s">
        <v>114</v>
      </c>
      <c r="D20" s="24" t="s">
        <v>163</v>
      </c>
      <c r="E20" s="22" t="n">
        <v>46327</v>
      </c>
      <c r="F20" s="25" t="n">
        <v>1400</v>
      </c>
      <c r="G20" s="24" t="s">
        <v>161</v>
      </c>
      <c r="H20" s="24" t="s">
        <v>93</v>
      </c>
    </row>
    <row r="21" customFormat="false" ht="15" hidden="false" customHeight="false" outlineLevel="0" collapsed="false">
      <c r="A21" s="22" t="n">
        <v>46316</v>
      </c>
      <c r="B21" s="24" t="s">
        <v>136</v>
      </c>
      <c r="C21" s="24" t="s">
        <v>88</v>
      </c>
      <c r="D21" s="24" t="s">
        <v>137</v>
      </c>
      <c r="E21" s="22" t="n">
        <v>46347</v>
      </c>
      <c r="F21" s="25" t="n">
        <v>6200</v>
      </c>
      <c r="G21" s="24" t="s">
        <v>146</v>
      </c>
      <c r="H21" s="24" t="s">
        <v>93</v>
      </c>
    </row>
    <row r="22" customFormat="false" ht="15" hidden="false" customHeight="false" outlineLevel="0" collapsed="false">
      <c r="A22" s="22" t="n">
        <v>46338</v>
      </c>
      <c r="B22" s="24" t="s">
        <v>138</v>
      </c>
      <c r="C22" s="24" t="s">
        <v>95</v>
      </c>
      <c r="D22" s="24" t="s">
        <v>139</v>
      </c>
      <c r="E22" s="22" t="n">
        <v>46368</v>
      </c>
      <c r="F22" s="25" t="n">
        <v>1100</v>
      </c>
      <c r="G22" s="24" t="s">
        <v>146</v>
      </c>
      <c r="H22" s="24" t="s">
        <v>93</v>
      </c>
    </row>
    <row r="23" customFormat="false" ht="15" hidden="false" customHeight="false" outlineLevel="0" collapsed="false">
      <c r="A23" s="22"/>
      <c r="B23" s="24"/>
      <c r="C23" s="24"/>
      <c r="D23" s="24"/>
      <c r="E23" s="22"/>
      <c r="F23" s="25"/>
      <c r="G23" s="24"/>
      <c r="H23" s="24"/>
    </row>
    <row r="24" customFormat="false" ht="15" hidden="false" customHeight="false" outlineLevel="0" collapsed="false">
      <c r="A24" s="22"/>
      <c r="B24" s="24"/>
      <c r="C24" s="24"/>
      <c r="D24" s="24"/>
      <c r="E24" s="22"/>
      <c r="F24" s="25"/>
      <c r="G24" s="24"/>
      <c r="H24" s="24"/>
    </row>
    <row r="25" customFormat="false" ht="15" hidden="false" customHeight="false" outlineLevel="0" collapsed="false">
      <c r="A25" s="22"/>
      <c r="B25" s="24"/>
      <c r="C25" s="24"/>
      <c r="D25" s="24"/>
      <c r="E25" s="22"/>
      <c r="F25" s="25"/>
      <c r="G25" s="24"/>
      <c r="H25" s="24"/>
    </row>
    <row r="26" customFormat="false" ht="15" hidden="false" customHeight="false" outlineLevel="0" collapsed="false">
      <c r="A26" s="22"/>
      <c r="B26" s="24"/>
      <c r="C26" s="24"/>
      <c r="D26" s="24"/>
      <c r="E26" s="22"/>
      <c r="F26" s="25"/>
      <c r="G26" s="24"/>
      <c r="H26" s="24"/>
    </row>
    <row r="27" customFormat="false" ht="15" hidden="false" customHeight="false" outlineLevel="0" collapsed="false">
      <c r="A27" s="22"/>
      <c r="B27" s="24"/>
      <c r="C27" s="24"/>
      <c r="D27" s="24"/>
      <c r="E27" s="22"/>
      <c r="F27" s="25"/>
      <c r="G27" s="24"/>
      <c r="H27" s="24"/>
    </row>
    <row r="28" customFormat="false" ht="15" hidden="false" customHeight="false" outlineLevel="0" collapsed="false">
      <c r="A28" s="22"/>
      <c r="B28" s="24"/>
      <c r="C28" s="24"/>
      <c r="D28" s="24"/>
      <c r="E28" s="22"/>
      <c r="F28" s="25"/>
      <c r="G28" s="24"/>
      <c r="H28" s="24"/>
    </row>
    <row r="29" customFormat="false" ht="15" hidden="false" customHeight="false" outlineLevel="0" collapsed="false">
      <c r="A29" s="22"/>
      <c r="B29" s="24"/>
      <c r="C29" s="24"/>
      <c r="D29" s="24"/>
      <c r="E29" s="22"/>
      <c r="F29" s="25"/>
      <c r="G29" s="24"/>
      <c r="H29" s="24"/>
    </row>
    <row r="30" customFormat="false" ht="15" hidden="false" customHeight="false" outlineLevel="0" collapsed="false">
      <c r="A30" s="22"/>
      <c r="B30" s="24"/>
      <c r="C30" s="24"/>
      <c r="D30" s="24"/>
      <c r="E30" s="22"/>
      <c r="F30" s="25"/>
      <c r="G30" s="24"/>
      <c r="H30" s="24"/>
    </row>
    <row r="31" customFormat="false" ht="15" hidden="false" customHeight="false" outlineLevel="0" collapsed="false">
      <c r="A31" s="22"/>
      <c r="B31" s="24"/>
      <c r="C31" s="24"/>
      <c r="D31" s="24"/>
      <c r="E31" s="22"/>
      <c r="F31" s="25"/>
      <c r="G31" s="24"/>
      <c r="H31" s="24"/>
    </row>
    <row r="32" customFormat="false" ht="15" hidden="false" customHeight="false" outlineLevel="0" collapsed="false">
      <c r="A32" s="22"/>
      <c r="B32" s="24"/>
      <c r="C32" s="24"/>
      <c r="D32" s="24"/>
      <c r="E32" s="22"/>
      <c r="F32" s="25"/>
      <c r="G32" s="24"/>
      <c r="H32" s="24"/>
    </row>
    <row r="33" customFormat="false" ht="15" hidden="false" customHeight="false" outlineLevel="0" collapsed="false">
      <c r="A33" s="22"/>
      <c r="B33" s="24"/>
      <c r="C33" s="24"/>
      <c r="D33" s="24"/>
      <c r="E33" s="22"/>
      <c r="F33" s="25"/>
      <c r="G33" s="24"/>
      <c r="H33" s="24"/>
    </row>
    <row r="34" customFormat="false" ht="15" hidden="false" customHeight="false" outlineLevel="0" collapsed="false">
      <c r="A34" s="22"/>
      <c r="B34" s="24"/>
      <c r="C34" s="24"/>
      <c r="D34" s="24"/>
      <c r="E34" s="22"/>
      <c r="F34" s="25"/>
      <c r="G34" s="24"/>
      <c r="H34" s="24"/>
    </row>
    <row r="35" customFormat="false" ht="15" hidden="false" customHeight="false" outlineLevel="0" collapsed="false">
      <c r="A35" s="22"/>
      <c r="B35" s="24"/>
      <c r="C35" s="24"/>
      <c r="D35" s="24"/>
      <c r="E35" s="22"/>
      <c r="F35" s="25"/>
      <c r="G35" s="24"/>
      <c r="H35" s="24"/>
    </row>
    <row r="36" customFormat="false" ht="15" hidden="false" customHeight="false" outlineLevel="0" collapsed="false">
      <c r="A36" s="22"/>
      <c r="B36" s="24"/>
      <c r="C36" s="24"/>
      <c r="D36" s="24"/>
      <c r="E36" s="22"/>
      <c r="F36" s="25"/>
      <c r="G36" s="24"/>
      <c r="H36" s="24"/>
    </row>
    <row r="37" customFormat="false" ht="15" hidden="false" customHeight="false" outlineLevel="0" collapsed="false">
      <c r="A37" s="22"/>
      <c r="B37" s="24"/>
      <c r="C37" s="24"/>
      <c r="D37" s="24"/>
      <c r="E37" s="22"/>
      <c r="F37" s="25"/>
      <c r="G37" s="24"/>
      <c r="H37" s="24"/>
    </row>
    <row r="38" customFormat="false" ht="15" hidden="false" customHeight="false" outlineLevel="0" collapsed="false">
      <c r="A38" s="22"/>
      <c r="B38" s="24"/>
      <c r="C38" s="24"/>
      <c r="D38" s="24"/>
      <c r="E38" s="22"/>
      <c r="F38" s="25"/>
      <c r="G38" s="24"/>
      <c r="H38" s="24"/>
    </row>
    <row r="39" customFormat="false" ht="15" hidden="false" customHeight="false" outlineLevel="0" collapsed="false">
      <c r="A39" s="22"/>
      <c r="B39" s="24"/>
      <c r="C39" s="24"/>
      <c r="D39" s="24"/>
      <c r="E39" s="22"/>
      <c r="F39" s="25"/>
      <c r="G39" s="24"/>
      <c r="H39" s="24"/>
    </row>
    <row r="40" customFormat="false" ht="15" hidden="false" customHeight="false" outlineLevel="0" collapsed="false">
      <c r="A40" s="22"/>
      <c r="B40" s="24"/>
      <c r="C40" s="24"/>
      <c r="D40" s="24"/>
      <c r="E40" s="22"/>
      <c r="F40" s="25"/>
      <c r="G40" s="24"/>
      <c r="H40" s="24"/>
    </row>
    <row r="41" customFormat="false" ht="15" hidden="false" customHeight="false" outlineLevel="0" collapsed="false">
      <c r="A41" s="22"/>
      <c r="B41" s="24"/>
      <c r="C41" s="24"/>
      <c r="D41" s="24"/>
      <c r="E41" s="22"/>
      <c r="F41" s="25"/>
      <c r="G41" s="24"/>
      <c r="H41" s="24"/>
    </row>
    <row r="42" customFormat="false" ht="15" hidden="false" customHeight="false" outlineLevel="0" collapsed="false">
      <c r="A42" s="22"/>
      <c r="B42" s="24"/>
      <c r="C42" s="24"/>
      <c r="D42" s="24"/>
      <c r="E42" s="22"/>
      <c r="F42" s="25"/>
      <c r="G42" s="24"/>
      <c r="H42" s="24"/>
    </row>
    <row r="43" customFormat="false" ht="15" hidden="false" customHeight="false" outlineLevel="0" collapsed="false">
      <c r="A43" s="22"/>
      <c r="B43" s="24"/>
      <c r="C43" s="24"/>
      <c r="D43" s="24"/>
      <c r="E43" s="22"/>
      <c r="F43" s="25"/>
      <c r="G43" s="24"/>
      <c r="H43" s="24"/>
    </row>
    <row r="44" customFormat="false" ht="15" hidden="false" customHeight="false" outlineLevel="0" collapsed="false">
      <c r="A44" s="22"/>
      <c r="B44" s="24"/>
      <c r="C44" s="24"/>
      <c r="D44" s="24"/>
      <c r="E44" s="22"/>
      <c r="F44" s="25"/>
      <c r="G44" s="24"/>
      <c r="H44" s="24"/>
    </row>
    <row r="45" customFormat="false" ht="15" hidden="false" customHeight="false" outlineLevel="0" collapsed="false">
      <c r="A45" s="22"/>
      <c r="B45" s="24"/>
      <c r="C45" s="24"/>
      <c r="D45" s="24"/>
      <c r="E45" s="22"/>
      <c r="F45" s="25"/>
      <c r="G45" s="24"/>
      <c r="H45" s="24"/>
    </row>
    <row r="46" customFormat="false" ht="15" hidden="false" customHeight="false" outlineLevel="0" collapsed="false">
      <c r="A46" s="22"/>
      <c r="B46" s="24"/>
      <c r="C46" s="24"/>
      <c r="D46" s="24"/>
      <c r="E46" s="22"/>
      <c r="F46" s="25"/>
      <c r="G46" s="24"/>
      <c r="H46" s="24"/>
    </row>
    <row r="47" customFormat="false" ht="15" hidden="false" customHeight="false" outlineLevel="0" collapsed="false">
      <c r="A47" s="22"/>
      <c r="B47" s="24"/>
      <c r="C47" s="24"/>
      <c r="D47" s="24"/>
      <c r="E47" s="22"/>
      <c r="F47" s="25"/>
      <c r="G47" s="24"/>
      <c r="H47" s="24"/>
    </row>
    <row r="48" customFormat="false" ht="15" hidden="false" customHeight="false" outlineLevel="0" collapsed="false">
      <c r="A48" s="22"/>
      <c r="B48" s="24"/>
      <c r="C48" s="24"/>
      <c r="D48" s="24"/>
      <c r="E48" s="22"/>
      <c r="F48" s="25"/>
      <c r="G48" s="24"/>
      <c r="H48" s="24"/>
    </row>
    <row r="49" customFormat="false" ht="15" hidden="false" customHeight="false" outlineLevel="0" collapsed="false">
      <c r="A49" s="22"/>
      <c r="B49" s="24"/>
      <c r="C49" s="24"/>
      <c r="D49" s="24"/>
      <c r="E49" s="22"/>
      <c r="F49" s="25"/>
      <c r="G49" s="24"/>
      <c r="H49" s="24"/>
    </row>
    <row r="50" customFormat="false" ht="15" hidden="false" customHeight="false" outlineLevel="0" collapsed="false">
      <c r="A50" s="22"/>
      <c r="B50" s="24"/>
      <c r="C50" s="24"/>
      <c r="D50" s="24"/>
      <c r="E50" s="22"/>
      <c r="F50" s="25"/>
      <c r="G50" s="24"/>
      <c r="H50" s="24"/>
    </row>
    <row r="51" customFormat="false" ht="15" hidden="false" customHeight="false" outlineLevel="0" collapsed="false">
      <c r="A51" s="22"/>
      <c r="B51" s="24"/>
      <c r="C51" s="24"/>
      <c r="D51" s="24"/>
      <c r="E51" s="22"/>
      <c r="F51" s="25"/>
      <c r="G51" s="24"/>
      <c r="H51" s="24"/>
    </row>
    <row r="52" customFormat="false" ht="15" hidden="false" customHeight="false" outlineLevel="0" collapsed="false">
      <c r="A52" s="22"/>
      <c r="B52" s="24"/>
      <c r="C52" s="24"/>
      <c r="D52" s="24"/>
      <c r="E52" s="22"/>
      <c r="F52" s="25"/>
      <c r="G52" s="24"/>
      <c r="H52" s="24"/>
    </row>
    <row r="53" customFormat="false" ht="15" hidden="false" customHeight="false" outlineLevel="0" collapsed="false">
      <c r="A53" s="22"/>
      <c r="B53" s="24"/>
      <c r="C53" s="24"/>
      <c r="D53" s="24"/>
      <c r="E53" s="22"/>
      <c r="F53" s="25"/>
      <c r="G53" s="24"/>
      <c r="H53" s="24"/>
    </row>
    <row r="54" customFormat="false" ht="15" hidden="false" customHeight="false" outlineLevel="0" collapsed="false">
      <c r="A54" s="22"/>
      <c r="B54" s="24"/>
      <c r="C54" s="24"/>
      <c r="D54" s="24"/>
      <c r="E54" s="22"/>
      <c r="F54" s="25"/>
      <c r="G54" s="24"/>
      <c r="H54" s="24"/>
    </row>
    <row r="55" customFormat="false" ht="15" hidden="false" customHeight="false" outlineLevel="0" collapsed="false">
      <c r="A55" s="22"/>
      <c r="B55" s="24"/>
      <c r="C55" s="24"/>
      <c r="D55" s="24"/>
      <c r="E55" s="22"/>
      <c r="F55" s="25"/>
      <c r="G55" s="24"/>
      <c r="H55" s="24"/>
    </row>
    <row r="56" customFormat="false" ht="15" hidden="false" customHeight="false" outlineLevel="0" collapsed="false">
      <c r="A56" s="22"/>
      <c r="B56" s="24"/>
      <c r="C56" s="24"/>
      <c r="D56" s="24"/>
      <c r="E56" s="22"/>
      <c r="F56" s="25"/>
      <c r="G56" s="24"/>
      <c r="H56" s="24"/>
    </row>
    <row r="57" customFormat="false" ht="15" hidden="false" customHeight="false" outlineLevel="0" collapsed="false">
      <c r="A57" s="22"/>
      <c r="B57" s="24"/>
      <c r="C57" s="24"/>
      <c r="D57" s="24"/>
      <c r="E57" s="22"/>
      <c r="F57" s="25"/>
      <c r="G57" s="24"/>
      <c r="H57" s="24"/>
    </row>
    <row r="58" customFormat="false" ht="15" hidden="false" customHeight="false" outlineLevel="0" collapsed="false">
      <c r="A58" s="22"/>
      <c r="B58" s="24"/>
      <c r="C58" s="24"/>
      <c r="D58" s="24"/>
      <c r="E58" s="22"/>
      <c r="F58" s="25"/>
      <c r="G58" s="24"/>
      <c r="H58" s="24"/>
    </row>
    <row r="59" customFormat="false" ht="15" hidden="false" customHeight="false" outlineLevel="0" collapsed="false">
      <c r="A59" s="22"/>
      <c r="B59" s="24"/>
      <c r="C59" s="24"/>
      <c r="D59" s="24"/>
      <c r="E59" s="22"/>
      <c r="F59" s="25"/>
      <c r="G59" s="24"/>
      <c r="H59" s="24"/>
    </row>
    <row r="60" customFormat="false" ht="15" hidden="false" customHeight="false" outlineLevel="0" collapsed="false">
      <c r="A60" s="22"/>
      <c r="B60" s="24"/>
      <c r="C60" s="24"/>
      <c r="D60" s="24"/>
      <c r="E60" s="22"/>
      <c r="F60" s="25"/>
      <c r="G60" s="24"/>
      <c r="H60" s="24"/>
    </row>
    <row r="61" customFormat="false" ht="15" hidden="false" customHeight="false" outlineLevel="0" collapsed="false">
      <c r="A61" s="22"/>
      <c r="B61" s="24"/>
      <c r="C61" s="24"/>
      <c r="D61" s="24"/>
      <c r="E61" s="22"/>
      <c r="F61" s="25"/>
      <c r="G61" s="24"/>
      <c r="H61" s="24"/>
    </row>
    <row r="62" customFormat="false" ht="15" hidden="false" customHeight="false" outlineLevel="0" collapsed="false">
      <c r="A62" s="22"/>
      <c r="B62" s="24"/>
      <c r="C62" s="24"/>
      <c r="D62" s="24"/>
      <c r="E62" s="22"/>
      <c r="F62" s="25"/>
      <c r="G62" s="24"/>
      <c r="H62" s="24"/>
    </row>
    <row r="63" customFormat="false" ht="15" hidden="false" customHeight="false" outlineLevel="0" collapsed="false">
      <c r="A63" s="22"/>
      <c r="B63" s="24"/>
      <c r="C63" s="24"/>
      <c r="D63" s="24"/>
      <c r="E63" s="22"/>
      <c r="F63" s="25"/>
      <c r="G63" s="24"/>
      <c r="H63" s="24"/>
    </row>
    <row r="64" customFormat="false" ht="15" hidden="false" customHeight="false" outlineLevel="0" collapsed="false">
      <c r="A64" s="22"/>
      <c r="B64" s="24"/>
      <c r="C64" s="24"/>
      <c r="D64" s="24"/>
      <c r="E64" s="22"/>
      <c r="F64" s="25"/>
      <c r="G64" s="24"/>
      <c r="H64" s="24"/>
    </row>
    <row r="65" customFormat="false" ht="15" hidden="false" customHeight="false" outlineLevel="0" collapsed="false">
      <c r="A65" s="22"/>
      <c r="B65" s="24"/>
      <c r="C65" s="24"/>
      <c r="D65" s="24"/>
      <c r="E65" s="22"/>
      <c r="F65" s="25"/>
      <c r="G65" s="24"/>
      <c r="H65" s="24"/>
    </row>
    <row r="66" customFormat="false" ht="15" hidden="false" customHeight="false" outlineLevel="0" collapsed="false">
      <c r="A66" s="22"/>
      <c r="B66" s="24"/>
      <c r="C66" s="24"/>
      <c r="D66" s="24"/>
      <c r="E66" s="22"/>
      <c r="F66" s="25"/>
      <c r="G66" s="24"/>
      <c r="H66" s="24"/>
    </row>
    <row r="67" customFormat="false" ht="15" hidden="false" customHeight="false" outlineLevel="0" collapsed="false">
      <c r="A67" s="22"/>
      <c r="B67" s="24"/>
      <c r="C67" s="24"/>
      <c r="D67" s="24"/>
      <c r="E67" s="22"/>
      <c r="F67" s="25"/>
      <c r="G67" s="24"/>
      <c r="H67" s="24"/>
    </row>
    <row r="68" customFormat="false" ht="15" hidden="false" customHeight="false" outlineLevel="0" collapsed="false">
      <c r="A68" s="22"/>
      <c r="B68" s="24"/>
      <c r="C68" s="24"/>
      <c r="D68" s="24"/>
      <c r="E68" s="22"/>
      <c r="F68" s="25"/>
      <c r="G68" s="24"/>
      <c r="H68" s="24"/>
    </row>
    <row r="69" customFormat="false" ht="15" hidden="false" customHeight="false" outlineLevel="0" collapsed="false">
      <c r="A69" s="22"/>
      <c r="B69" s="24"/>
      <c r="C69" s="24"/>
      <c r="D69" s="24"/>
      <c r="E69" s="22"/>
      <c r="F69" s="25"/>
      <c r="G69" s="24"/>
      <c r="H69" s="24"/>
    </row>
    <row r="70" customFormat="false" ht="15" hidden="false" customHeight="false" outlineLevel="0" collapsed="false">
      <c r="A70" s="22"/>
      <c r="B70" s="24"/>
      <c r="C70" s="24"/>
      <c r="D70" s="24"/>
      <c r="E70" s="22"/>
      <c r="F70" s="25"/>
      <c r="G70" s="24"/>
      <c r="H70" s="24"/>
    </row>
    <row r="71" customFormat="false" ht="15" hidden="false" customHeight="false" outlineLevel="0" collapsed="false">
      <c r="A71" s="22"/>
      <c r="B71" s="24"/>
      <c r="C71" s="24"/>
      <c r="D71" s="24"/>
      <c r="E71" s="22"/>
      <c r="F71" s="25"/>
      <c r="G71" s="24"/>
      <c r="H71" s="24"/>
    </row>
    <row r="72" customFormat="false" ht="15" hidden="false" customHeight="false" outlineLevel="0" collapsed="false">
      <c r="A72" s="22"/>
      <c r="B72" s="24"/>
      <c r="C72" s="24"/>
      <c r="D72" s="24"/>
      <c r="E72" s="22"/>
      <c r="F72" s="25"/>
      <c r="G72" s="24"/>
      <c r="H72" s="24"/>
    </row>
    <row r="73" customFormat="false" ht="15" hidden="false" customHeight="false" outlineLevel="0" collapsed="false">
      <c r="A73" s="22"/>
      <c r="B73" s="24"/>
      <c r="C73" s="24"/>
      <c r="D73" s="24"/>
      <c r="E73" s="22"/>
      <c r="F73" s="25"/>
      <c r="G73" s="24"/>
      <c r="H73" s="24"/>
    </row>
    <row r="74" customFormat="false" ht="15" hidden="false" customHeight="false" outlineLevel="0" collapsed="false">
      <c r="A74" s="22"/>
      <c r="B74" s="24"/>
      <c r="C74" s="24"/>
      <c r="D74" s="24"/>
      <c r="E74" s="22"/>
      <c r="F74" s="25"/>
      <c r="G74" s="24"/>
      <c r="H74" s="24"/>
    </row>
    <row r="75" customFormat="false" ht="15" hidden="false" customHeight="false" outlineLevel="0" collapsed="false">
      <c r="A75" s="22"/>
      <c r="B75" s="24"/>
      <c r="C75" s="24"/>
      <c r="D75" s="24"/>
      <c r="E75" s="22"/>
      <c r="F75" s="25"/>
      <c r="G75" s="24"/>
      <c r="H75" s="24"/>
    </row>
    <row r="76" customFormat="false" ht="15" hidden="false" customHeight="false" outlineLevel="0" collapsed="false">
      <c r="A76" s="22"/>
      <c r="B76" s="24"/>
      <c r="C76" s="24"/>
      <c r="D76" s="24"/>
      <c r="E76" s="22"/>
      <c r="F76" s="25"/>
      <c r="G76" s="24"/>
      <c r="H76" s="24"/>
    </row>
    <row r="77" customFormat="false" ht="15" hidden="false" customHeight="false" outlineLevel="0" collapsed="false">
      <c r="A77" s="22"/>
      <c r="B77" s="24"/>
      <c r="C77" s="24"/>
      <c r="D77" s="24"/>
      <c r="E77" s="22"/>
      <c r="F77" s="25"/>
      <c r="G77" s="24"/>
      <c r="H77" s="24"/>
    </row>
    <row r="78" customFormat="false" ht="15" hidden="false" customHeight="false" outlineLevel="0" collapsed="false">
      <c r="A78" s="22"/>
      <c r="B78" s="24"/>
      <c r="C78" s="24"/>
      <c r="D78" s="24"/>
      <c r="E78" s="22"/>
      <c r="F78" s="25"/>
      <c r="G78" s="24"/>
      <c r="H78" s="24"/>
    </row>
    <row r="79" customFormat="false" ht="15" hidden="false" customHeight="false" outlineLevel="0" collapsed="false">
      <c r="A79" s="22"/>
      <c r="B79" s="24"/>
      <c r="C79" s="24"/>
      <c r="D79" s="24"/>
      <c r="E79" s="22"/>
      <c r="F79" s="25"/>
      <c r="G79" s="24"/>
      <c r="H79" s="24"/>
    </row>
    <row r="80" customFormat="false" ht="15" hidden="false" customHeight="false" outlineLevel="0" collapsed="false">
      <c r="A80" s="22"/>
      <c r="B80" s="24"/>
      <c r="C80" s="24"/>
      <c r="D80" s="24"/>
      <c r="E80" s="22"/>
      <c r="F80" s="25"/>
      <c r="G80" s="24"/>
      <c r="H80" s="24"/>
    </row>
    <row r="81" customFormat="false" ht="15" hidden="false" customHeight="false" outlineLevel="0" collapsed="false">
      <c r="A81" s="22"/>
      <c r="B81" s="24"/>
      <c r="C81" s="24"/>
      <c r="D81" s="24"/>
      <c r="E81" s="22"/>
      <c r="F81" s="25"/>
      <c r="G81" s="24"/>
      <c r="H81" s="24"/>
    </row>
    <row r="82" customFormat="false" ht="15" hidden="false" customHeight="false" outlineLevel="0" collapsed="false">
      <c r="A82" s="22"/>
      <c r="B82" s="24"/>
      <c r="C82" s="24"/>
      <c r="D82" s="24"/>
      <c r="E82" s="22"/>
      <c r="F82" s="25"/>
      <c r="G82" s="24"/>
      <c r="H82" s="24"/>
    </row>
    <row r="83" customFormat="false" ht="15" hidden="false" customHeight="false" outlineLevel="0" collapsed="false">
      <c r="A83" s="22"/>
      <c r="B83" s="24"/>
      <c r="C83" s="24"/>
      <c r="D83" s="24"/>
      <c r="E83" s="22"/>
      <c r="F83" s="25"/>
      <c r="G83" s="24"/>
      <c r="H83" s="24"/>
    </row>
    <row r="84" customFormat="false" ht="15" hidden="false" customHeight="false" outlineLevel="0" collapsed="false">
      <c r="A84" s="22"/>
      <c r="B84" s="24"/>
      <c r="C84" s="24"/>
      <c r="D84" s="24"/>
      <c r="E84" s="22"/>
      <c r="F84" s="25"/>
      <c r="G84" s="24"/>
      <c r="H84" s="24"/>
    </row>
    <row r="85" customFormat="false" ht="15" hidden="false" customHeight="false" outlineLevel="0" collapsed="false">
      <c r="A85" s="22"/>
      <c r="B85" s="24"/>
      <c r="C85" s="24"/>
      <c r="D85" s="24"/>
      <c r="E85" s="22"/>
      <c r="F85" s="25"/>
      <c r="G85" s="24"/>
      <c r="H85" s="24"/>
    </row>
    <row r="86" customFormat="false" ht="15" hidden="false" customHeight="false" outlineLevel="0" collapsed="false">
      <c r="A86" s="22"/>
      <c r="B86" s="24"/>
      <c r="C86" s="24"/>
      <c r="D86" s="24"/>
      <c r="E86" s="22"/>
      <c r="F86" s="25"/>
      <c r="G86" s="24"/>
      <c r="H86" s="24"/>
    </row>
    <row r="87" customFormat="false" ht="15" hidden="false" customHeight="false" outlineLevel="0" collapsed="false">
      <c r="A87" s="22"/>
      <c r="B87" s="24"/>
      <c r="C87" s="24"/>
      <c r="D87" s="24"/>
      <c r="E87" s="22"/>
      <c r="F87" s="25"/>
      <c r="G87" s="24"/>
      <c r="H87" s="24"/>
    </row>
    <row r="88" customFormat="false" ht="15" hidden="false" customHeight="false" outlineLevel="0" collapsed="false">
      <c r="A88" s="22"/>
      <c r="B88" s="24"/>
      <c r="C88" s="24"/>
      <c r="D88" s="24"/>
      <c r="E88" s="22"/>
      <c r="F88" s="25"/>
      <c r="G88" s="24"/>
      <c r="H88" s="24"/>
    </row>
    <row r="89" customFormat="false" ht="15" hidden="false" customHeight="false" outlineLevel="0" collapsed="false">
      <c r="A89" s="22"/>
      <c r="B89" s="24"/>
      <c r="C89" s="24"/>
      <c r="D89" s="24"/>
      <c r="E89" s="22"/>
      <c r="F89" s="25"/>
      <c r="G89" s="24"/>
      <c r="H89" s="24"/>
    </row>
    <row r="90" customFormat="false" ht="15" hidden="false" customHeight="false" outlineLevel="0" collapsed="false">
      <c r="A90" s="22"/>
      <c r="B90" s="24"/>
      <c r="C90" s="24"/>
      <c r="D90" s="24"/>
      <c r="E90" s="22"/>
      <c r="F90" s="25"/>
      <c r="G90" s="24"/>
      <c r="H90" s="24"/>
    </row>
    <row r="91" customFormat="false" ht="15" hidden="false" customHeight="false" outlineLevel="0" collapsed="false">
      <c r="A91" s="22"/>
      <c r="B91" s="24"/>
      <c r="C91" s="24"/>
      <c r="D91" s="24"/>
      <c r="E91" s="22"/>
      <c r="F91" s="25"/>
      <c r="G91" s="24"/>
      <c r="H91" s="24"/>
    </row>
    <row r="92" customFormat="false" ht="15" hidden="false" customHeight="false" outlineLevel="0" collapsed="false">
      <c r="A92" s="22"/>
      <c r="B92" s="24"/>
      <c r="C92" s="24"/>
      <c r="D92" s="24"/>
      <c r="E92" s="22"/>
      <c r="F92" s="25"/>
      <c r="G92" s="24"/>
      <c r="H92" s="24"/>
    </row>
    <row r="93" customFormat="false" ht="15" hidden="false" customHeight="false" outlineLevel="0" collapsed="false">
      <c r="A93" s="22"/>
      <c r="B93" s="24"/>
      <c r="C93" s="24"/>
      <c r="D93" s="24"/>
      <c r="E93" s="22"/>
      <c r="F93" s="25"/>
      <c r="G93" s="24"/>
      <c r="H93" s="24"/>
    </row>
    <row r="94" customFormat="false" ht="15" hidden="false" customHeight="false" outlineLevel="0" collapsed="false">
      <c r="A94" s="22"/>
      <c r="B94" s="24"/>
      <c r="C94" s="24"/>
      <c r="D94" s="24"/>
      <c r="E94" s="22"/>
      <c r="F94" s="25"/>
      <c r="G94" s="24"/>
      <c r="H94" s="24"/>
    </row>
    <row r="95" customFormat="false" ht="15" hidden="false" customHeight="false" outlineLevel="0" collapsed="false">
      <c r="A95" s="22"/>
      <c r="B95" s="24"/>
      <c r="C95" s="24"/>
      <c r="D95" s="24"/>
      <c r="E95" s="22"/>
      <c r="F95" s="25"/>
      <c r="G95" s="24"/>
      <c r="H95" s="24"/>
    </row>
    <row r="96" customFormat="false" ht="15" hidden="false" customHeight="false" outlineLevel="0" collapsed="false">
      <c r="A96" s="22"/>
      <c r="B96" s="24"/>
      <c r="C96" s="24"/>
      <c r="D96" s="24"/>
      <c r="E96" s="22"/>
      <c r="F96" s="25"/>
      <c r="G96" s="24"/>
      <c r="H96" s="24"/>
    </row>
    <row r="97" customFormat="false" ht="15" hidden="false" customHeight="false" outlineLevel="0" collapsed="false">
      <c r="A97" s="22"/>
      <c r="B97" s="24"/>
      <c r="C97" s="24"/>
      <c r="D97" s="24"/>
      <c r="E97" s="22"/>
      <c r="F97" s="25"/>
      <c r="G97" s="24"/>
      <c r="H97" s="24"/>
    </row>
    <row r="98" customFormat="false" ht="15" hidden="false" customHeight="false" outlineLevel="0" collapsed="false">
      <c r="A98" s="22"/>
      <c r="B98" s="24"/>
      <c r="C98" s="24"/>
      <c r="D98" s="24"/>
      <c r="E98" s="22"/>
      <c r="F98" s="25"/>
      <c r="G98" s="24"/>
      <c r="H98" s="24"/>
    </row>
    <row r="99" customFormat="false" ht="15" hidden="false" customHeight="false" outlineLevel="0" collapsed="false">
      <c r="A99" s="22"/>
      <c r="B99" s="24"/>
      <c r="C99" s="24"/>
      <c r="D99" s="24"/>
      <c r="E99" s="22"/>
      <c r="F99" s="25"/>
      <c r="G99" s="24"/>
      <c r="H99" s="24"/>
    </row>
    <row r="100" customFormat="false" ht="15" hidden="false" customHeight="false" outlineLevel="0" collapsed="false">
      <c r="A100" s="22"/>
      <c r="B100" s="24"/>
      <c r="C100" s="24"/>
      <c r="D100" s="24"/>
      <c r="E100" s="22"/>
      <c r="F100" s="25"/>
      <c r="G100" s="24"/>
      <c r="H100" s="24"/>
    </row>
    <row r="101" customFormat="false" ht="15" hidden="false" customHeight="false" outlineLevel="0" collapsed="false">
      <c r="A101" s="22"/>
      <c r="B101" s="24"/>
      <c r="C101" s="24"/>
      <c r="D101" s="24"/>
      <c r="E101" s="22"/>
      <c r="F101" s="25"/>
      <c r="G101" s="24"/>
      <c r="H101" s="24"/>
    </row>
    <row r="102" customFormat="false" ht="15" hidden="false" customHeight="false" outlineLevel="0" collapsed="false">
      <c r="A102" s="22"/>
      <c r="B102" s="24"/>
      <c r="C102" s="24"/>
      <c r="D102" s="24"/>
      <c r="E102" s="22"/>
      <c r="F102" s="25"/>
      <c r="G102" s="24"/>
      <c r="H102" s="24"/>
    </row>
    <row r="103" customFormat="false" ht="15" hidden="false" customHeight="false" outlineLevel="0" collapsed="false">
      <c r="A103" s="22"/>
      <c r="B103" s="24"/>
      <c r="C103" s="24"/>
      <c r="D103" s="24"/>
      <c r="E103" s="22"/>
      <c r="F103" s="25"/>
      <c r="G103" s="24"/>
      <c r="H103" s="24"/>
    </row>
    <row r="104" customFormat="false" ht="15" hidden="false" customHeight="false" outlineLevel="0" collapsed="false">
      <c r="A104" s="22"/>
      <c r="B104" s="24"/>
      <c r="C104" s="24"/>
      <c r="D104" s="24"/>
      <c r="E104" s="22"/>
      <c r="F104" s="25"/>
      <c r="G104" s="24"/>
      <c r="H104" s="24"/>
    </row>
    <row r="105" customFormat="false" ht="15" hidden="false" customHeight="false" outlineLevel="0" collapsed="false">
      <c r="A105" s="22"/>
      <c r="B105" s="24"/>
      <c r="C105" s="24"/>
      <c r="D105" s="24"/>
      <c r="E105" s="22"/>
      <c r="F105" s="25"/>
      <c r="G105" s="24"/>
      <c r="H105" s="24"/>
    </row>
    <row r="106" customFormat="false" ht="15" hidden="false" customHeight="false" outlineLevel="0" collapsed="false">
      <c r="A106" s="22"/>
      <c r="B106" s="24"/>
      <c r="C106" s="24"/>
      <c r="D106" s="24"/>
      <c r="E106" s="22"/>
      <c r="F106" s="25"/>
      <c r="G106" s="24"/>
      <c r="H106" s="24"/>
    </row>
    <row r="107" customFormat="false" ht="15" hidden="false" customHeight="false" outlineLevel="0" collapsed="false">
      <c r="A107" s="22"/>
      <c r="B107" s="24"/>
      <c r="C107" s="24"/>
      <c r="D107" s="24"/>
      <c r="E107" s="22"/>
      <c r="F107" s="25"/>
      <c r="G107" s="24"/>
      <c r="H107" s="24"/>
    </row>
    <row r="108" customFormat="false" ht="15" hidden="false" customHeight="false" outlineLevel="0" collapsed="false">
      <c r="A108" s="22"/>
      <c r="B108" s="24"/>
      <c r="C108" s="24"/>
      <c r="D108" s="24"/>
      <c r="E108" s="22"/>
      <c r="F108" s="25"/>
      <c r="G108" s="24"/>
      <c r="H108" s="24"/>
    </row>
    <row r="109" customFormat="false" ht="15" hidden="false" customHeight="false" outlineLevel="0" collapsed="false">
      <c r="A109" s="22"/>
      <c r="B109" s="24"/>
      <c r="C109" s="24"/>
      <c r="D109" s="24"/>
      <c r="E109" s="22"/>
      <c r="F109" s="25"/>
      <c r="G109" s="24"/>
      <c r="H109" s="24"/>
    </row>
    <row r="110" customFormat="false" ht="15" hidden="false" customHeight="false" outlineLevel="0" collapsed="false">
      <c r="A110" s="22"/>
      <c r="B110" s="24"/>
      <c r="C110" s="24"/>
      <c r="D110" s="24"/>
      <c r="E110" s="22"/>
      <c r="F110" s="25"/>
      <c r="G110" s="24"/>
      <c r="H110" s="24"/>
    </row>
    <row r="111" customFormat="false" ht="15" hidden="false" customHeight="false" outlineLevel="0" collapsed="false">
      <c r="A111" s="22"/>
      <c r="B111" s="24"/>
      <c r="C111" s="24"/>
      <c r="D111" s="24"/>
      <c r="E111" s="22"/>
      <c r="F111" s="25"/>
      <c r="G111" s="24"/>
      <c r="H111" s="24"/>
    </row>
    <row r="112" customFormat="false" ht="15" hidden="false" customHeight="false" outlineLevel="0" collapsed="false">
      <c r="A112" s="22"/>
      <c r="B112" s="24"/>
      <c r="C112" s="24"/>
      <c r="D112" s="24"/>
      <c r="E112" s="22"/>
      <c r="F112" s="25"/>
      <c r="G112" s="24"/>
      <c r="H112" s="24"/>
    </row>
    <row r="113" customFormat="false" ht="15" hidden="false" customHeight="false" outlineLevel="0" collapsed="false">
      <c r="A113" s="22"/>
      <c r="B113" s="24"/>
      <c r="C113" s="24"/>
      <c r="D113" s="24"/>
      <c r="E113" s="22"/>
      <c r="F113" s="25"/>
      <c r="G113" s="24"/>
      <c r="H113" s="24"/>
    </row>
    <row r="114" customFormat="false" ht="15" hidden="false" customHeight="false" outlineLevel="0" collapsed="false">
      <c r="A114" s="22"/>
      <c r="B114" s="24"/>
      <c r="C114" s="24"/>
      <c r="D114" s="24"/>
      <c r="E114" s="22"/>
      <c r="F114" s="25"/>
      <c r="G114" s="24"/>
      <c r="H114" s="24"/>
    </row>
    <row r="115" customFormat="false" ht="15" hidden="false" customHeight="false" outlineLevel="0" collapsed="false">
      <c r="A115" s="22"/>
      <c r="B115" s="24"/>
      <c r="C115" s="24"/>
      <c r="D115" s="24"/>
      <c r="E115" s="22"/>
      <c r="F115" s="25"/>
      <c r="G115" s="24"/>
      <c r="H115" s="24"/>
    </row>
    <row r="116" customFormat="false" ht="15" hidden="false" customHeight="false" outlineLevel="0" collapsed="false">
      <c r="A116" s="22"/>
      <c r="B116" s="24"/>
      <c r="C116" s="24"/>
      <c r="D116" s="24"/>
      <c r="E116" s="22"/>
      <c r="F116" s="25"/>
      <c r="G116" s="24"/>
      <c r="H116" s="24"/>
    </row>
    <row r="117" customFormat="false" ht="15" hidden="false" customHeight="false" outlineLevel="0" collapsed="false">
      <c r="A117" s="22"/>
      <c r="B117" s="24"/>
      <c r="C117" s="24"/>
      <c r="D117" s="24"/>
      <c r="E117" s="22"/>
      <c r="F117" s="25"/>
      <c r="G117" s="24"/>
      <c r="H117" s="24"/>
    </row>
    <row r="118" customFormat="false" ht="15" hidden="false" customHeight="false" outlineLevel="0" collapsed="false">
      <c r="A118" s="22"/>
      <c r="B118" s="24"/>
      <c r="C118" s="24"/>
      <c r="D118" s="24"/>
      <c r="E118" s="22"/>
      <c r="F118" s="25"/>
      <c r="G118" s="24"/>
      <c r="H118" s="24"/>
    </row>
    <row r="119" customFormat="false" ht="15" hidden="false" customHeight="false" outlineLevel="0" collapsed="false">
      <c r="A119" s="22"/>
      <c r="B119" s="24"/>
      <c r="C119" s="24"/>
      <c r="D119" s="24"/>
      <c r="E119" s="22"/>
      <c r="F119" s="25"/>
      <c r="G119" s="24"/>
      <c r="H119" s="24"/>
    </row>
    <row r="120" customFormat="false" ht="15" hidden="false" customHeight="false" outlineLevel="0" collapsed="false">
      <c r="A120" s="22"/>
      <c r="B120" s="24"/>
      <c r="C120" s="24"/>
      <c r="D120" s="24"/>
      <c r="E120" s="22"/>
      <c r="F120" s="25"/>
      <c r="G120" s="24"/>
      <c r="H120" s="24"/>
    </row>
    <row r="121" customFormat="false" ht="15" hidden="false" customHeight="false" outlineLevel="0" collapsed="false">
      <c r="A121" s="22"/>
      <c r="B121" s="24"/>
      <c r="C121" s="24"/>
      <c r="D121" s="24"/>
      <c r="E121" s="22"/>
      <c r="F121" s="25"/>
      <c r="G121" s="24"/>
      <c r="H121" s="24"/>
    </row>
    <row r="122" customFormat="false" ht="15" hidden="false" customHeight="false" outlineLevel="0" collapsed="false">
      <c r="A122" s="22"/>
      <c r="B122" s="24"/>
      <c r="C122" s="24"/>
      <c r="D122" s="24"/>
      <c r="E122" s="22"/>
      <c r="F122" s="25"/>
      <c r="G122" s="24"/>
      <c r="H122" s="24"/>
    </row>
    <row r="123" customFormat="false" ht="15" hidden="false" customHeight="false" outlineLevel="0" collapsed="false">
      <c r="A123" s="22"/>
      <c r="B123" s="24"/>
      <c r="C123" s="24"/>
      <c r="D123" s="24"/>
      <c r="E123" s="22"/>
      <c r="F123" s="25"/>
      <c r="G123" s="24"/>
      <c r="H123" s="24"/>
    </row>
    <row r="124" customFormat="false" ht="15" hidden="false" customHeight="false" outlineLevel="0" collapsed="false">
      <c r="A124" s="22"/>
      <c r="B124" s="24"/>
      <c r="C124" s="24"/>
      <c r="D124" s="24"/>
      <c r="E124" s="22"/>
      <c r="F124" s="25"/>
      <c r="G124" s="24"/>
      <c r="H124" s="24"/>
    </row>
    <row r="125" customFormat="false" ht="15" hidden="false" customHeight="false" outlineLevel="0" collapsed="false">
      <c r="A125" s="22"/>
      <c r="B125" s="24"/>
      <c r="C125" s="24"/>
      <c r="D125" s="24"/>
      <c r="E125" s="22"/>
      <c r="F125" s="25"/>
      <c r="G125" s="24"/>
      <c r="H125" s="24"/>
    </row>
    <row r="126" customFormat="false" ht="15" hidden="false" customHeight="false" outlineLevel="0" collapsed="false">
      <c r="A126" s="22"/>
      <c r="B126" s="24"/>
      <c r="C126" s="24"/>
      <c r="D126" s="24"/>
      <c r="E126" s="22"/>
      <c r="F126" s="25"/>
      <c r="G126" s="24"/>
      <c r="H126" s="24"/>
    </row>
    <row r="127" customFormat="false" ht="15" hidden="false" customHeight="false" outlineLevel="0" collapsed="false">
      <c r="A127" s="22"/>
      <c r="B127" s="24"/>
      <c r="C127" s="24"/>
      <c r="D127" s="24"/>
      <c r="E127" s="22"/>
      <c r="F127" s="25"/>
      <c r="G127" s="24"/>
      <c r="H127" s="24"/>
    </row>
    <row r="128" customFormat="false" ht="15" hidden="false" customHeight="false" outlineLevel="0" collapsed="false">
      <c r="A128" s="22"/>
      <c r="B128" s="24"/>
      <c r="C128" s="24"/>
      <c r="D128" s="24"/>
      <c r="E128" s="22"/>
      <c r="F128" s="25"/>
      <c r="G128" s="24"/>
      <c r="H128" s="24"/>
    </row>
    <row r="129" customFormat="false" ht="15" hidden="false" customHeight="false" outlineLevel="0" collapsed="false">
      <c r="A129" s="22"/>
      <c r="B129" s="24"/>
      <c r="C129" s="24"/>
      <c r="D129" s="24"/>
      <c r="E129" s="22"/>
      <c r="F129" s="25"/>
      <c r="G129" s="24"/>
      <c r="H129" s="24"/>
    </row>
    <row r="130" customFormat="false" ht="15" hidden="false" customHeight="false" outlineLevel="0" collapsed="false">
      <c r="A130" s="22"/>
      <c r="B130" s="24"/>
      <c r="C130" s="24"/>
      <c r="D130" s="24"/>
      <c r="E130" s="22"/>
      <c r="F130" s="25"/>
      <c r="G130" s="24"/>
      <c r="H130" s="24"/>
    </row>
    <row r="131" customFormat="false" ht="15" hidden="false" customHeight="false" outlineLevel="0" collapsed="false">
      <c r="A131" s="22"/>
      <c r="B131" s="24"/>
      <c r="C131" s="24"/>
      <c r="D131" s="24"/>
      <c r="E131" s="22"/>
      <c r="F131" s="25"/>
      <c r="G131" s="24"/>
      <c r="H131" s="24"/>
    </row>
    <row r="132" customFormat="false" ht="15" hidden="false" customHeight="false" outlineLevel="0" collapsed="false">
      <c r="A132" s="22"/>
      <c r="B132" s="24"/>
      <c r="C132" s="24"/>
      <c r="D132" s="24"/>
      <c r="E132" s="22"/>
      <c r="F132" s="25"/>
      <c r="G132" s="24"/>
      <c r="H132" s="24"/>
    </row>
    <row r="133" customFormat="false" ht="15" hidden="false" customHeight="false" outlineLevel="0" collapsed="false">
      <c r="A133" s="22"/>
      <c r="B133" s="24"/>
      <c r="C133" s="24"/>
      <c r="D133" s="24"/>
      <c r="E133" s="22"/>
      <c r="F133" s="25"/>
      <c r="G133" s="24"/>
      <c r="H133" s="24"/>
    </row>
    <row r="134" customFormat="false" ht="15" hidden="false" customHeight="false" outlineLevel="0" collapsed="false">
      <c r="A134" s="22"/>
      <c r="B134" s="24"/>
      <c r="C134" s="24"/>
      <c r="D134" s="24"/>
      <c r="E134" s="22"/>
      <c r="F134" s="25"/>
      <c r="G134" s="24"/>
      <c r="H134" s="24"/>
    </row>
    <row r="135" customFormat="false" ht="15" hidden="false" customHeight="false" outlineLevel="0" collapsed="false">
      <c r="A135" s="22"/>
      <c r="B135" s="24"/>
      <c r="C135" s="24"/>
      <c r="D135" s="24"/>
      <c r="E135" s="22"/>
      <c r="F135" s="25"/>
      <c r="G135" s="24"/>
      <c r="H135" s="24"/>
    </row>
    <row r="136" customFormat="false" ht="15" hidden="false" customHeight="false" outlineLevel="0" collapsed="false">
      <c r="A136" s="22"/>
      <c r="B136" s="24"/>
      <c r="C136" s="24"/>
      <c r="D136" s="24"/>
      <c r="E136" s="22"/>
      <c r="F136" s="25"/>
      <c r="G136" s="24"/>
      <c r="H136" s="24"/>
    </row>
    <row r="137" customFormat="false" ht="15" hidden="false" customHeight="false" outlineLevel="0" collapsed="false">
      <c r="A137" s="22"/>
      <c r="B137" s="24"/>
      <c r="C137" s="24"/>
      <c r="D137" s="24"/>
      <c r="E137" s="22"/>
      <c r="F137" s="25"/>
      <c r="G137" s="24"/>
      <c r="H137" s="24"/>
    </row>
    <row r="138" customFormat="false" ht="15" hidden="false" customHeight="false" outlineLevel="0" collapsed="false">
      <c r="A138" s="22"/>
      <c r="B138" s="24"/>
      <c r="C138" s="24"/>
      <c r="D138" s="24"/>
      <c r="E138" s="22"/>
      <c r="F138" s="25"/>
      <c r="G138" s="24"/>
      <c r="H138" s="24"/>
    </row>
    <row r="139" customFormat="false" ht="15" hidden="false" customHeight="false" outlineLevel="0" collapsed="false">
      <c r="A139" s="22"/>
      <c r="B139" s="24"/>
      <c r="C139" s="24"/>
      <c r="D139" s="24"/>
      <c r="E139" s="22"/>
      <c r="F139" s="25"/>
      <c r="G139" s="24"/>
      <c r="H139" s="24"/>
    </row>
    <row r="140" customFormat="false" ht="15" hidden="false" customHeight="false" outlineLevel="0" collapsed="false">
      <c r="A140" s="22"/>
      <c r="B140" s="24"/>
      <c r="C140" s="24"/>
      <c r="D140" s="24"/>
      <c r="E140" s="22"/>
      <c r="F140" s="25"/>
      <c r="G140" s="24"/>
      <c r="H140" s="24"/>
    </row>
    <row r="141" customFormat="false" ht="15" hidden="false" customHeight="false" outlineLevel="0" collapsed="false">
      <c r="A141" s="22"/>
      <c r="B141" s="24"/>
      <c r="C141" s="24"/>
      <c r="D141" s="24"/>
      <c r="E141" s="22"/>
      <c r="F141" s="25"/>
      <c r="G141" s="24"/>
      <c r="H141" s="24"/>
    </row>
    <row r="142" customFormat="false" ht="15" hidden="false" customHeight="false" outlineLevel="0" collapsed="false">
      <c r="A142" s="22"/>
      <c r="B142" s="24"/>
      <c r="C142" s="24"/>
      <c r="D142" s="24"/>
      <c r="E142" s="22"/>
      <c r="F142" s="25"/>
      <c r="G142" s="24"/>
      <c r="H142" s="24"/>
    </row>
    <row r="143" customFormat="false" ht="15" hidden="false" customHeight="false" outlineLevel="0" collapsed="false">
      <c r="A143" s="22"/>
      <c r="B143" s="24"/>
      <c r="C143" s="24"/>
      <c r="D143" s="24"/>
      <c r="E143" s="22"/>
      <c r="F143" s="25"/>
      <c r="G143" s="24"/>
      <c r="H143" s="24"/>
    </row>
    <row r="144" customFormat="false" ht="15" hidden="false" customHeight="false" outlineLevel="0" collapsed="false">
      <c r="A144" s="22"/>
      <c r="B144" s="24"/>
      <c r="C144" s="24"/>
      <c r="D144" s="24"/>
      <c r="E144" s="22"/>
      <c r="F144" s="25"/>
      <c r="G144" s="24"/>
      <c r="H144" s="24"/>
    </row>
    <row r="145" customFormat="false" ht="15" hidden="false" customHeight="false" outlineLevel="0" collapsed="false">
      <c r="A145" s="22"/>
      <c r="B145" s="24"/>
      <c r="C145" s="24"/>
      <c r="D145" s="24"/>
      <c r="E145" s="22"/>
      <c r="F145" s="25"/>
      <c r="G145" s="24"/>
      <c r="H145" s="24"/>
    </row>
    <row r="146" customFormat="false" ht="15" hidden="false" customHeight="false" outlineLevel="0" collapsed="false">
      <c r="A146" s="22"/>
      <c r="B146" s="24"/>
      <c r="C146" s="24"/>
      <c r="D146" s="24"/>
      <c r="E146" s="22"/>
      <c r="F146" s="25"/>
      <c r="G146" s="24"/>
      <c r="H146" s="24"/>
    </row>
    <row r="147" customFormat="false" ht="15" hidden="false" customHeight="false" outlineLevel="0" collapsed="false">
      <c r="A147" s="22"/>
      <c r="B147" s="24"/>
      <c r="C147" s="24"/>
      <c r="D147" s="24"/>
      <c r="E147" s="22"/>
      <c r="F147" s="25"/>
      <c r="G147" s="24"/>
      <c r="H147" s="24"/>
    </row>
    <row r="148" customFormat="false" ht="15" hidden="false" customHeight="false" outlineLevel="0" collapsed="false">
      <c r="A148" s="22"/>
      <c r="B148" s="24"/>
      <c r="C148" s="24"/>
      <c r="D148" s="24"/>
      <c r="E148" s="22"/>
      <c r="F148" s="25"/>
      <c r="G148" s="24"/>
      <c r="H148" s="24"/>
    </row>
    <row r="149" customFormat="false" ht="15" hidden="false" customHeight="false" outlineLevel="0" collapsed="false">
      <c r="A149" s="22"/>
      <c r="B149" s="24"/>
      <c r="C149" s="24"/>
      <c r="D149" s="24"/>
      <c r="E149" s="22"/>
      <c r="F149" s="25"/>
      <c r="G149" s="24"/>
      <c r="H149" s="24"/>
    </row>
    <row r="150" customFormat="false" ht="15" hidden="false" customHeight="false" outlineLevel="0" collapsed="false">
      <c r="A150" s="22"/>
      <c r="B150" s="24"/>
      <c r="C150" s="24"/>
      <c r="D150" s="24"/>
      <c r="E150" s="22"/>
      <c r="F150" s="25"/>
      <c r="G150" s="24"/>
      <c r="H150" s="24"/>
    </row>
    <row r="151" customFormat="false" ht="15" hidden="false" customHeight="false" outlineLevel="0" collapsed="false">
      <c r="A151" s="22"/>
      <c r="B151" s="24"/>
      <c r="C151" s="24"/>
      <c r="D151" s="24"/>
      <c r="E151" s="22"/>
      <c r="F151" s="25"/>
      <c r="G151" s="24"/>
      <c r="H151" s="24"/>
    </row>
    <row r="152" customFormat="false" ht="15" hidden="false" customHeight="false" outlineLevel="0" collapsed="false">
      <c r="A152" s="22"/>
      <c r="B152" s="24"/>
      <c r="C152" s="24"/>
      <c r="D152" s="24"/>
      <c r="E152" s="22"/>
      <c r="F152" s="25"/>
      <c r="G152" s="24"/>
      <c r="H152" s="24"/>
    </row>
    <row r="153" customFormat="false" ht="15" hidden="false" customHeight="false" outlineLevel="0" collapsed="false">
      <c r="A153" s="22"/>
      <c r="B153" s="24"/>
      <c r="C153" s="24"/>
      <c r="D153" s="24"/>
      <c r="E153" s="22"/>
      <c r="F153" s="25"/>
      <c r="G153" s="24"/>
      <c r="H153" s="24"/>
    </row>
    <row r="154" customFormat="false" ht="15" hidden="false" customHeight="false" outlineLevel="0" collapsed="false">
      <c r="A154" s="22"/>
      <c r="B154" s="24"/>
      <c r="C154" s="24"/>
      <c r="D154" s="24"/>
      <c r="E154" s="22"/>
      <c r="F154" s="25"/>
      <c r="G154" s="24"/>
      <c r="H154" s="24"/>
    </row>
    <row r="155" customFormat="false" ht="15" hidden="false" customHeight="false" outlineLevel="0" collapsed="false">
      <c r="A155" s="22"/>
      <c r="B155" s="24"/>
      <c r="C155" s="24"/>
      <c r="D155" s="24"/>
      <c r="E155" s="22"/>
      <c r="F155" s="25"/>
      <c r="G155" s="24"/>
      <c r="H155" s="24"/>
    </row>
    <row r="156" customFormat="false" ht="15" hidden="false" customHeight="false" outlineLevel="0" collapsed="false">
      <c r="A156" s="22"/>
      <c r="B156" s="24"/>
      <c r="C156" s="24"/>
      <c r="D156" s="24"/>
      <c r="E156" s="22"/>
      <c r="F156" s="25"/>
      <c r="G156" s="24"/>
      <c r="H156" s="24"/>
    </row>
    <row r="157" customFormat="false" ht="15" hidden="false" customHeight="false" outlineLevel="0" collapsed="false">
      <c r="A157" s="22"/>
      <c r="B157" s="24"/>
      <c r="C157" s="24"/>
      <c r="D157" s="24"/>
      <c r="E157" s="22"/>
      <c r="F157" s="25"/>
      <c r="G157" s="24"/>
      <c r="H157" s="24"/>
    </row>
    <row r="158" customFormat="false" ht="15" hidden="false" customHeight="false" outlineLevel="0" collapsed="false">
      <c r="A158" s="22"/>
      <c r="B158" s="24"/>
      <c r="C158" s="24"/>
      <c r="D158" s="24"/>
      <c r="E158" s="22"/>
      <c r="F158" s="25"/>
      <c r="G158" s="24"/>
      <c r="H158" s="24"/>
    </row>
    <row r="159" customFormat="false" ht="15" hidden="false" customHeight="false" outlineLevel="0" collapsed="false">
      <c r="A159" s="22"/>
      <c r="B159" s="24"/>
      <c r="C159" s="24"/>
      <c r="D159" s="24"/>
      <c r="E159" s="22"/>
      <c r="F159" s="25"/>
      <c r="G159" s="24"/>
      <c r="H159" s="24"/>
    </row>
    <row r="160" customFormat="false" ht="15" hidden="false" customHeight="false" outlineLevel="0" collapsed="false">
      <c r="A160" s="22"/>
      <c r="B160" s="24"/>
      <c r="C160" s="24"/>
      <c r="D160" s="24"/>
      <c r="E160" s="22"/>
      <c r="F160" s="25"/>
      <c r="G160" s="24"/>
      <c r="H160" s="24"/>
    </row>
    <row r="161" customFormat="false" ht="15" hidden="false" customHeight="false" outlineLevel="0" collapsed="false">
      <c r="A161" s="22"/>
      <c r="B161" s="24"/>
      <c r="C161" s="24"/>
      <c r="D161" s="24"/>
      <c r="E161" s="22"/>
      <c r="F161" s="25"/>
      <c r="G161" s="24"/>
      <c r="H161" s="24"/>
    </row>
    <row r="162" customFormat="false" ht="15" hidden="false" customHeight="false" outlineLevel="0" collapsed="false">
      <c r="A162" s="22"/>
      <c r="B162" s="24"/>
      <c r="C162" s="24"/>
      <c r="D162" s="24"/>
      <c r="E162" s="22"/>
      <c r="F162" s="25"/>
      <c r="G162" s="24"/>
      <c r="H162" s="24"/>
    </row>
    <row r="163" customFormat="false" ht="15" hidden="false" customHeight="false" outlineLevel="0" collapsed="false">
      <c r="A163" s="22"/>
      <c r="B163" s="24"/>
      <c r="C163" s="24"/>
      <c r="D163" s="24"/>
      <c r="E163" s="22"/>
      <c r="F163" s="25"/>
      <c r="G163" s="24"/>
      <c r="H163" s="24"/>
    </row>
    <row r="164" customFormat="false" ht="15" hidden="false" customHeight="false" outlineLevel="0" collapsed="false">
      <c r="A164" s="22"/>
      <c r="B164" s="24"/>
      <c r="C164" s="24"/>
      <c r="D164" s="24"/>
      <c r="E164" s="22"/>
      <c r="F164" s="25"/>
      <c r="G164" s="24"/>
      <c r="H164" s="24"/>
    </row>
    <row r="165" customFormat="false" ht="15" hidden="false" customHeight="false" outlineLevel="0" collapsed="false">
      <c r="A165" s="22"/>
      <c r="B165" s="24"/>
      <c r="C165" s="24"/>
      <c r="D165" s="24"/>
      <c r="E165" s="22"/>
      <c r="F165" s="25"/>
      <c r="G165" s="24"/>
      <c r="H165" s="24"/>
    </row>
    <row r="166" customFormat="false" ht="15" hidden="false" customHeight="false" outlineLevel="0" collapsed="false">
      <c r="A166" s="22"/>
      <c r="B166" s="24"/>
      <c r="C166" s="24"/>
      <c r="D166" s="24"/>
      <c r="E166" s="22"/>
      <c r="F166" s="25"/>
      <c r="G166" s="24"/>
      <c r="H166" s="24"/>
    </row>
    <row r="167" customFormat="false" ht="15" hidden="false" customHeight="false" outlineLevel="0" collapsed="false">
      <c r="A167" s="22"/>
      <c r="B167" s="24"/>
      <c r="C167" s="24"/>
      <c r="D167" s="24"/>
      <c r="E167" s="22"/>
      <c r="F167" s="25"/>
      <c r="G167" s="24"/>
      <c r="H167" s="24"/>
    </row>
    <row r="168" customFormat="false" ht="15" hidden="false" customHeight="false" outlineLevel="0" collapsed="false">
      <c r="A168" s="22"/>
      <c r="B168" s="24"/>
      <c r="C168" s="24"/>
      <c r="D168" s="24"/>
      <c r="E168" s="22"/>
      <c r="F168" s="25"/>
      <c r="G168" s="24"/>
      <c r="H168" s="24"/>
    </row>
    <row r="169" customFormat="false" ht="15" hidden="false" customHeight="false" outlineLevel="0" collapsed="false">
      <c r="A169" s="22"/>
      <c r="B169" s="24"/>
      <c r="C169" s="24"/>
      <c r="D169" s="24"/>
      <c r="E169" s="22"/>
      <c r="F169" s="25"/>
      <c r="G169" s="24"/>
      <c r="H169" s="24"/>
    </row>
    <row r="170" customFormat="false" ht="15" hidden="false" customHeight="false" outlineLevel="0" collapsed="false">
      <c r="A170" s="22"/>
      <c r="B170" s="24"/>
      <c r="C170" s="24"/>
      <c r="D170" s="24"/>
      <c r="E170" s="22"/>
      <c r="F170" s="25"/>
      <c r="G170" s="24"/>
      <c r="H170" s="24"/>
    </row>
    <row r="171" customFormat="false" ht="15" hidden="false" customHeight="false" outlineLevel="0" collapsed="false">
      <c r="A171" s="22"/>
      <c r="B171" s="24"/>
      <c r="C171" s="24"/>
      <c r="D171" s="24"/>
      <c r="E171" s="22"/>
      <c r="F171" s="25"/>
      <c r="G171" s="24"/>
      <c r="H171" s="24"/>
    </row>
    <row r="172" customFormat="false" ht="15" hidden="false" customHeight="false" outlineLevel="0" collapsed="false">
      <c r="A172" s="22"/>
      <c r="B172" s="24"/>
      <c r="C172" s="24"/>
      <c r="D172" s="24"/>
      <c r="E172" s="22"/>
      <c r="F172" s="25"/>
      <c r="G172" s="24"/>
      <c r="H172" s="24"/>
    </row>
    <row r="173" customFormat="false" ht="15" hidden="false" customHeight="false" outlineLevel="0" collapsed="false">
      <c r="A173" s="22"/>
      <c r="B173" s="24"/>
      <c r="C173" s="24"/>
      <c r="D173" s="24"/>
      <c r="E173" s="22"/>
      <c r="F173" s="25"/>
      <c r="G173" s="24"/>
      <c r="H173" s="24"/>
    </row>
    <row r="174" customFormat="false" ht="15" hidden="false" customHeight="false" outlineLevel="0" collapsed="false">
      <c r="A174" s="22"/>
      <c r="B174" s="24"/>
      <c r="C174" s="24"/>
      <c r="D174" s="24"/>
      <c r="E174" s="22"/>
      <c r="F174" s="25"/>
      <c r="G174" s="24"/>
      <c r="H174" s="24"/>
    </row>
    <row r="175" customFormat="false" ht="15" hidden="false" customHeight="false" outlineLevel="0" collapsed="false">
      <c r="A175" s="22"/>
      <c r="B175" s="24"/>
      <c r="C175" s="24"/>
      <c r="D175" s="24"/>
      <c r="E175" s="22"/>
      <c r="F175" s="25"/>
      <c r="G175" s="24"/>
      <c r="H175" s="24"/>
    </row>
    <row r="176" customFormat="false" ht="15" hidden="false" customHeight="false" outlineLevel="0" collapsed="false">
      <c r="A176" s="22"/>
      <c r="B176" s="24"/>
      <c r="C176" s="24"/>
      <c r="D176" s="24"/>
      <c r="E176" s="22"/>
      <c r="F176" s="25"/>
      <c r="G176" s="24"/>
      <c r="H176" s="24"/>
    </row>
    <row r="177" customFormat="false" ht="15" hidden="false" customHeight="false" outlineLevel="0" collapsed="false">
      <c r="A177" s="22"/>
      <c r="B177" s="24"/>
      <c r="C177" s="24"/>
      <c r="D177" s="24"/>
      <c r="E177" s="22"/>
      <c r="F177" s="25"/>
      <c r="G177" s="24"/>
      <c r="H177" s="24"/>
    </row>
    <row r="178" customFormat="false" ht="15" hidden="false" customHeight="false" outlineLevel="0" collapsed="false">
      <c r="A178" s="22"/>
      <c r="B178" s="24"/>
      <c r="C178" s="24"/>
      <c r="D178" s="24"/>
      <c r="E178" s="22"/>
      <c r="F178" s="25"/>
      <c r="G178" s="24"/>
      <c r="H178" s="24"/>
    </row>
    <row r="179" customFormat="false" ht="15" hidden="false" customHeight="false" outlineLevel="0" collapsed="false">
      <c r="A179" s="22"/>
      <c r="B179" s="24"/>
      <c r="C179" s="24"/>
      <c r="D179" s="24"/>
      <c r="E179" s="22"/>
      <c r="F179" s="25"/>
      <c r="G179" s="24"/>
      <c r="H179" s="24"/>
    </row>
    <row r="180" customFormat="false" ht="15" hidden="false" customHeight="false" outlineLevel="0" collapsed="false">
      <c r="A180" s="22"/>
      <c r="B180" s="24"/>
      <c r="C180" s="24"/>
      <c r="D180" s="24"/>
      <c r="E180" s="22"/>
      <c r="F180" s="25"/>
      <c r="G180" s="24"/>
      <c r="H180" s="24"/>
    </row>
    <row r="181" customFormat="false" ht="15" hidden="false" customHeight="false" outlineLevel="0" collapsed="false">
      <c r="A181" s="22"/>
      <c r="B181" s="24"/>
      <c r="C181" s="24"/>
      <c r="D181" s="24"/>
      <c r="E181" s="22"/>
      <c r="F181" s="25"/>
      <c r="G181" s="24"/>
      <c r="H181" s="24"/>
    </row>
    <row r="182" customFormat="false" ht="15" hidden="false" customHeight="false" outlineLevel="0" collapsed="false">
      <c r="A182" s="22"/>
      <c r="B182" s="24"/>
      <c r="C182" s="24"/>
      <c r="D182" s="24"/>
      <c r="E182" s="22"/>
      <c r="F182" s="25"/>
      <c r="G182" s="24"/>
      <c r="H182" s="24"/>
    </row>
    <row r="183" customFormat="false" ht="15" hidden="false" customHeight="false" outlineLevel="0" collapsed="false">
      <c r="A183" s="22"/>
      <c r="B183" s="24"/>
      <c r="C183" s="24"/>
      <c r="D183" s="24"/>
      <c r="E183" s="22"/>
      <c r="F183" s="25"/>
      <c r="G183" s="24"/>
      <c r="H183" s="24"/>
    </row>
    <row r="184" customFormat="false" ht="15" hidden="false" customHeight="false" outlineLevel="0" collapsed="false">
      <c r="A184" s="22"/>
      <c r="B184" s="24"/>
      <c r="C184" s="24"/>
      <c r="D184" s="24"/>
      <c r="E184" s="22"/>
      <c r="F184" s="25"/>
      <c r="G184" s="24"/>
      <c r="H184" s="24"/>
    </row>
    <row r="185" customFormat="false" ht="15" hidden="false" customHeight="false" outlineLevel="0" collapsed="false">
      <c r="A185" s="22"/>
      <c r="B185" s="24"/>
      <c r="C185" s="24"/>
      <c r="D185" s="24"/>
      <c r="E185" s="22"/>
      <c r="F185" s="25"/>
      <c r="G185" s="24"/>
      <c r="H185" s="24"/>
    </row>
    <row r="186" customFormat="false" ht="15" hidden="false" customHeight="false" outlineLevel="0" collapsed="false">
      <c r="A186" s="22"/>
      <c r="B186" s="24"/>
      <c r="C186" s="24"/>
      <c r="D186" s="24"/>
      <c r="E186" s="22"/>
      <c r="F186" s="25"/>
      <c r="G186" s="24"/>
      <c r="H186" s="24"/>
    </row>
    <row r="187" customFormat="false" ht="15" hidden="false" customHeight="false" outlineLevel="0" collapsed="false">
      <c r="A187" s="22"/>
      <c r="B187" s="24"/>
      <c r="C187" s="24"/>
      <c r="D187" s="24"/>
      <c r="E187" s="22"/>
      <c r="F187" s="25"/>
      <c r="G187" s="24"/>
      <c r="H187" s="24"/>
    </row>
    <row r="188" customFormat="false" ht="15" hidden="false" customHeight="false" outlineLevel="0" collapsed="false">
      <c r="A188" s="22"/>
      <c r="B188" s="24"/>
      <c r="C188" s="24"/>
      <c r="D188" s="24"/>
      <c r="E188" s="22"/>
      <c r="F188" s="25"/>
      <c r="G188" s="24"/>
      <c r="H188" s="24"/>
    </row>
    <row r="189" customFormat="false" ht="15" hidden="false" customHeight="false" outlineLevel="0" collapsed="false">
      <c r="A189" s="22"/>
      <c r="B189" s="24"/>
      <c r="C189" s="24"/>
      <c r="D189" s="24"/>
      <c r="E189" s="22"/>
      <c r="F189" s="25"/>
      <c r="G189" s="24"/>
      <c r="H189" s="24"/>
    </row>
    <row r="190" customFormat="false" ht="15" hidden="false" customHeight="false" outlineLevel="0" collapsed="false">
      <c r="A190" s="22"/>
      <c r="B190" s="24"/>
      <c r="C190" s="24"/>
      <c r="D190" s="24"/>
      <c r="E190" s="22"/>
      <c r="F190" s="25"/>
      <c r="G190" s="24"/>
      <c r="H190" s="24"/>
    </row>
    <row r="191" customFormat="false" ht="15" hidden="false" customHeight="false" outlineLevel="0" collapsed="false">
      <c r="A191" s="22"/>
      <c r="B191" s="24"/>
      <c r="C191" s="24"/>
      <c r="D191" s="24"/>
      <c r="E191" s="22"/>
      <c r="F191" s="25"/>
      <c r="G191" s="24"/>
      <c r="H191" s="24"/>
    </row>
    <row r="192" customFormat="false" ht="15" hidden="false" customHeight="false" outlineLevel="0" collapsed="false">
      <c r="A192" s="22"/>
      <c r="B192" s="24"/>
      <c r="C192" s="24"/>
      <c r="D192" s="24"/>
      <c r="E192" s="22"/>
      <c r="F192" s="25"/>
      <c r="G192" s="24"/>
      <c r="H192" s="24"/>
    </row>
    <row r="193" customFormat="false" ht="15" hidden="false" customHeight="false" outlineLevel="0" collapsed="false">
      <c r="A193" s="22"/>
      <c r="B193" s="24"/>
      <c r="C193" s="24"/>
      <c r="D193" s="24"/>
      <c r="E193" s="22"/>
      <c r="F193" s="25"/>
      <c r="G193" s="24"/>
      <c r="H193" s="24"/>
    </row>
    <row r="194" customFormat="false" ht="15" hidden="false" customHeight="false" outlineLevel="0" collapsed="false">
      <c r="A194" s="22"/>
      <c r="B194" s="24"/>
      <c r="C194" s="24"/>
      <c r="D194" s="24"/>
      <c r="E194" s="22"/>
      <c r="F194" s="25"/>
      <c r="G194" s="24"/>
      <c r="H194" s="24"/>
    </row>
    <row r="195" customFormat="false" ht="15" hidden="false" customHeight="false" outlineLevel="0" collapsed="false">
      <c r="A195" s="22"/>
      <c r="B195" s="24"/>
      <c r="C195" s="24"/>
      <c r="D195" s="24"/>
      <c r="E195" s="22"/>
      <c r="F195" s="25"/>
      <c r="G195" s="24"/>
      <c r="H195" s="24"/>
    </row>
    <row r="196" customFormat="false" ht="15" hidden="false" customHeight="false" outlineLevel="0" collapsed="false">
      <c r="A196" s="22"/>
      <c r="B196" s="24"/>
      <c r="C196" s="24"/>
      <c r="D196" s="24"/>
      <c r="E196" s="22"/>
      <c r="F196" s="25"/>
      <c r="G196" s="24"/>
      <c r="H196" s="24"/>
    </row>
    <row r="197" customFormat="false" ht="15" hidden="false" customHeight="false" outlineLevel="0" collapsed="false">
      <c r="A197" s="22"/>
      <c r="B197" s="24"/>
      <c r="C197" s="24"/>
      <c r="D197" s="24"/>
      <c r="E197" s="22"/>
      <c r="F197" s="25"/>
      <c r="G197" s="24"/>
      <c r="H197" s="24"/>
    </row>
    <row r="198" customFormat="false" ht="15" hidden="false" customHeight="false" outlineLevel="0" collapsed="false">
      <c r="A198" s="22"/>
      <c r="B198" s="24"/>
      <c r="C198" s="24"/>
      <c r="D198" s="24"/>
      <c r="E198" s="22"/>
      <c r="F198" s="25"/>
      <c r="G198" s="24"/>
      <c r="H198" s="24"/>
    </row>
    <row r="199" customFormat="false" ht="15" hidden="false" customHeight="false" outlineLevel="0" collapsed="false">
      <c r="A199" s="22"/>
      <c r="B199" s="24"/>
      <c r="C199" s="24"/>
      <c r="D199" s="24"/>
      <c r="E199" s="22"/>
      <c r="F199" s="25"/>
      <c r="G199" s="24"/>
      <c r="H199" s="24"/>
    </row>
    <row r="200" customFormat="false" ht="15" hidden="false" customHeight="false" outlineLevel="0" collapsed="false">
      <c r="A200" s="22"/>
      <c r="B200" s="24"/>
      <c r="C200" s="24"/>
      <c r="D200" s="24"/>
      <c r="E200" s="22"/>
      <c r="F200" s="25"/>
      <c r="G200" s="24"/>
      <c r="H200" s="24"/>
    </row>
    <row r="201" customFormat="false" ht="15" hidden="false" customHeight="false" outlineLevel="0" collapsed="false">
      <c r="A201" s="22"/>
      <c r="B201" s="24"/>
      <c r="C201" s="24"/>
      <c r="D201" s="24"/>
      <c r="E201" s="22"/>
      <c r="F201" s="25"/>
      <c r="G201" s="24"/>
      <c r="H201" s="24"/>
    </row>
    <row r="202" customFormat="false" ht="15" hidden="false" customHeight="false" outlineLevel="0" collapsed="false">
      <c r="A202" s="22"/>
      <c r="B202" s="24"/>
      <c r="C202" s="24"/>
      <c r="D202" s="24"/>
      <c r="E202" s="22"/>
      <c r="F202" s="25"/>
      <c r="G202" s="24"/>
      <c r="H202" s="24"/>
    </row>
    <row r="203" customFormat="false" ht="15" hidden="false" customHeight="false" outlineLevel="0" collapsed="false">
      <c r="A203" s="22"/>
      <c r="B203" s="24"/>
      <c r="C203" s="24"/>
      <c r="D203" s="24"/>
      <c r="E203" s="22"/>
      <c r="F203" s="25"/>
      <c r="G203" s="24"/>
      <c r="H203" s="24"/>
    </row>
    <row r="204" customFormat="false" ht="15" hidden="false" customHeight="false" outlineLevel="0" collapsed="false">
      <c r="A204" s="22"/>
      <c r="B204" s="24"/>
      <c r="C204" s="24"/>
      <c r="D204" s="24"/>
      <c r="E204" s="22"/>
      <c r="F204" s="25"/>
      <c r="G204" s="24"/>
      <c r="H204" s="24"/>
    </row>
    <row r="205" customFormat="false" ht="15" hidden="false" customHeight="false" outlineLevel="0" collapsed="false">
      <c r="A205" s="22"/>
      <c r="B205" s="24"/>
      <c r="C205" s="24"/>
      <c r="D205" s="24"/>
      <c r="E205" s="22"/>
      <c r="F205" s="25"/>
      <c r="G205" s="24"/>
      <c r="H205" s="24"/>
    </row>
    <row r="206" customFormat="false" ht="15" hidden="false" customHeight="false" outlineLevel="0" collapsed="false">
      <c r="A206" s="22"/>
      <c r="B206" s="24"/>
      <c r="C206" s="24"/>
      <c r="D206" s="24"/>
      <c r="E206" s="22"/>
      <c r="F206" s="25"/>
      <c r="G206" s="24"/>
      <c r="H206" s="24"/>
    </row>
    <row r="207" customFormat="false" ht="15" hidden="false" customHeight="false" outlineLevel="0" collapsed="false">
      <c r="A207" s="22"/>
      <c r="B207" s="24"/>
      <c r="C207" s="24"/>
      <c r="D207" s="24"/>
      <c r="E207" s="22"/>
      <c r="F207" s="25"/>
      <c r="G207" s="24"/>
      <c r="H207" s="24"/>
    </row>
    <row r="208" customFormat="false" ht="15" hidden="false" customHeight="false" outlineLevel="0" collapsed="false">
      <c r="A208" s="22"/>
      <c r="B208" s="24"/>
      <c r="C208" s="24"/>
      <c r="D208" s="24"/>
      <c r="E208" s="22"/>
      <c r="F208" s="25"/>
      <c r="G208" s="24"/>
      <c r="H208" s="24"/>
    </row>
    <row r="209" customFormat="false" ht="15" hidden="false" customHeight="false" outlineLevel="0" collapsed="false">
      <c r="A209" s="22"/>
      <c r="B209" s="24"/>
      <c r="C209" s="24"/>
      <c r="D209" s="24"/>
      <c r="E209" s="22"/>
      <c r="F209" s="25"/>
      <c r="G209" s="24"/>
      <c r="H209" s="24"/>
    </row>
    <row r="210" customFormat="false" ht="15" hidden="false" customHeight="false" outlineLevel="0" collapsed="false">
      <c r="A210" s="22"/>
      <c r="B210" s="24"/>
      <c r="C210" s="24"/>
      <c r="D210" s="24"/>
      <c r="E210" s="22"/>
      <c r="F210" s="25"/>
      <c r="G210" s="24"/>
      <c r="H210" s="24"/>
    </row>
    <row r="211" customFormat="false" ht="15" hidden="false" customHeight="false" outlineLevel="0" collapsed="false">
      <c r="A211" s="22"/>
      <c r="B211" s="24"/>
      <c r="C211" s="24"/>
      <c r="D211" s="24"/>
      <c r="E211" s="22"/>
      <c r="F211" s="25"/>
      <c r="G211" s="24"/>
      <c r="H211" s="24"/>
    </row>
    <row r="212" customFormat="false" ht="15" hidden="false" customHeight="false" outlineLevel="0" collapsed="false">
      <c r="A212" s="22"/>
      <c r="B212" s="24"/>
      <c r="C212" s="24"/>
      <c r="D212" s="24"/>
      <c r="E212" s="22"/>
      <c r="F212" s="25"/>
      <c r="G212" s="24"/>
      <c r="H212" s="24"/>
    </row>
    <row r="213" customFormat="false" ht="15" hidden="false" customHeight="false" outlineLevel="0" collapsed="false">
      <c r="A213" s="22"/>
      <c r="B213" s="24"/>
      <c r="C213" s="24"/>
      <c r="D213" s="24"/>
      <c r="E213" s="22"/>
      <c r="F213" s="25"/>
      <c r="G213" s="24"/>
      <c r="H213" s="24"/>
    </row>
    <row r="214" customFormat="false" ht="15" hidden="false" customHeight="false" outlineLevel="0" collapsed="false">
      <c r="A214" s="22"/>
      <c r="B214" s="24"/>
      <c r="C214" s="24"/>
      <c r="D214" s="24"/>
      <c r="E214" s="22"/>
      <c r="F214" s="25"/>
      <c r="G214" s="24"/>
      <c r="H214" s="24"/>
    </row>
    <row r="215" customFormat="false" ht="15" hidden="false" customHeight="false" outlineLevel="0" collapsed="false">
      <c r="A215" s="22"/>
      <c r="B215" s="24"/>
      <c r="C215" s="24"/>
      <c r="D215" s="24"/>
      <c r="E215" s="22"/>
      <c r="F215" s="25"/>
      <c r="G215" s="24"/>
      <c r="H215" s="24"/>
    </row>
    <row r="216" customFormat="false" ht="15" hidden="false" customHeight="false" outlineLevel="0" collapsed="false">
      <c r="A216" s="22"/>
      <c r="B216" s="24"/>
      <c r="C216" s="24"/>
      <c r="D216" s="24"/>
      <c r="E216" s="22"/>
      <c r="F216" s="25"/>
      <c r="G216" s="24"/>
      <c r="H216" s="24"/>
    </row>
    <row r="217" customFormat="false" ht="15" hidden="false" customHeight="false" outlineLevel="0" collapsed="false">
      <c r="A217" s="22"/>
      <c r="B217" s="24"/>
      <c r="C217" s="24"/>
      <c r="D217" s="24"/>
      <c r="E217" s="22"/>
      <c r="F217" s="25"/>
      <c r="G217" s="24"/>
      <c r="H217" s="24"/>
    </row>
    <row r="218" customFormat="false" ht="15" hidden="false" customHeight="false" outlineLevel="0" collapsed="false">
      <c r="A218" s="22"/>
      <c r="B218" s="24"/>
      <c r="C218" s="24"/>
      <c r="D218" s="24"/>
      <c r="E218" s="22"/>
      <c r="F218" s="25"/>
      <c r="G218" s="24"/>
      <c r="H218" s="24"/>
    </row>
    <row r="219" customFormat="false" ht="15" hidden="false" customHeight="false" outlineLevel="0" collapsed="false">
      <c r="A219" s="22"/>
      <c r="B219" s="24"/>
      <c r="C219" s="24"/>
      <c r="D219" s="24"/>
      <c r="E219" s="22"/>
      <c r="F219" s="25"/>
      <c r="G219" s="24"/>
      <c r="H219" s="24"/>
    </row>
    <row r="220" customFormat="false" ht="15" hidden="false" customHeight="false" outlineLevel="0" collapsed="false">
      <c r="A220" s="22"/>
      <c r="B220" s="24"/>
      <c r="C220" s="24"/>
      <c r="D220" s="24"/>
      <c r="E220" s="22"/>
      <c r="F220" s="25"/>
      <c r="G220" s="24"/>
      <c r="H220" s="24"/>
    </row>
    <row r="221" customFormat="false" ht="15" hidden="false" customHeight="false" outlineLevel="0" collapsed="false">
      <c r="A221" s="22"/>
      <c r="B221" s="24"/>
      <c r="C221" s="24"/>
      <c r="D221" s="24"/>
      <c r="E221" s="22"/>
      <c r="F221" s="25"/>
      <c r="G221" s="24"/>
      <c r="H221" s="24"/>
    </row>
    <row r="222" customFormat="false" ht="15" hidden="false" customHeight="false" outlineLevel="0" collapsed="false">
      <c r="A222" s="22"/>
      <c r="B222" s="24"/>
      <c r="C222" s="24"/>
      <c r="D222" s="24"/>
      <c r="E222" s="22"/>
      <c r="F222" s="25"/>
      <c r="G222" s="24"/>
      <c r="H222" s="24"/>
    </row>
    <row r="223" customFormat="false" ht="15" hidden="false" customHeight="false" outlineLevel="0" collapsed="false">
      <c r="A223" s="22"/>
      <c r="B223" s="24"/>
      <c r="C223" s="24"/>
      <c r="D223" s="24"/>
      <c r="E223" s="22"/>
      <c r="F223" s="25"/>
      <c r="G223" s="24"/>
      <c r="H223" s="24"/>
    </row>
    <row r="224" customFormat="false" ht="15" hidden="false" customHeight="false" outlineLevel="0" collapsed="false">
      <c r="A224" s="22"/>
      <c r="B224" s="24"/>
      <c r="C224" s="24"/>
      <c r="D224" s="24"/>
      <c r="E224" s="22"/>
      <c r="F224" s="25"/>
      <c r="G224" s="24"/>
      <c r="H224" s="24"/>
    </row>
    <row r="225" customFormat="false" ht="15" hidden="false" customHeight="false" outlineLevel="0" collapsed="false">
      <c r="A225" s="22"/>
      <c r="B225" s="24"/>
      <c r="C225" s="24"/>
      <c r="D225" s="24"/>
      <c r="E225" s="22"/>
      <c r="F225" s="25"/>
      <c r="G225" s="24"/>
      <c r="H225" s="24"/>
    </row>
    <row r="226" customFormat="false" ht="15" hidden="false" customHeight="false" outlineLevel="0" collapsed="false">
      <c r="A226" s="22"/>
      <c r="B226" s="24"/>
      <c r="C226" s="24"/>
      <c r="D226" s="24"/>
      <c r="E226" s="22"/>
      <c r="F226" s="25"/>
      <c r="G226" s="24"/>
      <c r="H226" s="24"/>
    </row>
    <row r="227" customFormat="false" ht="15" hidden="false" customHeight="false" outlineLevel="0" collapsed="false">
      <c r="A227" s="22"/>
      <c r="B227" s="24"/>
      <c r="C227" s="24"/>
      <c r="D227" s="24"/>
      <c r="E227" s="22"/>
      <c r="F227" s="25"/>
      <c r="G227" s="24"/>
      <c r="H227" s="24"/>
    </row>
    <row r="228" customFormat="false" ht="15" hidden="false" customHeight="false" outlineLevel="0" collapsed="false">
      <c r="A228" s="22"/>
      <c r="B228" s="24"/>
      <c r="C228" s="24"/>
      <c r="D228" s="24"/>
      <c r="E228" s="22"/>
      <c r="F228" s="25"/>
      <c r="G228" s="24"/>
      <c r="H228" s="24"/>
    </row>
    <row r="229" customFormat="false" ht="15" hidden="false" customHeight="false" outlineLevel="0" collapsed="false">
      <c r="A229" s="22"/>
      <c r="B229" s="24"/>
      <c r="C229" s="24"/>
      <c r="D229" s="24"/>
      <c r="E229" s="22"/>
      <c r="F229" s="25"/>
      <c r="G229" s="24"/>
      <c r="H229" s="24"/>
    </row>
    <row r="230" customFormat="false" ht="15" hidden="false" customHeight="false" outlineLevel="0" collapsed="false">
      <c r="A230" s="22"/>
      <c r="B230" s="24"/>
      <c r="C230" s="24"/>
      <c r="D230" s="24"/>
      <c r="E230" s="22"/>
      <c r="F230" s="25"/>
      <c r="G230" s="24"/>
      <c r="H230" s="24"/>
    </row>
    <row r="231" customFormat="false" ht="15" hidden="false" customHeight="false" outlineLevel="0" collapsed="false">
      <c r="A231" s="22"/>
      <c r="B231" s="24"/>
      <c r="C231" s="24"/>
      <c r="D231" s="24"/>
      <c r="E231" s="22"/>
      <c r="F231" s="25"/>
      <c r="G231" s="24"/>
      <c r="H231" s="24"/>
    </row>
    <row r="232" customFormat="false" ht="15" hidden="false" customHeight="false" outlineLevel="0" collapsed="false">
      <c r="A232" s="22"/>
      <c r="B232" s="24"/>
      <c r="C232" s="24"/>
      <c r="D232" s="24"/>
      <c r="E232" s="22"/>
      <c r="F232" s="25"/>
      <c r="G232" s="24"/>
      <c r="H232" s="24"/>
    </row>
    <row r="233" customFormat="false" ht="15" hidden="false" customHeight="false" outlineLevel="0" collapsed="false">
      <c r="A233" s="22"/>
      <c r="B233" s="24"/>
      <c r="C233" s="24"/>
      <c r="D233" s="24"/>
      <c r="E233" s="22"/>
      <c r="F233" s="25"/>
      <c r="G233" s="24"/>
      <c r="H233" s="24"/>
    </row>
    <row r="234" customFormat="false" ht="15" hidden="false" customHeight="false" outlineLevel="0" collapsed="false">
      <c r="A234" s="22"/>
      <c r="B234" s="24"/>
      <c r="C234" s="24"/>
      <c r="D234" s="24"/>
      <c r="E234" s="22"/>
      <c r="F234" s="25"/>
      <c r="G234" s="24"/>
      <c r="H234" s="24"/>
    </row>
    <row r="235" customFormat="false" ht="15" hidden="false" customHeight="false" outlineLevel="0" collapsed="false">
      <c r="A235" s="22"/>
      <c r="B235" s="24"/>
      <c r="C235" s="24"/>
      <c r="D235" s="24"/>
      <c r="E235" s="22"/>
      <c r="F235" s="25"/>
      <c r="G235" s="24"/>
      <c r="H235" s="24"/>
    </row>
    <row r="236" customFormat="false" ht="15" hidden="false" customHeight="false" outlineLevel="0" collapsed="false">
      <c r="A236" s="22"/>
      <c r="B236" s="24"/>
      <c r="C236" s="24"/>
      <c r="D236" s="24"/>
      <c r="E236" s="22"/>
      <c r="F236" s="25"/>
      <c r="G236" s="24"/>
      <c r="H236" s="24"/>
    </row>
    <row r="237" customFormat="false" ht="15" hidden="false" customHeight="false" outlineLevel="0" collapsed="false">
      <c r="A237" s="22"/>
      <c r="B237" s="24"/>
      <c r="C237" s="24"/>
      <c r="D237" s="24"/>
      <c r="E237" s="22"/>
      <c r="F237" s="25"/>
      <c r="G237" s="24"/>
      <c r="H237" s="24"/>
    </row>
    <row r="238" customFormat="false" ht="15" hidden="false" customHeight="false" outlineLevel="0" collapsed="false">
      <c r="A238" s="22"/>
      <c r="B238" s="24"/>
      <c r="C238" s="24"/>
      <c r="D238" s="24"/>
      <c r="E238" s="22"/>
      <c r="F238" s="25"/>
      <c r="G238" s="24"/>
      <c r="H238" s="24"/>
    </row>
    <row r="239" customFormat="false" ht="15" hidden="false" customHeight="false" outlineLevel="0" collapsed="false">
      <c r="A239" s="22"/>
      <c r="B239" s="24"/>
      <c r="C239" s="24"/>
      <c r="D239" s="24"/>
      <c r="E239" s="22"/>
      <c r="F239" s="25"/>
      <c r="G239" s="24"/>
      <c r="H239" s="24"/>
    </row>
    <row r="240" customFormat="false" ht="15" hidden="false" customHeight="false" outlineLevel="0" collapsed="false">
      <c r="A240" s="22"/>
      <c r="B240" s="24"/>
      <c r="C240" s="24"/>
      <c r="D240" s="24"/>
      <c r="E240" s="22"/>
      <c r="F240" s="25"/>
      <c r="G240" s="24"/>
      <c r="H240" s="24"/>
    </row>
    <row r="241" customFormat="false" ht="15" hidden="false" customHeight="false" outlineLevel="0" collapsed="false">
      <c r="A241" s="22"/>
      <c r="B241" s="24"/>
      <c r="C241" s="24"/>
      <c r="D241" s="24"/>
      <c r="E241" s="22"/>
      <c r="F241" s="25"/>
      <c r="G241" s="24"/>
      <c r="H241" s="24"/>
    </row>
    <row r="242" customFormat="false" ht="15" hidden="false" customHeight="false" outlineLevel="0" collapsed="false">
      <c r="A242" s="22"/>
      <c r="B242" s="24"/>
      <c r="C242" s="24"/>
      <c r="D242" s="24"/>
      <c r="E242" s="22"/>
      <c r="F242" s="25"/>
      <c r="G242" s="24"/>
      <c r="H242" s="24"/>
    </row>
    <row r="243" customFormat="false" ht="15" hidden="false" customHeight="false" outlineLevel="0" collapsed="false">
      <c r="A243" s="22"/>
      <c r="B243" s="24"/>
      <c r="C243" s="24"/>
      <c r="D243" s="24"/>
      <c r="E243" s="22"/>
      <c r="F243" s="25"/>
      <c r="G243" s="24"/>
      <c r="H243" s="24"/>
    </row>
    <row r="244" customFormat="false" ht="15" hidden="false" customHeight="false" outlineLevel="0" collapsed="false">
      <c r="A244" s="22"/>
      <c r="B244" s="24"/>
      <c r="C244" s="24"/>
      <c r="D244" s="24"/>
      <c r="E244" s="22"/>
      <c r="F244" s="25"/>
      <c r="G244" s="24"/>
      <c r="H244" s="24"/>
    </row>
    <row r="245" customFormat="false" ht="15" hidden="false" customHeight="false" outlineLevel="0" collapsed="false">
      <c r="A245" s="22"/>
      <c r="B245" s="24"/>
      <c r="C245" s="24"/>
      <c r="D245" s="24"/>
      <c r="E245" s="22"/>
      <c r="F245" s="25"/>
      <c r="G245" s="24"/>
      <c r="H245" s="24"/>
    </row>
    <row r="246" customFormat="false" ht="15" hidden="false" customHeight="false" outlineLevel="0" collapsed="false">
      <c r="A246" s="22"/>
      <c r="B246" s="24"/>
      <c r="C246" s="24"/>
      <c r="D246" s="24"/>
      <c r="E246" s="22"/>
      <c r="F246" s="25"/>
      <c r="G246" s="24"/>
      <c r="H246" s="24"/>
    </row>
    <row r="247" customFormat="false" ht="15" hidden="false" customHeight="false" outlineLevel="0" collapsed="false">
      <c r="A247" s="22"/>
      <c r="B247" s="24"/>
      <c r="C247" s="24"/>
      <c r="D247" s="24"/>
      <c r="E247" s="22"/>
      <c r="F247" s="25"/>
      <c r="G247" s="24"/>
      <c r="H247" s="24"/>
    </row>
    <row r="248" customFormat="false" ht="15" hidden="false" customHeight="false" outlineLevel="0" collapsed="false">
      <c r="A248" s="22"/>
      <c r="B248" s="24"/>
      <c r="C248" s="24"/>
      <c r="D248" s="24"/>
      <c r="E248" s="22"/>
      <c r="F248" s="25"/>
      <c r="G248" s="24"/>
      <c r="H248" s="24"/>
    </row>
    <row r="249" customFormat="false" ht="15" hidden="false" customHeight="false" outlineLevel="0" collapsed="false">
      <c r="A249" s="22"/>
      <c r="B249" s="24"/>
      <c r="C249" s="24"/>
      <c r="D249" s="24"/>
      <c r="E249" s="22"/>
      <c r="F249" s="25"/>
      <c r="G249" s="24"/>
      <c r="H249" s="24"/>
    </row>
    <row r="250" customFormat="false" ht="15" hidden="false" customHeight="false" outlineLevel="0" collapsed="false">
      <c r="A250" s="22"/>
      <c r="B250" s="24"/>
      <c r="C250" s="24"/>
      <c r="D250" s="24"/>
      <c r="E250" s="22"/>
      <c r="F250" s="25"/>
      <c r="G250" s="24"/>
      <c r="H250" s="24"/>
    </row>
    <row r="251" customFormat="false" ht="15" hidden="false" customHeight="false" outlineLevel="0" collapsed="false">
      <c r="A251" s="22"/>
      <c r="B251" s="24"/>
      <c r="C251" s="24"/>
      <c r="D251" s="24"/>
      <c r="E251" s="22"/>
      <c r="F251" s="25"/>
      <c r="G251" s="24"/>
      <c r="H251" s="24"/>
    </row>
    <row r="252" customFormat="false" ht="15" hidden="false" customHeight="false" outlineLevel="0" collapsed="false">
      <c r="A252" s="22"/>
      <c r="B252" s="24"/>
      <c r="C252" s="24"/>
      <c r="D252" s="24"/>
      <c r="E252" s="22"/>
      <c r="F252" s="25"/>
      <c r="G252" s="24"/>
      <c r="H252" s="24"/>
    </row>
    <row r="253" customFormat="false" ht="15" hidden="false" customHeight="false" outlineLevel="0" collapsed="false">
      <c r="A253" s="22"/>
      <c r="B253" s="24"/>
      <c r="C253" s="24"/>
      <c r="D253" s="24"/>
      <c r="E253" s="22"/>
      <c r="F253" s="25"/>
      <c r="G253" s="24"/>
      <c r="H253" s="24"/>
    </row>
    <row r="254" customFormat="false" ht="15" hidden="false" customHeight="false" outlineLevel="0" collapsed="false">
      <c r="A254" s="22"/>
      <c r="B254" s="24"/>
      <c r="C254" s="24"/>
      <c r="D254" s="24"/>
      <c r="E254" s="22"/>
      <c r="F254" s="25"/>
      <c r="G254" s="24"/>
      <c r="H254" s="24"/>
    </row>
    <row r="255" customFormat="false" ht="15" hidden="false" customHeight="false" outlineLevel="0" collapsed="false">
      <c r="A255" s="22"/>
      <c r="B255" s="24"/>
      <c r="C255" s="24"/>
      <c r="D255" s="24"/>
      <c r="E255" s="22"/>
      <c r="F255" s="25"/>
      <c r="G255" s="24"/>
      <c r="H255" s="24"/>
    </row>
    <row r="256" customFormat="false" ht="15" hidden="false" customHeight="false" outlineLevel="0" collapsed="false">
      <c r="A256" s="22"/>
      <c r="B256" s="24"/>
      <c r="C256" s="24"/>
      <c r="D256" s="24"/>
      <c r="E256" s="22"/>
      <c r="F256" s="25"/>
      <c r="G256" s="24"/>
      <c r="H256" s="24"/>
    </row>
    <row r="257" customFormat="false" ht="15" hidden="false" customHeight="false" outlineLevel="0" collapsed="false">
      <c r="A257" s="22"/>
      <c r="B257" s="24"/>
      <c r="C257" s="24"/>
      <c r="D257" s="24"/>
      <c r="E257" s="22"/>
      <c r="F257" s="25"/>
      <c r="G257" s="24"/>
      <c r="H257" s="24"/>
    </row>
    <row r="258" customFormat="false" ht="15" hidden="false" customHeight="false" outlineLevel="0" collapsed="false">
      <c r="A258" s="22"/>
      <c r="B258" s="24"/>
      <c r="C258" s="24"/>
      <c r="D258" s="24"/>
      <c r="E258" s="22"/>
      <c r="F258" s="25"/>
      <c r="G258" s="24"/>
      <c r="H258" s="24"/>
    </row>
    <row r="259" customFormat="false" ht="15" hidden="false" customHeight="false" outlineLevel="0" collapsed="false">
      <c r="A259" s="22"/>
      <c r="B259" s="24"/>
      <c r="C259" s="24"/>
      <c r="D259" s="24"/>
      <c r="E259" s="22"/>
      <c r="F259" s="25"/>
      <c r="G259" s="24"/>
      <c r="H259" s="24"/>
    </row>
    <row r="260" customFormat="false" ht="15" hidden="false" customHeight="false" outlineLevel="0" collapsed="false">
      <c r="A260" s="22"/>
      <c r="B260" s="24"/>
      <c r="C260" s="24"/>
      <c r="D260" s="24"/>
      <c r="E260" s="22"/>
      <c r="F260" s="25"/>
      <c r="G260" s="24"/>
      <c r="H260" s="24"/>
    </row>
    <row r="261" customFormat="false" ht="15" hidden="false" customHeight="false" outlineLevel="0" collapsed="false">
      <c r="A261" s="22"/>
      <c r="B261" s="24"/>
      <c r="C261" s="24"/>
      <c r="D261" s="24"/>
      <c r="E261" s="22"/>
      <c r="F261" s="25"/>
      <c r="G261" s="24"/>
      <c r="H261" s="24"/>
    </row>
    <row r="262" customFormat="false" ht="15" hidden="false" customHeight="false" outlineLevel="0" collapsed="false">
      <c r="A262" s="22"/>
      <c r="B262" s="24"/>
      <c r="C262" s="24"/>
      <c r="D262" s="24"/>
      <c r="E262" s="22"/>
      <c r="F262" s="25"/>
      <c r="G262" s="24"/>
      <c r="H262" s="24"/>
    </row>
    <row r="263" customFormat="false" ht="15" hidden="false" customHeight="false" outlineLevel="0" collapsed="false">
      <c r="A263" s="22"/>
      <c r="B263" s="24"/>
      <c r="C263" s="24"/>
      <c r="D263" s="24"/>
      <c r="E263" s="22"/>
      <c r="F263" s="25"/>
      <c r="G263" s="24"/>
      <c r="H263" s="24"/>
    </row>
    <row r="264" customFormat="false" ht="15" hidden="false" customHeight="false" outlineLevel="0" collapsed="false">
      <c r="A264" s="22"/>
      <c r="B264" s="24"/>
      <c r="C264" s="24"/>
      <c r="D264" s="24"/>
      <c r="E264" s="22"/>
      <c r="F264" s="25"/>
      <c r="G264" s="24"/>
      <c r="H264" s="24"/>
    </row>
    <row r="265" customFormat="false" ht="15" hidden="false" customHeight="false" outlineLevel="0" collapsed="false">
      <c r="A265" s="22"/>
      <c r="B265" s="24"/>
      <c r="C265" s="24"/>
      <c r="D265" s="24"/>
      <c r="E265" s="22"/>
      <c r="F265" s="25"/>
      <c r="G265" s="24"/>
      <c r="H265" s="24"/>
    </row>
    <row r="266" customFormat="false" ht="15" hidden="false" customHeight="false" outlineLevel="0" collapsed="false">
      <c r="A266" s="22"/>
      <c r="B266" s="24"/>
      <c r="C266" s="24"/>
      <c r="D266" s="24"/>
      <c r="E266" s="22"/>
      <c r="F266" s="25"/>
      <c r="G266" s="24"/>
      <c r="H266" s="24"/>
    </row>
    <row r="267" customFormat="false" ht="15" hidden="false" customHeight="false" outlineLevel="0" collapsed="false">
      <c r="A267" s="22"/>
      <c r="B267" s="24"/>
      <c r="C267" s="24"/>
      <c r="D267" s="24"/>
      <c r="E267" s="22"/>
      <c r="F267" s="25"/>
      <c r="G267" s="24"/>
      <c r="H267" s="24"/>
    </row>
    <row r="268" customFormat="false" ht="15" hidden="false" customHeight="false" outlineLevel="0" collapsed="false">
      <c r="A268" s="22"/>
      <c r="B268" s="24"/>
      <c r="C268" s="24"/>
      <c r="D268" s="24"/>
      <c r="E268" s="22"/>
      <c r="F268" s="25"/>
      <c r="G268" s="24"/>
      <c r="H268" s="24"/>
    </row>
    <row r="269" customFormat="false" ht="15" hidden="false" customHeight="false" outlineLevel="0" collapsed="false">
      <c r="A269" s="22"/>
      <c r="B269" s="24"/>
      <c r="C269" s="24"/>
      <c r="D269" s="24"/>
      <c r="E269" s="22"/>
      <c r="F269" s="25"/>
      <c r="G269" s="24"/>
      <c r="H269" s="24"/>
    </row>
    <row r="270" customFormat="false" ht="15" hidden="false" customHeight="false" outlineLevel="0" collapsed="false">
      <c r="A270" s="22"/>
      <c r="B270" s="24"/>
      <c r="C270" s="24"/>
      <c r="D270" s="24"/>
      <c r="E270" s="22"/>
      <c r="F270" s="25"/>
      <c r="G270" s="24"/>
      <c r="H270" s="24"/>
    </row>
    <row r="271" customFormat="false" ht="15" hidden="false" customHeight="false" outlineLevel="0" collapsed="false">
      <c r="A271" s="22"/>
      <c r="B271" s="24"/>
      <c r="C271" s="24"/>
      <c r="D271" s="24"/>
      <c r="E271" s="22"/>
      <c r="F271" s="25"/>
      <c r="G271" s="24"/>
      <c r="H271" s="24"/>
    </row>
    <row r="272" customFormat="false" ht="15" hidden="false" customHeight="false" outlineLevel="0" collapsed="false">
      <c r="A272" s="22"/>
      <c r="B272" s="24"/>
      <c r="C272" s="24"/>
      <c r="D272" s="24"/>
      <c r="E272" s="22"/>
      <c r="F272" s="25"/>
      <c r="G272" s="24"/>
      <c r="H272" s="24"/>
    </row>
    <row r="273" customFormat="false" ht="15" hidden="false" customHeight="false" outlineLevel="0" collapsed="false">
      <c r="A273" s="22"/>
      <c r="B273" s="24"/>
      <c r="C273" s="24"/>
      <c r="D273" s="24"/>
      <c r="E273" s="22"/>
      <c r="F273" s="25"/>
      <c r="G273" s="24"/>
      <c r="H273" s="24"/>
    </row>
    <row r="274" customFormat="false" ht="15" hidden="false" customHeight="false" outlineLevel="0" collapsed="false">
      <c r="A274" s="22"/>
      <c r="B274" s="24"/>
      <c r="C274" s="24"/>
      <c r="D274" s="24"/>
      <c r="E274" s="22"/>
      <c r="F274" s="25"/>
      <c r="G274" s="24"/>
      <c r="H274" s="24"/>
    </row>
    <row r="275" customFormat="false" ht="15" hidden="false" customHeight="false" outlineLevel="0" collapsed="false">
      <c r="A275" s="22"/>
      <c r="B275" s="24"/>
      <c r="C275" s="24"/>
      <c r="D275" s="24"/>
      <c r="E275" s="22"/>
      <c r="F275" s="25"/>
      <c r="G275" s="24"/>
      <c r="H275" s="24"/>
    </row>
    <row r="276" customFormat="false" ht="15" hidden="false" customHeight="false" outlineLevel="0" collapsed="false">
      <c r="A276" s="22"/>
      <c r="B276" s="24"/>
      <c r="C276" s="24"/>
      <c r="D276" s="24"/>
      <c r="E276" s="22"/>
      <c r="F276" s="25"/>
      <c r="G276" s="24"/>
      <c r="H276" s="24"/>
    </row>
    <row r="277" customFormat="false" ht="15" hidden="false" customHeight="false" outlineLevel="0" collapsed="false">
      <c r="A277" s="22"/>
      <c r="B277" s="24"/>
      <c r="C277" s="24"/>
      <c r="D277" s="24"/>
      <c r="E277" s="22"/>
      <c r="F277" s="25"/>
      <c r="G277" s="24"/>
      <c r="H277" s="24"/>
    </row>
    <row r="278" customFormat="false" ht="15" hidden="false" customHeight="false" outlineLevel="0" collapsed="false">
      <c r="A278" s="22"/>
      <c r="B278" s="24"/>
      <c r="C278" s="24"/>
      <c r="D278" s="24"/>
      <c r="E278" s="22"/>
      <c r="F278" s="25"/>
      <c r="G278" s="24"/>
      <c r="H278" s="24"/>
    </row>
    <row r="279" customFormat="false" ht="15" hidden="false" customHeight="false" outlineLevel="0" collapsed="false">
      <c r="A279" s="22"/>
      <c r="B279" s="24"/>
      <c r="C279" s="24"/>
      <c r="D279" s="24"/>
      <c r="E279" s="22"/>
      <c r="F279" s="25"/>
      <c r="G279" s="24"/>
      <c r="H279" s="24"/>
    </row>
    <row r="280" customFormat="false" ht="15" hidden="false" customHeight="false" outlineLevel="0" collapsed="false">
      <c r="A280" s="22"/>
      <c r="B280" s="24"/>
      <c r="C280" s="24"/>
      <c r="D280" s="24"/>
      <c r="E280" s="22"/>
      <c r="F280" s="25"/>
      <c r="G280" s="24"/>
      <c r="H280" s="24"/>
    </row>
    <row r="281" customFormat="false" ht="15" hidden="false" customHeight="false" outlineLevel="0" collapsed="false">
      <c r="A281" s="22"/>
      <c r="B281" s="24"/>
      <c r="C281" s="24"/>
      <c r="D281" s="24"/>
      <c r="E281" s="22"/>
      <c r="F281" s="25"/>
      <c r="G281" s="24"/>
      <c r="H281" s="24"/>
    </row>
    <row r="282" customFormat="false" ht="15" hidden="false" customHeight="false" outlineLevel="0" collapsed="false">
      <c r="A282" s="22"/>
      <c r="B282" s="24"/>
      <c r="C282" s="24"/>
      <c r="D282" s="24"/>
      <c r="E282" s="22"/>
      <c r="F282" s="25"/>
      <c r="G282" s="24"/>
      <c r="H282" s="24"/>
    </row>
    <row r="283" customFormat="false" ht="15" hidden="false" customHeight="false" outlineLevel="0" collapsed="false">
      <c r="A283" s="22"/>
      <c r="B283" s="24"/>
      <c r="C283" s="24"/>
      <c r="D283" s="24"/>
      <c r="E283" s="22"/>
      <c r="F283" s="25"/>
      <c r="G283" s="24"/>
      <c r="H283" s="24"/>
    </row>
    <row r="284" customFormat="false" ht="15" hidden="false" customHeight="false" outlineLevel="0" collapsed="false">
      <c r="A284" s="22"/>
      <c r="B284" s="24"/>
      <c r="C284" s="24"/>
      <c r="D284" s="24"/>
      <c r="E284" s="22"/>
      <c r="F284" s="25"/>
      <c r="G284" s="24"/>
      <c r="H284" s="24"/>
    </row>
    <row r="285" customFormat="false" ht="15" hidden="false" customHeight="false" outlineLevel="0" collapsed="false">
      <c r="A285" s="22"/>
      <c r="B285" s="24"/>
      <c r="C285" s="24"/>
      <c r="D285" s="24"/>
      <c r="E285" s="22"/>
      <c r="F285" s="25"/>
      <c r="G285" s="24"/>
      <c r="H285" s="24"/>
    </row>
    <row r="286" customFormat="false" ht="15" hidden="false" customHeight="false" outlineLevel="0" collapsed="false">
      <c r="A286" s="22"/>
      <c r="B286" s="24"/>
      <c r="C286" s="24"/>
      <c r="D286" s="24"/>
      <c r="E286" s="22"/>
      <c r="F286" s="25"/>
      <c r="G286" s="24"/>
      <c r="H286" s="24"/>
    </row>
    <row r="287" customFormat="false" ht="15" hidden="false" customHeight="false" outlineLevel="0" collapsed="false">
      <c r="A287" s="22"/>
      <c r="B287" s="24"/>
      <c r="C287" s="24"/>
      <c r="D287" s="24"/>
      <c r="E287" s="22"/>
      <c r="F287" s="25"/>
      <c r="G287" s="24"/>
      <c r="H287" s="24"/>
    </row>
    <row r="288" customFormat="false" ht="15" hidden="false" customHeight="false" outlineLevel="0" collapsed="false">
      <c r="A288" s="22"/>
      <c r="B288" s="24"/>
      <c r="C288" s="24"/>
      <c r="D288" s="24"/>
      <c r="E288" s="22"/>
      <c r="F288" s="25"/>
      <c r="G288" s="24"/>
      <c r="H288" s="24"/>
    </row>
    <row r="289" customFormat="false" ht="15" hidden="false" customHeight="false" outlineLevel="0" collapsed="false">
      <c r="A289" s="22"/>
      <c r="B289" s="24"/>
      <c r="C289" s="24"/>
      <c r="D289" s="24"/>
      <c r="E289" s="22"/>
      <c r="F289" s="25"/>
      <c r="G289" s="24"/>
      <c r="H289" s="24"/>
    </row>
    <row r="290" customFormat="false" ht="15" hidden="false" customHeight="false" outlineLevel="0" collapsed="false">
      <c r="A290" s="22"/>
      <c r="B290" s="24"/>
      <c r="C290" s="24"/>
      <c r="D290" s="24"/>
      <c r="E290" s="22"/>
      <c r="F290" s="25"/>
      <c r="G290" s="24"/>
      <c r="H290" s="24"/>
    </row>
    <row r="291" customFormat="false" ht="15" hidden="false" customHeight="false" outlineLevel="0" collapsed="false">
      <c r="A291" s="22"/>
      <c r="B291" s="24"/>
      <c r="C291" s="24"/>
      <c r="D291" s="24"/>
      <c r="E291" s="22"/>
      <c r="F291" s="25"/>
      <c r="G291" s="24"/>
      <c r="H291" s="24"/>
    </row>
    <row r="292" customFormat="false" ht="15" hidden="false" customHeight="false" outlineLevel="0" collapsed="false">
      <c r="A292" s="22"/>
      <c r="B292" s="24"/>
      <c r="C292" s="24"/>
      <c r="D292" s="24"/>
      <c r="E292" s="22"/>
      <c r="F292" s="25"/>
      <c r="G292" s="24"/>
      <c r="H292" s="24"/>
    </row>
    <row r="293" customFormat="false" ht="15" hidden="false" customHeight="false" outlineLevel="0" collapsed="false">
      <c r="A293" s="22"/>
      <c r="B293" s="24"/>
      <c r="C293" s="24"/>
      <c r="D293" s="24"/>
      <c r="E293" s="22"/>
      <c r="F293" s="25"/>
      <c r="G293" s="24"/>
      <c r="H293" s="24"/>
    </row>
    <row r="294" customFormat="false" ht="15" hidden="false" customHeight="false" outlineLevel="0" collapsed="false">
      <c r="A294" s="22"/>
      <c r="B294" s="24"/>
      <c r="C294" s="24"/>
      <c r="D294" s="24"/>
      <c r="E294" s="22"/>
      <c r="F294" s="25"/>
      <c r="G294" s="24"/>
      <c r="H294" s="24"/>
    </row>
    <row r="295" customFormat="false" ht="15" hidden="false" customHeight="false" outlineLevel="0" collapsed="false">
      <c r="A295" s="22"/>
      <c r="B295" s="24"/>
      <c r="C295" s="24"/>
      <c r="D295" s="24"/>
      <c r="E295" s="22"/>
      <c r="F295" s="25"/>
      <c r="G295" s="24"/>
      <c r="H295" s="24"/>
    </row>
    <row r="296" customFormat="false" ht="15" hidden="false" customHeight="false" outlineLevel="0" collapsed="false">
      <c r="A296" s="22"/>
      <c r="B296" s="24"/>
      <c r="C296" s="24"/>
      <c r="D296" s="24"/>
      <c r="E296" s="22"/>
      <c r="F296" s="25"/>
      <c r="G296" s="24"/>
      <c r="H296" s="24"/>
    </row>
    <row r="297" customFormat="false" ht="15" hidden="false" customHeight="false" outlineLevel="0" collapsed="false">
      <c r="A297" s="22"/>
      <c r="B297" s="24"/>
      <c r="C297" s="24"/>
      <c r="D297" s="24"/>
      <c r="E297" s="22"/>
      <c r="F297" s="25"/>
      <c r="G297" s="24"/>
      <c r="H297" s="24"/>
    </row>
    <row r="298" customFormat="false" ht="15" hidden="false" customHeight="false" outlineLevel="0" collapsed="false">
      <c r="A298" s="22"/>
      <c r="B298" s="24"/>
      <c r="C298" s="24"/>
      <c r="D298" s="24"/>
      <c r="E298" s="22"/>
      <c r="F298" s="25"/>
      <c r="G298" s="24"/>
      <c r="H298" s="24"/>
    </row>
    <row r="299" customFormat="false" ht="15" hidden="false" customHeight="false" outlineLevel="0" collapsed="false">
      <c r="A299" s="22"/>
      <c r="B299" s="24"/>
      <c r="C299" s="24"/>
      <c r="D299" s="24"/>
      <c r="E299" s="22"/>
      <c r="F299" s="25"/>
      <c r="G299" s="24"/>
      <c r="H299" s="24"/>
    </row>
    <row r="300" customFormat="false" ht="15" hidden="false" customHeight="false" outlineLevel="0" collapsed="false">
      <c r="A300" s="22"/>
      <c r="B300" s="24"/>
      <c r="C300" s="24"/>
      <c r="D300" s="24"/>
      <c r="E300" s="22"/>
      <c r="F300" s="25"/>
      <c r="G300" s="24"/>
      <c r="H300" s="24"/>
    </row>
    <row r="301" customFormat="false" ht="15" hidden="false" customHeight="false" outlineLevel="0" collapsed="false">
      <c r="A301" s="22"/>
      <c r="B301" s="24"/>
      <c r="C301" s="24"/>
      <c r="D301" s="24"/>
      <c r="E301" s="22"/>
      <c r="F301" s="25"/>
      <c r="G301" s="24"/>
      <c r="H301" s="24"/>
    </row>
    <row r="302" customFormat="false" ht="15" hidden="false" customHeight="false" outlineLevel="0" collapsed="false">
      <c r="A302" s="22"/>
      <c r="B302" s="24"/>
      <c r="C302" s="24"/>
      <c r="D302" s="24"/>
      <c r="E302" s="22"/>
      <c r="F302" s="25"/>
      <c r="G302" s="24"/>
      <c r="H302" s="24"/>
    </row>
    <row r="303" customFormat="false" ht="15" hidden="false" customHeight="false" outlineLevel="0" collapsed="false">
      <c r="A303" s="22"/>
      <c r="B303" s="24"/>
      <c r="C303" s="24"/>
      <c r="D303" s="24"/>
      <c r="E303" s="22"/>
      <c r="F303" s="25"/>
      <c r="G303" s="24"/>
      <c r="H303" s="24"/>
    </row>
    <row r="304" customFormat="false" ht="15" hidden="false" customHeight="false" outlineLevel="0" collapsed="false">
      <c r="A304" s="22"/>
      <c r="B304" s="24"/>
      <c r="C304" s="24"/>
      <c r="D304" s="24"/>
      <c r="E304" s="22"/>
      <c r="F304" s="25"/>
      <c r="G304" s="24"/>
      <c r="H304" s="24"/>
    </row>
    <row r="305" customFormat="false" ht="15" hidden="false" customHeight="false" outlineLevel="0" collapsed="false">
      <c r="A305" s="22"/>
      <c r="B305" s="24"/>
      <c r="C305" s="24"/>
      <c r="D305" s="24"/>
      <c r="E305" s="22"/>
      <c r="F305" s="25"/>
      <c r="G305" s="24"/>
      <c r="H305" s="24"/>
    </row>
    <row r="306" customFormat="false" ht="15" hidden="false" customHeight="false" outlineLevel="0" collapsed="false">
      <c r="A306" s="22"/>
      <c r="B306" s="24"/>
      <c r="C306" s="24"/>
      <c r="D306" s="24"/>
      <c r="E306" s="22"/>
      <c r="F306" s="25"/>
      <c r="G306" s="24"/>
      <c r="H306" s="24"/>
    </row>
    <row r="307" customFormat="false" ht="15" hidden="false" customHeight="false" outlineLevel="0" collapsed="false">
      <c r="A307" s="22"/>
      <c r="B307" s="24"/>
      <c r="C307" s="24"/>
      <c r="D307" s="24"/>
      <c r="E307" s="22"/>
      <c r="F307" s="25"/>
      <c r="G307" s="24"/>
      <c r="H307" s="24"/>
    </row>
    <row r="308" customFormat="false" ht="15" hidden="false" customHeight="false" outlineLevel="0" collapsed="false">
      <c r="A308" s="22"/>
      <c r="B308" s="24"/>
      <c r="C308" s="24"/>
      <c r="D308" s="24"/>
      <c r="E308" s="22"/>
      <c r="F308" s="25"/>
      <c r="G308" s="24"/>
      <c r="H308" s="24"/>
    </row>
    <row r="309" customFormat="false" ht="15" hidden="false" customHeight="false" outlineLevel="0" collapsed="false">
      <c r="A309" s="22"/>
      <c r="B309" s="24"/>
      <c r="C309" s="24"/>
      <c r="D309" s="24"/>
      <c r="E309" s="22"/>
      <c r="F309" s="25"/>
      <c r="G309" s="24"/>
      <c r="H309" s="24"/>
    </row>
    <row r="310" customFormat="false" ht="15" hidden="false" customHeight="false" outlineLevel="0" collapsed="false">
      <c r="A310" s="22"/>
      <c r="B310" s="24"/>
      <c r="C310" s="24"/>
      <c r="D310" s="24"/>
      <c r="E310" s="22"/>
      <c r="F310" s="25"/>
      <c r="G310" s="24"/>
      <c r="H310" s="24"/>
    </row>
    <row r="311" customFormat="false" ht="15" hidden="false" customHeight="false" outlineLevel="0" collapsed="false">
      <c r="A311" s="22"/>
      <c r="B311" s="24"/>
      <c r="C311" s="24"/>
      <c r="D311" s="24"/>
      <c r="E311" s="22"/>
      <c r="F311" s="25"/>
      <c r="G311" s="24"/>
      <c r="H311" s="24"/>
    </row>
    <row r="312" customFormat="false" ht="15" hidden="false" customHeight="false" outlineLevel="0" collapsed="false">
      <c r="A312" s="22"/>
      <c r="B312" s="24"/>
      <c r="C312" s="24"/>
      <c r="D312" s="24"/>
      <c r="E312" s="22"/>
      <c r="F312" s="25"/>
      <c r="G312" s="24"/>
      <c r="H312" s="24"/>
    </row>
    <row r="313" customFormat="false" ht="15" hidden="false" customHeight="false" outlineLevel="0" collapsed="false">
      <c r="A313" s="22"/>
      <c r="B313" s="24"/>
      <c r="C313" s="24"/>
      <c r="D313" s="24"/>
      <c r="E313" s="22"/>
      <c r="F313" s="25"/>
      <c r="G313" s="24"/>
      <c r="H313" s="24"/>
    </row>
    <row r="314" customFormat="false" ht="15" hidden="false" customHeight="false" outlineLevel="0" collapsed="false">
      <c r="A314" s="22"/>
      <c r="B314" s="24"/>
      <c r="C314" s="24"/>
      <c r="D314" s="24"/>
      <c r="E314" s="22"/>
      <c r="F314" s="25"/>
      <c r="G314" s="24"/>
      <c r="H314" s="24"/>
    </row>
    <row r="315" customFormat="false" ht="15" hidden="false" customHeight="false" outlineLevel="0" collapsed="false">
      <c r="A315" s="22"/>
      <c r="B315" s="24"/>
      <c r="C315" s="24"/>
      <c r="D315" s="24"/>
      <c r="E315" s="22"/>
      <c r="F315" s="25"/>
      <c r="G315" s="24"/>
      <c r="H315" s="24"/>
    </row>
    <row r="316" customFormat="false" ht="15" hidden="false" customHeight="false" outlineLevel="0" collapsed="false">
      <c r="A316" s="22"/>
      <c r="B316" s="24"/>
      <c r="C316" s="24"/>
      <c r="D316" s="24"/>
      <c r="E316" s="22"/>
      <c r="F316" s="25"/>
      <c r="G316" s="24"/>
      <c r="H316" s="24"/>
    </row>
    <row r="317" customFormat="false" ht="15" hidden="false" customHeight="false" outlineLevel="0" collapsed="false">
      <c r="A317" s="22"/>
      <c r="B317" s="24"/>
      <c r="C317" s="24"/>
      <c r="D317" s="24"/>
      <c r="E317" s="22"/>
      <c r="F317" s="25"/>
      <c r="G317" s="24"/>
      <c r="H317" s="24"/>
    </row>
    <row r="318" customFormat="false" ht="15" hidden="false" customHeight="false" outlineLevel="0" collapsed="false">
      <c r="A318" s="22"/>
      <c r="B318" s="24"/>
      <c r="C318" s="24"/>
      <c r="D318" s="24"/>
      <c r="E318" s="22"/>
      <c r="F318" s="25"/>
      <c r="G318" s="24"/>
      <c r="H318" s="24"/>
    </row>
    <row r="319" customFormat="false" ht="15" hidden="false" customHeight="false" outlineLevel="0" collapsed="false">
      <c r="A319" s="22"/>
      <c r="B319" s="24"/>
      <c r="C319" s="24"/>
      <c r="D319" s="24"/>
      <c r="E319" s="22"/>
      <c r="F319" s="25"/>
      <c r="G319" s="24"/>
      <c r="H319" s="24"/>
    </row>
    <row r="320" customFormat="false" ht="15" hidden="false" customHeight="false" outlineLevel="0" collapsed="false">
      <c r="A320" s="22"/>
      <c r="B320" s="24"/>
      <c r="C320" s="24"/>
      <c r="D320" s="24"/>
      <c r="E320" s="22"/>
      <c r="F320" s="25"/>
      <c r="G320" s="24"/>
      <c r="H320" s="24"/>
    </row>
    <row r="321" customFormat="false" ht="15" hidden="false" customHeight="false" outlineLevel="0" collapsed="false">
      <c r="A321" s="22"/>
      <c r="B321" s="24"/>
      <c r="C321" s="24"/>
      <c r="D321" s="24"/>
      <c r="E321" s="22"/>
      <c r="F321" s="25"/>
      <c r="G321" s="24"/>
      <c r="H321" s="24"/>
    </row>
    <row r="322" customFormat="false" ht="15" hidden="false" customHeight="false" outlineLevel="0" collapsed="false">
      <c r="A322" s="22"/>
      <c r="B322" s="24"/>
      <c r="C322" s="24"/>
      <c r="D322" s="24"/>
      <c r="E322" s="22"/>
      <c r="F322" s="25"/>
      <c r="G322" s="24"/>
      <c r="H322" s="24"/>
    </row>
    <row r="323" customFormat="false" ht="15" hidden="false" customHeight="false" outlineLevel="0" collapsed="false">
      <c r="A323" s="22"/>
      <c r="B323" s="24"/>
      <c r="C323" s="24"/>
      <c r="D323" s="24"/>
      <c r="E323" s="22"/>
      <c r="F323" s="25"/>
      <c r="G323" s="24"/>
      <c r="H323" s="24"/>
    </row>
    <row r="324" customFormat="false" ht="15" hidden="false" customHeight="false" outlineLevel="0" collapsed="false">
      <c r="A324" s="22"/>
      <c r="B324" s="24"/>
      <c r="C324" s="24"/>
      <c r="D324" s="24"/>
      <c r="E324" s="22"/>
      <c r="F324" s="25"/>
      <c r="G324" s="24"/>
      <c r="H324" s="24"/>
    </row>
    <row r="325" customFormat="false" ht="15" hidden="false" customHeight="false" outlineLevel="0" collapsed="false">
      <c r="A325" s="22"/>
      <c r="B325" s="24"/>
      <c r="C325" s="24"/>
      <c r="D325" s="24"/>
      <c r="E325" s="22"/>
      <c r="F325" s="25"/>
      <c r="G325" s="24"/>
      <c r="H325" s="24"/>
    </row>
    <row r="326" customFormat="false" ht="15" hidden="false" customHeight="false" outlineLevel="0" collapsed="false">
      <c r="A326" s="22"/>
      <c r="B326" s="24"/>
      <c r="C326" s="24"/>
      <c r="D326" s="24"/>
      <c r="E326" s="22"/>
      <c r="F326" s="25"/>
      <c r="G326" s="24"/>
      <c r="H326" s="24"/>
    </row>
    <row r="327" customFormat="false" ht="15" hidden="false" customHeight="false" outlineLevel="0" collapsed="false">
      <c r="A327" s="22"/>
      <c r="B327" s="24"/>
      <c r="C327" s="24"/>
      <c r="D327" s="24"/>
      <c r="E327" s="22"/>
      <c r="F327" s="25"/>
      <c r="G327" s="24"/>
      <c r="H327" s="24"/>
    </row>
    <row r="328" customFormat="false" ht="15" hidden="false" customHeight="false" outlineLevel="0" collapsed="false">
      <c r="A328" s="22"/>
      <c r="B328" s="24"/>
      <c r="C328" s="24"/>
      <c r="D328" s="24"/>
      <c r="E328" s="22"/>
      <c r="F328" s="25"/>
      <c r="G328" s="24"/>
      <c r="H328" s="24"/>
    </row>
    <row r="329" customFormat="false" ht="15" hidden="false" customHeight="false" outlineLevel="0" collapsed="false">
      <c r="A329" s="22"/>
      <c r="B329" s="24"/>
      <c r="C329" s="24"/>
      <c r="D329" s="24"/>
      <c r="E329" s="22"/>
      <c r="F329" s="25"/>
      <c r="G329" s="24"/>
      <c r="H329" s="24"/>
    </row>
    <row r="330" customFormat="false" ht="15" hidden="false" customHeight="false" outlineLevel="0" collapsed="false">
      <c r="A330" s="22"/>
      <c r="B330" s="24"/>
      <c r="C330" s="24"/>
      <c r="D330" s="24"/>
      <c r="E330" s="22"/>
      <c r="F330" s="25"/>
      <c r="G330" s="24"/>
      <c r="H330" s="24"/>
    </row>
    <row r="331" customFormat="false" ht="15" hidden="false" customHeight="false" outlineLevel="0" collapsed="false">
      <c r="A331" s="22"/>
      <c r="B331" s="24"/>
      <c r="C331" s="24"/>
      <c r="D331" s="24"/>
      <c r="E331" s="22"/>
      <c r="F331" s="25"/>
      <c r="G331" s="24"/>
      <c r="H331" s="24"/>
    </row>
    <row r="332" customFormat="false" ht="15" hidden="false" customHeight="false" outlineLevel="0" collapsed="false">
      <c r="A332" s="22"/>
      <c r="B332" s="24"/>
      <c r="C332" s="24"/>
      <c r="D332" s="24"/>
      <c r="E332" s="22"/>
      <c r="F332" s="25"/>
      <c r="G332" s="24"/>
      <c r="H332" s="24"/>
    </row>
    <row r="333" customFormat="false" ht="15" hidden="false" customHeight="false" outlineLevel="0" collapsed="false">
      <c r="A333" s="22"/>
      <c r="B333" s="24"/>
      <c r="C333" s="24"/>
      <c r="D333" s="24"/>
      <c r="E333" s="22"/>
      <c r="F333" s="25"/>
      <c r="G333" s="24"/>
      <c r="H333" s="24"/>
    </row>
    <row r="334" customFormat="false" ht="15" hidden="false" customHeight="false" outlineLevel="0" collapsed="false">
      <c r="A334" s="22"/>
      <c r="B334" s="24"/>
      <c r="C334" s="24"/>
      <c r="D334" s="24"/>
      <c r="E334" s="22"/>
      <c r="F334" s="25"/>
      <c r="G334" s="24"/>
      <c r="H334" s="24"/>
    </row>
    <row r="335" customFormat="false" ht="15" hidden="false" customHeight="false" outlineLevel="0" collapsed="false">
      <c r="A335" s="22"/>
      <c r="B335" s="24"/>
      <c r="C335" s="24"/>
      <c r="D335" s="24"/>
      <c r="E335" s="22"/>
      <c r="F335" s="25"/>
      <c r="G335" s="24"/>
      <c r="H335" s="24"/>
    </row>
    <row r="336" customFormat="false" ht="15" hidden="false" customHeight="false" outlineLevel="0" collapsed="false">
      <c r="A336" s="22"/>
      <c r="B336" s="24"/>
      <c r="C336" s="24"/>
      <c r="D336" s="24"/>
      <c r="E336" s="22"/>
      <c r="F336" s="25"/>
      <c r="G336" s="24"/>
      <c r="H336" s="24"/>
    </row>
    <row r="337" customFormat="false" ht="15" hidden="false" customHeight="false" outlineLevel="0" collapsed="false">
      <c r="A337" s="22"/>
      <c r="B337" s="24"/>
      <c r="C337" s="24"/>
      <c r="D337" s="24"/>
      <c r="E337" s="22"/>
      <c r="F337" s="25"/>
      <c r="G337" s="24"/>
      <c r="H337" s="24"/>
    </row>
    <row r="338" customFormat="false" ht="15" hidden="false" customHeight="false" outlineLevel="0" collapsed="false">
      <c r="A338" s="22"/>
      <c r="B338" s="24"/>
      <c r="C338" s="24"/>
      <c r="D338" s="24"/>
      <c r="E338" s="22"/>
      <c r="F338" s="25"/>
      <c r="G338" s="24"/>
      <c r="H338" s="24"/>
    </row>
    <row r="339" customFormat="false" ht="15" hidden="false" customHeight="false" outlineLevel="0" collapsed="false">
      <c r="A339" s="22"/>
      <c r="B339" s="24"/>
      <c r="C339" s="24"/>
      <c r="D339" s="24"/>
      <c r="E339" s="22"/>
      <c r="F339" s="25"/>
      <c r="G339" s="24"/>
      <c r="H339" s="24"/>
    </row>
    <row r="340" customFormat="false" ht="15" hidden="false" customHeight="false" outlineLevel="0" collapsed="false">
      <c r="A340" s="22"/>
      <c r="B340" s="24"/>
      <c r="C340" s="24"/>
      <c r="D340" s="24"/>
      <c r="E340" s="22"/>
      <c r="F340" s="25"/>
      <c r="G340" s="24"/>
      <c r="H340" s="24"/>
    </row>
    <row r="341" customFormat="false" ht="15" hidden="false" customHeight="false" outlineLevel="0" collapsed="false">
      <c r="A341" s="22"/>
      <c r="B341" s="24"/>
      <c r="C341" s="24"/>
      <c r="D341" s="24"/>
      <c r="E341" s="22"/>
      <c r="F341" s="25"/>
      <c r="G341" s="24"/>
      <c r="H341" s="24"/>
    </row>
    <row r="342" customFormat="false" ht="15" hidden="false" customHeight="false" outlineLevel="0" collapsed="false">
      <c r="A342" s="22"/>
      <c r="B342" s="24"/>
      <c r="C342" s="24"/>
      <c r="D342" s="24"/>
      <c r="E342" s="22"/>
      <c r="F342" s="25"/>
      <c r="G342" s="24"/>
      <c r="H342" s="24"/>
    </row>
    <row r="343" customFormat="false" ht="15" hidden="false" customHeight="false" outlineLevel="0" collapsed="false">
      <c r="A343" s="22"/>
      <c r="B343" s="24"/>
      <c r="C343" s="24"/>
      <c r="D343" s="24"/>
      <c r="E343" s="22"/>
      <c r="F343" s="25"/>
      <c r="G343" s="24"/>
      <c r="H343" s="24"/>
    </row>
    <row r="344" customFormat="false" ht="15" hidden="false" customHeight="false" outlineLevel="0" collapsed="false">
      <c r="A344" s="22"/>
      <c r="B344" s="24"/>
      <c r="C344" s="24"/>
      <c r="D344" s="24"/>
      <c r="E344" s="22"/>
      <c r="F344" s="25"/>
      <c r="G344" s="24"/>
      <c r="H344" s="24"/>
    </row>
    <row r="345" customFormat="false" ht="15" hidden="false" customHeight="false" outlineLevel="0" collapsed="false">
      <c r="A345" s="22"/>
      <c r="B345" s="24"/>
      <c r="C345" s="24"/>
      <c r="D345" s="24"/>
      <c r="E345" s="22"/>
      <c r="F345" s="25"/>
      <c r="G345" s="24"/>
      <c r="H345" s="24"/>
    </row>
    <row r="346" customFormat="false" ht="15" hidden="false" customHeight="false" outlineLevel="0" collapsed="false">
      <c r="A346" s="22"/>
      <c r="B346" s="24"/>
      <c r="C346" s="24"/>
      <c r="D346" s="24"/>
      <c r="E346" s="22"/>
      <c r="F346" s="25"/>
      <c r="G346" s="24"/>
      <c r="H346" s="24"/>
    </row>
    <row r="347" customFormat="false" ht="15" hidden="false" customHeight="false" outlineLevel="0" collapsed="false">
      <c r="A347" s="22"/>
      <c r="B347" s="24"/>
      <c r="C347" s="24"/>
      <c r="D347" s="24"/>
      <c r="E347" s="22"/>
      <c r="F347" s="25"/>
      <c r="G347" s="24"/>
      <c r="H347" s="24"/>
    </row>
    <row r="348" customFormat="false" ht="15" hidden="false" customHeight="false" outlineLevel="0" collapsed="false">
      <c r="A348" s="22"/>
      <c r="B348" s="24"/>
      <c r="C348" s="24"/>
      <c r="D348" s="24"/>
      <c r="E348" s="22"/>
      <c r="F348" s="25"/>
      <c r="G348" s="24"/>
      <c r="H348" s="24"/>
    </row>
    <row r="349" customFormat="false" ht="15" hidden="false" customHeight="false" outlineLevel="0" collapsed="false">
      <c r="A349" s="22"/>
      <c r="B349" s="24"/>
      <c r="C349" s="24"/>
      <c r="D349" s="24"/>
      <c r="E349" s="22"/>
      <c r="F349" s="25"/>
      <c r="G349" s="24"/>
      <c r="H349" s="24"/>
    </row>
    <row r="350" customFormat="false" ht="15" hidden="false" customHeight="false" outlineLevel="0" collapsed="false">
      <c r="A350" s="22"/>
      <c r="B350" s="24"/>
      <c r="C350" s="24"/>
      <c r="D350" s="24"/>
      <c r="E350" s="22"/>
      <c r="F350" s="25"/>
      <c r="G350" s="24"/>
      <c r="H350" s="24"/>
    </row>
    <row r="351" customFormat="false" ht="15" hidden="false" customHeight="false" outlineLevel="0" collapsed="false">
      <c r="A351" s="22"/>
      <c r="B351" s="24"/>
      <c r="C351" s="24"/>
      <c r="D351" s="24"/>
      <c r="E351" s="22"/>
      <c r="F351" s="25"/>
      <c r="G351" s="24"/>
      <c r="H351" s="24"/>
    </row>
    <row r="352" customFormat="false" ht="15" hidden="false" customHeight="false" outlineLevel="0" collapsed="false">
      <c r="A352" s="22"/>
      <c r="B352" s="24"/>
      <c r="C352" s="24"/>
      <c r="D352" s="24"/>
      <c r="E352" s="22"/>
      <c r="F352" s="25"/>
      <c r="G352" s="24"/>
      <c r="H352" s="24"/>
    </row>
    <row r="353" customFormat="false" ht="15" hidden="false" customHeight="false" outlineLevel="0" collapsed="false">
      <c r="A353" s="22"/>
      <c r="B353" s="24"/>
      <c r="C353" s="24"/>
      <c r="D353" s="24"/>
      <c r="E353" s="22"/>
      <c r="F353" s="25"/>
      <c r="G353" s="24"/>
      <c r="H353" s="24"/>
    </row>
    <row r="354" customFormat="false" ht="15" hidden="false" customHeight="false" outlineLevel="0" collapsed="false">
      <c r="A354" s="22"/>
      <c r="B354" s="24"/>
      <c r="C354" s="24"/>
      <c r="D354" s="24"/>
      <c r="E354" s="22"/>
      <c r="F354" s="25"/>
      <c r="G354" s="24"/>
      <c r="H354" s="24"/>
    </row>
    <row r="355" customFormat="false" ht="15" hidden="false" customHeight="false" outlineLevel="0" collapsed="false">
      <c r="A355" s="22"/>
      <c r="B355" s="24"/>
      <c r="C355" s="24"/>
      <c r="D355" s="24"/>
      <c r="E355" s="22"/>
      <c r="F355" s="25"/>
      <c r="G355" s="24"/>
      <c r="H355" s="24"/>
    </row>
    <row r="356" customFormat="false" ht="15" hidden="false" customHeight="false" outlineLevel="0" collapsed="false">
      <c r="A356" s="22"/>
      <c r="B356" s="24"/>
      <c r="C356" s="24"/>
      <c r="D356" s="24"/>
      <c r="E356" s="22"/>
      <c r="F356" s="25"/>
      <c r="G356" s="24"/>
      <c r="H356" s="24"/>
    </row>
    <row r="357" customFormat="false" ht="15" hidden="false" customHeight="false" outlineLevel="0" collapsed="false">
      <c r="A357" s="22"/>
      <c r="B357" s="24"/>
      <c r="C357" s="24"/>
      <c r="D357" s="24"/>
      <c r="E357" s="22"/>
      <c r="F357" s="25"/>
      <c r="G357" s="24"/>
      <c r="H357" s="24"/>
    </row>
    <row r="358" customFormat="false" ht="15" hidden="false" customHeight="false" outlineLevel="0" collapsed="false">
      <c r="A358" s="22"/>
      <c r="B358" s="24"/>
      <c r="C358" s="24"/>
      <c r="D358" s="24"/>
      <c r="E358" s="22"/>
      <c r="F358" s="25"/>
      <c r="G358" s="24"/>
      <c r="H358" s="24"/>
    </row>
    <row r="359" customFormat="false" ht="15" hidden="false" customHeight="false" outlineLevel="0" collapsed="false">
      <c r="A359" s="22"/>
      <c r="B359" s="24"/>
      <c r="C359" s="24"/>
      <c r="D359" s="24"/>
      <c r="E359" s="22"/>
      <c r="F359" s="25"/>
      <c r="G359" s="24"/>
      <c r="H359" s="24"/>
    </row>
    <row r="360" customFormat="false" ht="15" hidden="false" customHeight="false" outlineLevel="0" collapsed="false">
      <c r="A360" s="22"/>
      <c r="B360" s="24"/>
      <c r="C360" s="24"/>
      <c r="D360" s="24"/>
      <c r="E360" s="22"/>
      <c r="F360" s="25"/>
      <c r="G360" s="24"/>
      <c r="H360" s="24"/>
    </row>
    <row r="361" customFormat="false" ht="15" hidden="false" customHeight="false" outlineLevel="0" collapsed="false">
      <c r="A361" s="22"/>
      <c r="B361" s="24"/>
      <c r="C361" s="24"/>
      <c r="D361" s="24"/>
      <c r="E361" s="22"/>
      <c r="F361" s="25"/>
      <c r="G361" s="24"/>
      <c r="H361" s="24"/>
    </row>
    <row r="362" customFormat="false" ht="15" hidden="false" customHeight="false" outlineLevel="0" collapsed="false">
      <c r="A362" s="22"/>
      <c r="B362" s="24"/>
      <c r="C362" s="24"/>
      <c r="D362" s="24"/>
      <c r="E362" s="22"/>
      <c r="F362" s="25"/>
      <c r="G362" s="24"/>
      <c r="H362" s="24"/>
    </row>
    <row r="363" customFormat="false" ht="15" hidden="false" customHeight="false" outlineLevel="0" collapsed="false">
      <c r="A363" s="22"/>
      <c r="B363" s="24"/>
      <c r="C363" s="24"/>
      <c r="D363" s="24"/>
      <c r="E363" s="22"/>
      <c r="F363" s="25"/>
      <c r="G363" s="24"/>
      <c r="H363" s="24"/>
    </row>
    <row r="364" customFormat="false" ht="15" hidden="false" customHeight="false" outlineLevel="0" collapsed="false">
      <c r="A364" s="22"/>
      <c r="B364" s="24"/>
      <c r="C364" s="24"/>
      <c r="D364" s="24"/>
      <c r="E364" s="22"/>
      <c r="F364" s="25"/>
      <c r="G364" s="24"/>
      <c r="H364" s="24"/>
    </row>
    <row r="365" customFormat="false" ht="15" hidden="false" customHeight="false" outlineLevel="0" collapsed="false">
      <c r="A365" s="22"/>
      <c r="B365" s="24"/>
      <c r="C365" s="24"/>
      <c r="D365" s="24"/>
      <c r="E365" s="22"/>
      <c r="F365" s="25"/>
      <c r="G365" s="24"/>
      <c r="H365" s="24"/>
    </row>
    <row r="366" customFormat="false" ht="15" hidden="false" customHeight="false" outlineLevel="0" collapsed="false">
      <c r="A366" s="22"/>
      <c r="B366" s="24"/>
      <c r="C366" s="24"/>
      <c r="D366" s="24"/>
      <c r="E366" s="22"/>
      <c r="F366" s="25"/>
      <c r="G366" s="24"/>
      <c r="H366" s="24"/>
    </row>
    <row r="367" customFormat="false" ht="15" hidden="false" customHeight="false" outlineLevel="0" collapsed="false">
      <c r="A367" s="22"/>
      <c r="B367" s="24"/>
      <c r="C367" s="24"/>
      <c r="D367" s="24"/>
      <c r="E367" s="22"/>
      <c r="F367" s="25"/>
      <c r="G367" s="24"/>
      <c r="H367" s="24"/>
    </row>
    <row r="368" customFormat="false" ht="15" hidden="false" customHeight="false" outlineLevel="0" collapsed="false">
      <c r="A368" s="22"/>
      <c r="B368" s="24"/>
      <c r="C368" s="24"/>
      <c r="D368" s="24"/>
      <c r="E368" s="22"/>
      <c r="F368" s="25"/>
      <c r="G368" s="24"/>
      <c r="H368" s="24"/>
    </row>
    <row r="369" customFormat="false" ht="15" hidden="false" customHeight="false" outlineLevel="0" collapsed="false">
      <c r="A369" s="22"/>
      <c r="B369" s="24"/>
      <c r="C369" s="24"/>
      <c r="D369" s="24"/>
      <c r="E369" s="22"/>
      <c r="F369" s="25"/>
      <c r="G369" s="24"/>
      <c r="H369" s="24"/>
    </row>
    <row r="370" customFormat="false" ht="15" hidden="false" customHeight="false" outlineLevel="0" collapsed="false">
      <c r="A370" s="22"/>
      <c r="B370" s="24"/>
      <c r="C370" s="24"/>
      <c r="D370" s="24"/>
      <c r="E370" s="22"/>
      <c r="F370" s="25"/>
      <c r="G370" s="24"/>
      <c r="H370" s="24"/>
    </row>
    <row r="371" customFormat="false" ht="15" hidden="false" customHeight="false" outlineLevel="0" collapsed="false">
      <c r="A371" s="22"/>
      <c r="B371" s="24"/>
      <c r="C371" s="24"/>
      <c r="D371" s="24"/>
      <c r="E371" s="22"/>
      <c r="F371" s="25"/>
      <c r="G371" s="24"/>
      <c r="H371" s="24"/>
    </row>
    <row r="372" customFormat="false" ht="15" hidden="false" customHeight="false" outlineLevel="0" collapsed="false">
      <c r="A372" s="22"/>
      <c r="B372" s="24"/>
      <c r="C372" s="24"/>
      <c r="D372" s="24"/>
      <c r="E372" s="22"/>
      <c r="F372" s="25"/>
      <c r="G372" s="24"/>
      <c r="H372" s="24"/>
    </row>
    <row r="373" customFormat="false" ht="15" hidden="false" customHeight="false" outlineLevel="0" collapsed="false">
      <c r="A373" s="22"/>
      <c r="B373" s="24"/>
      <c r="C373" s="24"/>
      <c r="D373" s="24"/>
      <c r="E373" s="22"/>
      <c r="F373" s="25"/>
      <c r="G373" s="24"/>
      <c r="H373" s="24"/>
    </row>
    <row r="374" customFormat="false" ht="15" hidden="false" customHeight="false" outlineLevel="0" collapsed="false">
      <c r="A374" s="22"/>
      <c r="B374" s="24"/>
      <c r="C374" s="24"/>
      <c r="D374" s="24"/>
      <c r="E374" s="22"/>
      <c r="F374" s="25"/>
      <c r="G374" s="24"/>
      <c r="H374" s="24"/>
    </row>
    <row r="375" customFormat="false" ht="15" hidden="false" customHeight="false" outlineLevel="0" collapsed="false">
      <c r="A375" s="22"/>
      <c r="B375" s="24"/>
      <c r="C375" s="24"/>
      <c r="D375" s="24"/>
      <c r="E375" s="22"/>
      <c r="F375" s="25"/>
      <c r="G375" s="24"/>
      <c r="H375" s="24"/>
    </row>
    <row r="376" customFormat="false" ht="15" hidden="false" customHeight="false" outlineLevel="0" collapsed="false">
      <c r="A376" s="22"/>
      <c r="B376" s="24"/>
      <c r="C376" s="24"/>
      <c r="D376" s="24"/>
      <c r="E376" s="22"/>
      <c r="F376" s="25"/>
      <c r="G376" s="24"/>
      <c r="H376" s="24"/>
    </row>
    <row r="377" customFormat="false" ht="15" hidden="false" customHeight="false" outlineLevel="0" collapsed="false">
      <c r="A377" s="22"/>
      <c r="B377" s="24"/>
      <c r="C377" s="24"/>
      <c r="D377" s="24"/>
      <c r="E377" s="22"/>
      <c r="F377" s="25"/>
      <c r="G377" s="24"/>
      <c r="H377" s="24"/>
    </row>
    <row r="378" customFormat="false" ht="15" hidden="false" customHeight="false" outlineLevel="0" collapsed="false">
      <c r="A378" s="22"/>
      <c r="B378" s="24"/>
      <c r="C378" s="24"/>
      <c r="D378" s="24"/>
      <c r="E378" s="22"/>
      <c r="F378" s="25"/>
      <c r="G378" s="24"/>
      <c r="H378" s="24"/>
    </row>
    <row r="379" customFormat="false" ht="15" hidden="false" customHeight="false" outlineLevel="0" collapsed="false">
      <c r="A379" s="22"/>
      <c r="B379" s="24"/>
      <c r="C379" s="24"/>
      <c r="D379" s="24"/>
      <c r="E379" s="22"/>
      <c r="F379" s="25"/>
      <c r="G379" s="24"/>
      <c r="H379" s="24"/>
    </row>
    <row r="380" customFormat="false" ht="15" hidden="false" customHeight="false" outlineLevel="0" collapsed="false">
      <c r="A380" s="22"/>
      <c r="B380" s="24"/>
      <c r="C380" s="24"/>
      <c r="D380" s="24"/>
      <c r="E380" s="22"/>
      <c r="F380" s="25"/>
      <c r="G380" s="24"/>
      <c r="H380" s="24"/>
    </row>
    <row r="381" customFormat="false" ht="15" hidden="false" customHeight="false" outlineLevel="0" collapsed="false">
      <c r="A381" s="22"/>
      <c r="B381" s="24"/>
      <c r="C381" s="24"/>
      <c r="D381" s="24"/>
      <c r="E381" s="22"/>
      <c r="F381" s="25"/>
      <c r="G381" s="24"/>
      <c r="H381" s="24"/>
    </row>
    <row r="382" customFormat="false" ht="15" hidden="false" customHeight="false" outlineLevel="0" collapsed="false">
      <c r="A382" s="22"/>
      <c r="B382" s="24"/>
      <c r="C382" s="24"/>
      <c r="D382" s="24"/>
      <c r="E382" s="22"/>
      <c r="F382" s="25"/>
      <c r="G382" s="24"/>
      <c r="H382" s="24"/>
    </row>
    <row r="383" customFormat="false" ht="15" hidden="false" customHeight="false" outlineLevel="0" collapsed="false">
      <c r="A383" s="22"/>
      <c r="B383" s="24"/>
      <c r="C383" s="24"/>
      <c r="D383" s="24"/>
      <c r="E383" s="22"/>
      <c r="F383" s="25"/>
      <c r="G383" s="24"/>
      <c r="H383" s="24"/>
    </row>
    <row r="384" customFormat="false" ht="15" hidden="false" customHeight="false" outlineLevel="0" collapsed="false">
      <c r="A384" s="22"/>
      <c r="B384" s="24"/>
      <c r="C384" s="24"/>
      <c r="D384" s="24"/>
      <c r="E384" s="22"/>
      <c r="F384" s="25"/>
      <c r="G384" s="24"/>
      <c r="H384" s="24"/>
    </row>
    <row r="385" customFormat="false" ht="15" hidden="false" customHeight="false" outlineLevel="0" collapsed="false">
      <c r="A385" s="22"/>
      <c r="B385" s="24"/>
      <c r="C385" s="24"/>
      <c r="D385" s="24"/>
      <c r="E385" s="22"/>
      <c r="F385" s="25"/>
      <c r="G385" s="24"/>
      <c r="H385" s="24"/>
    </row>
    <row r="386" customFormat="false" ht="15" hidden="false" customHeight="false" outlineLevel="0" collapsed="false">
      <c r="A386" s="22"/>
      <c r="B386" s="24"/>
      <c r="C386" s="24"/>
      <c r="D386" s="24"/>
      <c r="E386" s="22"/>
      <c r="F386" s="25"/>
      <c r="G386" s="24"/>
      <c r="H386" s="24"/>
    </row>
    <row r="387" customFormat="false" ht="15" hidden="false" customHeight="false" outlineLevel="0" collapsed="false">
      <c r="A387" s="22"/>
      <c r="B387" s="24"/>
      <c r="C387" s="24"/>
      <c r="D387" s="24"/>
      <c r="E387" s="22"/>
      <c r="F387" s="25"/>
      <c r="G387" s="24"/>
      <c r="H387" s="24"/>
    </row>
    <row r="388" customFormat="false" ht="15" hidden="false" customHeight="false" outlineLevel="0" collapsed="false">
      <c r="A388" s="22"/>
      <c r="B388" s="24"/>
      <c r="C388" s="24"/>
      <c r="D388" s="24"/>
      <c r="E388" s="22"/>
      <c r="F388" s="25"/>
      <c r="G388" s="24"/>
      <c r="H388" s="24"/>
    </row>
    <row r="389" customFormat="false" ht="15" hidden="false" customHeight="false" outlineLevel="0" collapsed="false">
      <c r="A389" s="22"/>
      <c r="B389" s="24"/>
      <c r="C389" s="24"/>
      <c r="D389" s="24"/>
      <c r="E389" s="22"/>
      <c r="F389" s="25"/>
      <c r="G389" s="24"/>
      <c r="H389" s="24"/>
    </row>
    <row r="390" customFormat="false" ht="15" hidden="false" customHeight="false" outlineLevel="0" collapsed="false">
      <c r="A390" s="22"/>
      <c r="B390" s="24"/>
      <c r="C390" s="24"/>
      <c r="D390" s="24"/>
      <c r="E390" s="22"/>
      <c r="F390" s="25"/>
      <c r="G390" s="24"/>
      <c r="H390" s="24"/>
    </row>
    <row r="391" customFormat="false" ht="15" hidden="false" customHeight="false" outlineLevel="0" collapsed="false">
      <c r="A391" s="22"/>
      <c r="B391" s="24"/>
      <c r="C391" s="24"/>
      <c r="D391" s="24"/>
      <c r="E391" s="22"/>
      <c r="F391" s="25"/>
      <c r="G391" s="24"/>
      <c r="H391" s="24"/>
    </row>
    <row r="392" customFormat="false" ht="15" hidden="false" customHeight="false" outlineLevel="0" collapsed="false">
      <c r="A392" s="22"/>
      <c r="B392" s="24"/>
      <c r="C392" s="24"/>
      <c r="D392" s="24"/>
      <c r="E392" s="22"/>
      <c r="F392" s="25"/>
      <c r="G392" s="24"/>
      <c r="H392" s="24"/>
    </row>
    <row r="393" customFormat="false" ht="15" hidden="false" customHeight="false" outlineLevel="0" collapsed="false">
      <c r="A393" s="22"/>
      <c r="B393" s="24"/>
      <c r="C393" s="24"/>
      <c r="D393" s="24"/>
      <c r="E393" s="22"/>
      <c r="F393" s="25"/>
      <c r="G393" s="24"/>
      <c r="H393" s="24"/>
    </row>
    <row r="394" customFormat="false" ht="15" hidden="false" customHeight="false" outlineLevel="0" collapsed="false">
      <c r="A394" s="22"/>
      <c r="B394" s="24"/>
      <c r="C394" s="24"/>
      <c r="D394" s="24"/>
      <c r="E394" s="22"/>
      <c r="F394" s="25"/>
      <c r="G394" s="24"/>
      <c r="H394" s="24"/>
    </row>
    <row r="395" customFormat="false" ht="15" hidden="false" customHeight="false" outlineLevel="0" collapsed="false">
      <c r="A395" s="22"/>
      <c r="B395" s="24"/>
      <c r="C395" s="24"/>
      <c r="D395" s="24"/>
      <c r="E395" s="22"/>
      <c r="F395" s="25"/>
      <c r="G395" s="24"/>
      <c r="H395" s="24"/>
    </row>
    <row r="396" customFormat="false" ht="15" hidden="false" customHeight="false" outlineLevel="0" collapsed="false">
      <c r="A396" s="22"/>
      <c r="B396" s="24"/>
      <c r="C396" s="24"/>
      <c r="D396" s="24"/>
      <c r="E396" s="22"/>
      <c r="F396" s="25"/>
      <c r="G396" s="24"/>
      <c r="H396" s="24"/>
    </row>
    <row r="397" customFormat="false" ht="15" hidden="false" customHeight="false" outlineLevel="0" collapsed="false">
      <c r="A397" s="22"/>
      <c r="B397" s="24"/>
      <c r="C397" s="24"/>
      <c r="D397" s="24"/>
      <c r="E397" s="22"/>
      <c r="F397" s="25"/>
      <c r="G397" s="24"/>
      <c r="H397" s="24"/>
    </row>
    <row r="398" customFormat="false" ht="15" hidden="false" customHeight="false" outlineLevel="0" collapsed="false">
      <c r="A398" s="22"/>
      <c r="B398" s="24"/>
      <c r="C398" s="24"/>
      <c r="D398" s="24"/>
      <c r="E398" s="22"/>
      <c r="F398" s="25"/>
      <c r="G398" s="24"/>
      <c r="H398" s="24"/>
    </row>
    <row r="399" customFormat="false" ht="15" hidden="false" customHeight="false" outlineLevel="0" collapsed="false">
      <c r="A399" s="22"/>
      <c r="B399" s="24"/>
      <c r="C399" s="24"/>
      <c r="D399" s="24"/>
      <c r="E399" s="22"/>
      <c r="F399" s="25"/>
      <c r="G399" s="24"/>
      <c r="H399" s="24"/>
    </row>
    <row r="400" customFormat="false" ht="15" hidden="false" customHeight="false" outlineLevel="0" collapsed="false">
      <c r="A400" s="22"/>
      <c r="B400" s="24"/>
      <c r="C400" s="24"/>
      <c r="D400" s="24"/>
      <c r="E400" s="22"/>
      <c r="F400" s="25"/>
      <c r="G400" s="24"/>
      <c r="H400" s="24"/>
    </row>
    <row r="401" customFormat="false" ht="15" hidden="false" customHeight="false" outlineLevel="0" collapsed="false">
      <c r="A401" s="22"/>
      <c r="B401" s="24"/>
      <c r="C401" s="24"/>
      <c r="D401" s="24"/>
      <c r="E401" s="22"/>
      <c r="F401" s="25"/>
      <c r="G401" s="24"/>
      <c r="H401" s="24"/>
    </row>
    <row r="402" customFormat="false" ht="15" hidden="false" customHeight="false" outlineLevel="0" collapsed="false">
      <c r="A402" s="22"/>
      <c r="B402" s="24"/>
      <c r="C402" s="24"/>
      <c r="D402" s="24"/>
      <c r="E402" s="22"/>
      <c r="F402" s="25"/>
      <c r="G402" s="24"/>
      <c r="H402" s="24"/>
    </row>
    <row r="403" customFormat="false" ht="15" hidden="false" customHeight="false" outlineLevel="0" collapsed="false">
      <c r="A403" s="22"/>
      <c r="B403" s="24"/>
      <c r="C403" s="24"/>
      <c r="D403" s="24"/>
      <c r="E403" s="22"/>
      <c r="F403" s="25"/>
      <c r="G403" s="24"/>
      <c r="H403" s="24"/>
    </row>
    <row r="404" customFormat="false" ht="15" hidden="false" customHeight="false" outlineLevel="0" collapsed="false">
      <c r="A404" s="22"/>
      <c r="B404" s="24"/>
      <c r="C404" s="24"/>
      <c r="D404" s="24"/>
      <c r="E404" s="22"/>
      <c r="F404" s="25"/>
      <c r="G404" s="24"/>
      <c r="H404" s="24"/>
    </row>
    <row r="405" customFormat="false" ht="15" hidden="false" customHeight="false" outlineLevel="0" collapsed="false">
      <c r="A405" s="22"/>
      <c r="B405" s="24"/>
      <c r="C405" s="24"/>
      <c r="D405" s="24"/>
      <c r="E405" s="22"/>
      <c r="F405" s="25"/>
      <c r="G405" s="24"/>
      <c r="H405" s="24"/>
    </row>
    <row r="406" customFormat="false" ht="15" hidden="false" customHeight="false" outlineLevel="0" collapsed="false">
      <c r="A406" s="22"/>
      <c r="B406" s="24"/>
      <c r="C406" s="24"/>
      <c r="D406" s="24"/>
      <c r="E406" s="22"/>
      <c r="F406" s="25"/>
      <c r="G406" s="24"/>
      <c r="H406" s="24"/>
    </row>
    <row r="407" customFormat="false" ht="15" hidden="false" customHeight="false" outlineLevel="0" collapsed="false">
      <c r="A407" s="22"/>
      <c r="B407" s="24"/>
      <c r="C407" s="24"/>
      <c r="D407" s="24"/>
      <c r="E407" s="22"/>
      <c r="F407" s="25"/>
      <c r="G407" s="24"/>
      <c r="H407" s="24"/>
    </row>
    <row r="408" customFormat="false" ht="15" hidden="false" customHeight="false" outlineLevel="0" collapsed="false">
      <c r="A408" s="22"/>
      <c r="B408" s="24"/>
      <c r="C408" s="24"/>
      <c r="D408" s="24"/>
      <c r="E408" s="22"/>
      <c r="F408" s="25"/>
      <c r="G408" s="24"/>
      <c r="H408" s="24"/>
    </row>
    <row r="409" customFormat="false" ht="15" hidden="false" customHeight="false" outlineLevel="0" collapsed="false">
      <c r="A409" s="22"/>
      <c r="B409" s="24"/>
      <c r="C409" s="24"/>
      <c r="D409" s="24"/>
      <c r="E409" s="22"/>
      <c r="F409" s="25"/>
      <c r="G409" s="24"/>
      <c r="H409" s="24"/>
    </row>
    <row r="410" customFormat="false" ht="15" hidden="false" customHeight="false" outlineLevel="0" collapsed="false">
      <c r="A410" s="22"/>
      <c r="B410" s="24"/>
      <c r="C410" s="24"/>
      <c r="D410" s="24"/>
      <c r="E410" s="22"/>
      <c r="F410" s="25"/>
      <c r="G410" s="24"/>
      <c r="H410" s="24"/>
    </row>
    <row r="411" customFormat="false" ht="15" hidden="false" customHeight="false" outlineLevel="0" collapsed="false">
      <c r="A411" s="22"/>
      <c r="B411" s="24"/>
      <c r="C411" s="24"/>
      <c r="D411" s="24"/>
      <c r="E411" s="22"/>
      <c r="F411" s="25"/>
      <c r="G411" s="24"/>
      <c r="H411" s="24"/>
    </row>
    <row r="412" customFormat="false" ht="15" hidden="false" customHeight="false" outlineLevel="0" collapsed="false">
      <c r="A412" s="22"/>
      <c r="B412" s="24"/>
      <c r="C412" s="24"/>
      <c r="D412" s="24"/>
      <c r="E412" s="22"/>
      <c r="F412" s="25"/>
      <c r="G412" s="24"/>
      <c r="H412" s="24"/>
    </row>
    <row r="413" customFormat="false" ht="15" hidden="false" customHeight="false" outlineLevel="0" collapsed="false">
      <c r="A413" s="22"/>
      <c r="B413" s="24"/>
      <c r="C413" s="24"/>
      <c r="D413" s="24"/>
      <c r="E413" s="22"/>
      <c r="F413" s="25"/>
      <c r="G413" s="24"/>
      <c r="H413" s="24"/>
    </row>
    <row r="414" customFormat="false" ht="15" hidden="false" customHeight="false" outlineLevel="0" collapsed="false">
      <c r="A414" s="22"/>
      <c r="B414" s="24"/>
      <c r="C414" s="24"/>
      <c r="D414" s="24"/>
      <c r="E414" s="22"/>
      <c r="F414" s="25"/>
      <c r="G414" s="24"/>
      <c r="H414" s="24"/>
    </row>
    <row r="415" customFormat="false" ht="15" hidden="false" customHeight="false" outlineLevel="0" collapsed="false">
      <c r="A415" s="22"/>
      <c r="B415" s="24"/>
      <c r="C415" s="24"/>
      <c r="D415" s="24"/>
      <c r="E415" s="22"/>
      <c r="F415" s="25"/>
      <c r="G415" s="24"/>
      <c r="H415" s="24"/>
    </row>
    <row r="416" customFormat="false" ht="15" hidden="false" customHeight="false" outlineLevel="0" collapsed="false">
      <c r="A416" s="22"/>
      <c r="B416" s="24"/>
      <c r="C416" s="24"/>
      <c r="D416" s="24"/>
      <c r="E416" s="22"/>
      <c r="F416" s="25"/>
      <c r="G416" s="24"/>
      <c r="H416" s="24"/>
    </row>
    <row r="417" customFormat="false" ht="15" hidden="false" customHeight="false" outlineLevel="0" collapsed="false">
      <c r="A417" s="22"/>
      <c r="B417" s="24"/>
      <c r="C417" s="24"/>
      <c r="D417" s="24"/>
      <c r="E417" s="22"/>
      <c r="F417" s="25"/>
      <c r="G417" s="24"/>
      <c r="H417" s="24"/>
    </row>
    <row r="418" customFormat="false" ht="15" hidden="false" customHeight="false" outlineLevel="0" collapsed="false">
      <c r="A418" s="22"/>
      <c r="B418" s="24"/>
      <c r="C418" s="24"/>
      <c r="D418" s="24"/>
      <c r="E418" s="22"/>
      <c r="F418" s="25"/>
      <c r="G418" s="24"/>
      <c r="H418" s="24"/>
    </row>
    <row r="419" customFormat="false" ht="15" hidden="false" customHeight="false" outlineLevel="0" collapsed="false">
      <c r="A419" s="22"/>
      <c r="B419" s="24"/>
      <c r="C419" s="24"/>
      <c r="D419" s="24"/>
      <c r="E419" s="22"/>
      <c r="F419" s="25"/>
      <c r="G419" s="24"/>
      <c r="H419" s="24"/>
    </row>
    <row r="420" customFormat="false" ht="15" hidden="false" customHeight="false" outlineLevel="0" collapsed="false">
      <c r="A420" s="22"/>
      <c r="B420" s="24"/>
      <c r="C420" s="24"/>
      <c r="D420" s="24"/>
      <c r="E420" s="22"/>
      <c r="F420" s="25"/>
      <c r="G420" s="24"/>
      <c r="H420" s="24"/>
    </row>
    <row r="421" customFormat="false" ht="15" hidden="false" customHeight="false" outlineLevel="0" collapsed="false">
      <c r="A421" s="22"/>
      <c r="B421" s="24"/>
      <c r="C421" s="24"/>
      <c r="D421" s="24"/>
      <c r="E421" s="22"/>
      <c r="F421" s="25"/>
      <c r="G421" s="24"/>
      <c r="H421" s="24"/>
    </row>
    <row r="422" customFormat="false" ht="15" hidden="false" customHeight="false" outlineLevel="0" collapsed="false">
      <c r="A422" s="22"/>
      <c r="B422" s="24"/>
      <c r="C422" s="24"/>
      <c r="D422" s="24"/>
      <c r="E422" s="22"/>
      <c r="F422" s="25"/>
      <c r="G422" s="24"/>
      <c r="H422" s="24"/>
    </row>
    <row r="423" customFormat="false" ht="15" hidden="false" customHeight="false" outlineLevel="0" collapsed="false">
      <c r="A423" s="22"/>
      <c r="B423" s="24"/>
      <c r="C423" s="24"/>
      <c r="D423" s="24"/>
      <c r="E423" s="22"/>
      <c r="F423" s="25"/>
      <c r="G423" s="24"/>
      <c r="H423" s="24"/>
    </row>
    <row r="424" customFormat="false" ht="15" hidden="false" customHeight="false" outlineLevel="0" collapsed="false">
      <c r="A424" s="22"/>
      <c r="B424" s="24"/>
      <c r="C424" s="24"/>
      <c r="D424" s="24"/>
      <c r="E424" s="22"/>
      <c r="F424" s="25"/>
      <c r="G424" s="24"/>
      <c r="H424" s="24"/>
    </row>
    <row r="425" customFormat="false" ht="15" hidden="false" customHeight="false" outlineLevel="0" collapsed="false">
      <c r="A425" s="22"/>
      <c r="B425" s="24"/>
      <c r="C425" s="24"/>
      <c r="D425" s="24"/>
      <c r="E425" s="22"/>
      <c r="F425" s="25"/>
      <c r="G425" s="24"/>
      <c r="H425" s="24"/>
    </row>
    <row r="426" customFormat="false" ht="15" hidden="false" customHeight="false" outlineLevel="0" collapsed="false">
      <c r="A426" s="22"/>
      <c r="B426" s="24"/>
      <c r="C426" s="24"/>
      <c r="D426" s="24"/>
      <c r="E426" s="22"/>
      <c r="F426" s="25"/>
      <c r="G426" s="24"/>
      <c r="H426" s="24"/>
    </row>
    <row r="427" customFormat="false" ht="15" hidden="false" customHeight="false" outlineLevel="0" collapsed="false">
      <c r="A427" s="22"/>
      <c r="B427" s="24"/>
      <c r="C427" s="24"/>
      <c r="D427" s="24"/>
      <c r="E427" s="22"/>
      <c r="F427" s="25"/>
      <c r="G427" s="24"/>
      <c r="H427" s="24"/>
    </row>
    <row r="428" customFormat="false" ht="15" hidden="false" customHeight="false" outlineLevel="0" collapsed="false">
      <c r="A428" s="22"/>
      <c r="B428" s="24"/>
      <c r="C428" s="24"/>
      <c r="D428" s="24"/>
      <c r="E428" s="22"/>
      <c r="F428" s="25"/>
      <c r="G428" s="24"/>
      <c r="H428" s="24"/>
    </row>
    <row r="429" customFormat="false" ht="15" hidden="false" customHeight="false" outlineLevel="0" collapsed="false">
      <c r="A429" s="22"/>
      <c r="B429" s="24"/>
      <c r="C429" s="24"/>
      <c r="D429" s="24"/>
      <c r="E429" s="22"/>
      <c r="F429" s="25"/>
      <c r="G429" s="24"/>
      <c r="H429" s="24"/>
    </row>
    <row r="430" customFormat="false" ht="15" hidden="false" customHeight="false" outlineLevel="0" collapsed="false">
      <c r="A430" s="22"/>
      <c r="B430" s="24"/>
      <c r="C430" s="24"/>
      <c r="D430" s="24"/>
      <c r="E430" s="22"/>
      <c r="F430" s="25"/>
      <c r="G430" s="24"/>
      <c r="H430" s="24"/>
    </row>
    <row r="431" customFormat="false" ht="15" hidden="false" customHeight="false" outlineLevel="0" collapsed="false">
      <c r="A431" s="22"/>
      <c r="B431" s="24"/>
      <c r="C431" s="24"/>
      <c r="D431" s="24"/>
      <c r="E431" s="22"/>
      <c r="F431" s="25"/>
      <c r="G431" s="24"/>
      <c r="H431" s="24"/>
    </row>
    <row r="432" customFormat="false" ht="15" hidden="false" customHeight="false" outlineLevel="0" collapsed="false">
      <c r="A432" s="22"/>
      <c r="B432" s="24"/>
      <c r="C432" s="24"/>
      <c r="D432" s="24"/>
      <c r="E432" s="22"/>
      <c r="F432" s="25"/>
      <c r="G432" s="24"/>
      <c r="H432" s="24"/>
    </row>
    <row r="433" customFormat="false" ht="15" hidden="false" customHeight="false" outlineLevel="0" collapsed="false">
      <c r="A433" s="22"/>
      <c r="B433" s="24"/>
      <c r="C433" s="24"/>
      <c r="D433" s="24"/>
      <c r="E433" s="22"/>
      <c r="F433" s="25"/>
      <c r="G433" s="24"/>
      <c r="H433" s="24"/>
    </row>
    <row r="434" customFormat="false" ht="15" hidden="false" customHeight="false" outlineLevel="0" collapsed="false">
      <c r="A434" s="22"/>
      <c r="B434" s="24"/>
      <c r="C434" s="24"/>
      <c r="D434" s="24"/>
      <c r="E434" s="22"/>
      <c r="F434" s="25"/>
      <c r="G434" s="24"/>
      <c r="H434" s="24"/>
    </row>
    <row r="435" customFormat="false" ht="15" hidden="false" customHeight="false" outlineLevel="0" collapsed="false">
      <c r="A435" s="22"/>
      <c r="B435" s="24"/>
      <c r="C435" s="24"/>
      <c r="D435" s="24"/>
      <c r="E435" s="22"/>
      <c r="F435" s="25"/>
      <c r="G435" s="24"/>
      <c r="H435" s="24"/>
    </row>
    <row r="436" customFormat="false" ht="15" hidden="false" customHeight="false" outlineLevel="0" collapsed="false">
      <c r="A436" s="22"/>
      <c r="B436" s="24"/>
      <c r="C436" s="24"/>
      <c r="D436" s="24"/>
      <c r="E436" s="22"/>
      <c r="F436" s="25"/>
      <c r="G436" s="24"/>
      <c r="H436" s="24"/>
    </row>
    <row r="437" customFormat="false" ht="15" hidden="false" customHeight="false" outlineLevel="0" collapsed="false">
      <c r="A437" s="22"/>
      <c r="B437" s="24"/>
      <c r="C437" s="24"/>
      <c r="D437" s="24"/>
      <c r="E437" s="22"/>
      <c r="F437" s="25"/>
      <c r="G437" s="24"/>
      <c r="H437" s="24"/>
    </row>
    <row r="438" customFormat="false" ht="15" hidden="false" customHeight="false" outlineLevel="0" collapsed="false">
      <c r="A438" s="22"/>
      <c r="B438" s="24"/>
      <c r="C438" s="24"/>
      <c r="D438" s="24"/>
      <c r="E438" s="22"/>
      <c r="F438" s="25"/>
      <c r="G438" s="24"/>
      <c r="H438" s="24"/>
    </row>
    <row r="439" customFormat="false" ht="15" hidden="false" customHeight="false" outlineLevel="0" collapsed="false">
      <c r="A439" s="22"/>
      <c r="B439" s="24"/>
      <c r="C439" s="24"/>
      <c r="D439" s="24"/>
      <c r="E439" s="22"/>
      <c r="F439" s="25"/>
      <c r="G439" s="24"/>
      <c r="H439" s="24"/>
    </row>
    <row r="440" customFormat="false" ht="15" hidden="false" customHeight="false" outlineLevel="0" collapsed="false">
      <c r="A440" s="22"/>
      <c r="B440" s="24"/>
      <c r="C440" s="24"/>
      <c r="D440" s="24"/>
      <c r="E440" s="22"/>
      <c r="F440" s="25"/>
      <c r="G440" s="24"/>
      <c r="H440" s="24"/>
    </row>
    <row r="441" customFormat="false" ht="15" hidden="false" customHeight="false" outlineLevel="0" collapsed="false">
      <c r="A441" s="22"/>
      <c r="B441" s="24"/>
      <c r="C441" s="24"/>
      <c r="D441" s="24"/>
      <c r="E441" s="22"/>
      <c r="F441" s="25"/>
      <c r="G441" s="24"/>
      <c r="H441" s="24"/>
    </row>
    <row r="442" customFormat="false" ht="15" hidden="false" customHeight="false" outlineLevel="0" collapsed="false">
      <c r="A442" s="22"/>
      <c r="B442" s="24"/>
      <c r="C442" s="24"/>
      <c r="D442" s="24"/>
      <c r="E442" s="22"/>
      <c r="F442" s="25"/>
      <c r="G442" s="24"/>
      <c r="H442" s="24"/>
    </row>
    <row r="443" customFormat="false" ht="15" hidden="false" customHeight="false" outlineLevel="0" collapsed="false">
      <c r="A443" s="22"/>
      <c r="B443" s="24"/>
      <c r="C443" s="24"/>
      <c r="D443" s="24"/>
      <c r="E443" s="22"/>
      <c r="F443" s="25"/>
      <c r="G443" s="24"/>
      <c r="H443" s="24"/>
    </row>
    <row r="444" customFormat="false" ht="15" hidden="false" customHeight="false" outlineLevel="0" collapsed="false">
      <c r="A444" s="22"/>
      <c r="B444" s="24"/>
      <c r="C444" s="24"/>
      <c r="D444" s="24"/>
      <c r="E444" s="22"/>
      <c r="F444" s="25"/>
      <c r="G444" s="24"/>
      <c r="H444" s="24"/>
    </row>
    <row r="445" customFormat="false" ht="15" hidden="false" customHeight="false" outlineLevel="0" collapsed="false">
      <c r="A445" s="22"/>
      <c r="B445" s="24"/>
      <c r="C445" s="24"/>
      <c r="D445" s="24"/>
      <c r="E445" s="22"/>
      <c r="F445" s="25"/>
      <c r="G445" s="24"/>
      <c r="H445" s="24"/>
    </row>
    <row r="446" customFormat="false" ht="15" hidden="false" customHeight="false" outlineLevel="0" collapsed="false">
      <c r="A446" s="22"/>
      <c r="B446" s="24"/>
      <c r="C446" s="24"/>
      <c r="D446" s="24"/>
      <c r="E446" s="22"/>
      <c r="F446" s="25"/>
      <c r="G446" s="24"/>
      <c r="H446" s="24"/>
    </row>
    <row r="447" customFormat="false" ht="15" hidden="false" customHeight="false" outlineLevel="0" collapsed="false">
      <c r="A447" s="22"/>
      <c r="B447" s="24"/>
      <c r="C447" s="24"/>
      <c r="D447" s="24"/>
      <c r="E447" s="22"/>
      <c r="F447" s="25"/>
      <c r="G447" s="24"/>
      <c r="H447" s="24"/>
    </row>
    <row r="448" customFormat="false" ht="15" hidden="false" customHeight="false" outlineLevel="0" collapsed="false">
      <c r="A448" s="22"/>
      <c r="B448" s="24"/>
      <c r="C448" s="24"/>
      <c r="D448" s="24"/>
      <c r="E448" s="22"/>
      <c r="F448" s="25"/>
      <c r="G448" s="24"/>
      <c r="H448" s="24"/>
    </row>
    <row r="449" customFormat="false" ht="15" hidden="false" customHeight="false" outlineLevel="0" collapsed="false">
      <c r="A449" s="22"/>
      <c r="B449" s="24"/>
      <c r="C449" s="24"/>
      <c r="D449" s="24"/>
      <c r="E449" s="22"/>
      <c r="F449" s="25"/>
      <c r="G449" s="24"/>
      <c r="H449" s="24"/>
    </row>
    <row r="450" customFormat="false" ht="15" hidden="false" customHeight="false" outlineLevel="0" collapsed="false">
      <c r="A450" s="22"/>
      <c r="B450" s="24"/>
      <c r="C450" s="24"/>
      <c r="D450" s="24"/>
      <c r="E450" s="22"/>
      <c r="F450" s="25"/>
      <c r="G450" s="24"/>
      <c r="H450" s="24"/>
    </row>
    <row r="451" customFormat="false" ht="15" hidden="false" customHeight="false" outlineLevel="0" collapsed="false">
      <c r="A451" s="22"/>
      <c r="B451" s="24"/>
      <c r="C451" s="24"/>
      <c r="D451" s="24"/>
      <c r="E451" s="22"/>
      <c r="F451" s="25"/>
      <c r="G451" s="24"/>
      <c r="H451" s="24"/>
    </row>
    <row r="452" customFormat="false" ht="15" hidden="false" customHeight="false" outlineLevel="0" collapsed="false">
      <c r="A452" s="22"/>
      <c r="B452" s="24"/>
      <c r="C452" s="24"/>
      <c r="D452" s="24"/>
      <c r="E452" s="22"/>
      <c r="F452" s="25"/>
      <c r="G452" s="24"/>
      <c r="H452" s="24"/>
    </row>
    <row r="453" customFormat="false" ht="15" hidden="false" customHeight="false" outlineLevel="0" collapsed="false">
      <c r="A453" s="22"/>
      <c r="B453" s="24"/>
      <c r="C453" s="24"/>
      <c r="D453" s="24"/>
      <c r="E453" s="22"/>
      <c r="F453" s="25"/>
      <c r="G453" s="24"/>
      <c r="H453" s="24"/>
    </row>
    <row r="454" customFormat="false" ht="15" hidden="false" customHeight="false" outlineLevel="0" collapsed="false">
      <c r="A454" s="22"/>
      <c r="B454" s="24"/>
      <c r="C454" s="24"/>
      <c r="D454" s="24"/>
      <c r="E454" s="22"/>
      <c r="F454" s="25"/>
      <c r="G454" s="24"/>
      <c r="H454" s="24"/>
    </row>
    <row r="455" customFormat="false" ht="15" hidden="false" customHeight="false" outlineLevel="0" collapsed="false">
      <c r="A455" s="22"/>
      <c r="B455" s="24"/>
      <c r="C455" s="24"/>
      <c r="D455" s="24"/>
      <c r="E455" s="22"/>
      <c r="F455" s="25"/>
      <c r="G455" s="24"/>
      <c r="H455" s="24"/>
    </row>
    <row r="456" customFormat="false" ht="15" hidden="false" customHeight="false" outlineLevel="0" collapsed="false">
      <c r="A456" s="22"/>
      <c r="B456" s="24"/>
      <c r="C456" s="24"/>
      <c r="D456" s="24"/>
      <c r="E456" s="22"/>
      <c r="F456" s="25"/>
      <c r="G456" s="24"/>
      <c r="H456" s="24"/>
    </row>
    <row r="457" customFormat="false" ht="15" hidden="false" customHeight="false" outlineLevel="0" collapsed="false">
      <c r="A457" s="22"/>
      <c r="B457" s="24"/>
      <c r="C457" s="24"/>
      <c r="D457" s="24"/>
      <c r="E457" s="22"/>
      <c r="F457" s="25"/>
      <c r="G457" s="24"/>
      <c r="H457" s="24"/>
    </row>
    <row r="458" customFormat="false" ht="15" hidden="false" customHeight="false" outlineLevel="0" collapsed="false">
      <c r="A458" s="22"/>
      <c r="B458" s="24"/>
      <c r="C458" s="24"/>
      <c r="D458" s="24"/>
      <c r="E458" s="22"/>
      <c r="F458" s="25"/>
      <c r="G458" s="24"/>
      <c r="H458" s="24"/>
    </row>
    <row r="459" customFormat="false" ht="15" hidden="false" customHeight="false" outlineLevel="0" collapsed="false">
      <c r="A459" s="22"/>
      <c r="B459" s="24"/>
      <c r="C459" s="24"/>
      <c r="D459" s="24"/>
      <c r="E459" s="22"/>
      <c r="F459" s="25"/>
      <c r="G459" s="24"/>
      <c r="H459" s="24"/>
    </row>
    <row r="460" customFormat="false" ht="15" hidden="false" customHeight="false" outlineLevel="0" collapsed="false">
      <c r="A460" s="22"/>
      <c r="B460" s="24"/>
      <c r="C460" s="24"/>
      <c r="D460" s="24"/>
      <c r="E460" s="22"/>
      <c r="F460" s="25"/>
      <c r="G460" s="24"/>
      <c r="H460" s="24"/>
    </row>
    <row r="461" customFormat="false" ht="15" hidden="false" customHeight="false" outlineLevel="0" collapsed="false">
      <c r="A461" s="22"/>
      <c r="B461" s="24"/>
      <c r="C461" s="24"/>
      <c r="D461" s="24"/>
      <c r="E461" s="22"/>
      <c r="F461" s="25"/>
      <c r="G461" s="24"/>
      <c r="H461" s="24"/>
    </row>
    <row r="462" customFormat="false" ht="15" hidden="false" customHeight="false" outlineLevel="0" collapsed="false">
      <c r="A462" s="22"/>
      <c r="B462" s="24"/>
      <c r="C462" s="24"/>
      <c r="D462" s="24"/>
      <c r="E462" s="22"/>
      <c r="F462" s="25"/>
      <c r="G462" s="24"/>
      <c r="H462" s="24"/>
    </row>
    <row r="463" customFormat="false" ht="15" hidden="false" customHeight="false" outlineLevel="0" collapsed="false">
      <c r="A463" s="22"/>
      <c r="B463" s="24"/>
      <c r="C463" s="24"/>
      <c r="D463" s="24"/>
      <c r="E463" s="22"/>
      <c r="F463" s="25"/>
      <c r="G463" s="24"/>
      <c r="H463" s="24"/>
    </row>
    <row r="464" customFormat="false" ht="15" hidden="false" customHeight="false" outlineLevel="0" collapsed="false">
      <c r="A464" s="22"/>
      <c r="B464" s="24"/>
      <c r="C464" s="24"/>
      <c r="D464" s="24"/>
      <c r="E464" s="22"/>
      <c r="F464" s="25"/>
      <c r="G464" s="24"/>
      <c r="H464" s="24"/>
    </row>
    <row r="465" customFormat="false" ht="15" hidden="false" customHeight="false" outlineLevel="0" collapsed="false">
      <c r="A465" s="22"/>
      <c r="B465" s="24"/>
      <c r="C465" s="24"/>
      <c r="D465" s="24"/>
      <c r="E465" s="22"/>
      <c r="F465" s="25"/>
      <c r="G465" s="24"/>
      <c r="H465" s="24"/>
    </row>
    <row r="466" customFormat="false" ht="15" hidden="false" customHeight="false" outlineLevel="0" collapsed="false">
      <c r="A466" s="22"/>
      <c r="B466" s="24"/>
      <c r="C466" s="24"/>
      <c r="D466" s="24"/>
      <c r="E466" s="22"/>
      <c r="F466" s="25"/>
      <c r="G466" s="24"/>
      <c r="H466" s="24"/>
    </row>
    <row r="467" customFormat="false" ht="15" hidden="false" customHeight="false" outlineLevel="0" collapsed="false">
      <c r="A467" s="22"/>
      <c r="B467" s="24"/>
      <c r="C467" s="24"/>
      <c r="D467" s="24"/>
      <c r="E467" s="22"/>
      <c r="F467" s="25"/>
      <c r="G467" s="24"/>
      <c r="H467" s="24"/>
    </row>
    <row r="468" customFormat="false" ht="15" hidden="false" customHeight="false" outlineLevel="0" collapsed="false">
      <c r="A468" s="22"/>
      <c r="B468" s="24"/>
      <c r="C468" s="24"/>
      <c r="D468" s="24"/>
      <c r="E468" s="22"/>
      <c r="F468" s="25"/>
      <c r="G468" s="24"/>
      <c r="H468" s="24"/>
    </row>
    <row r="469" customFormat="false" ht="15" hidden="false" customHeight="false" outlineLevel="0" collapsed="false">
      <c r="A469" s="22"/>
      <c r="B469" s="24"/>
      <c r="C469" s="24"/>
      <c r="D469" s="24"/>
      <c r="E469" s="22"/>
      <c r="F469" s="25"/>
      <c r="G469" s="24"/>
      <c r="H469" s="24"/>
    </row>
    <row r="470" customFormat="false" ht="15" hidden="false" customHeight="false" outlineLevel="0" collapsed="false">
      <c r="A470" s="22"/>
      <c r="B470" s="24"/>
      <c r="C470" s="24"/>
      <c r="D470" s="24"/>
      <c r="E470" s="22"/>
      <c r="F470" s="25"/>
      <c r="G470" s="24"/>
      <c r="H470" s="24"/>
    </row>
    <row r="471" customFormat="false" ht="15" hidden="false" customHeight="false" outlineLevel="0" collapsed="false">
      <c r="A471" s="22"/>
      <c r="B471" s="24"/>
      <c r="C471" s="24"/>
      <c r="D471" s="24"/>
      <c r="E471" s="22"/>
      <c r="F471" s="25"/>
      <c r="G471" s="24"/>
      <c r="H471" s="24"/>
    </row>
    <row r="472" customFormat="false" ht="15" hidden="false" customHeight="false" outlineLevel="0" collapsed="false">
      <c r="A472" s="22"/>
      <c r="B472" s="24"/>
      <c r="C472" s="24"/>
      <c r="D472" s="24"/>
      <c r="E472" s="22"/>
      <c r="F472" s="25"/>
      <c r="G472" s="24"/>
      <c r="H472" s="24"/>
    </row>
    <row r="473" customFormat="false" ht="15" hidden="false" customHeight="false" outlineLevel="0" collapsed="false">
      <c r="A473" s="22"/>
      <c r="B473" s="24"/>
      <c r="C473" s="24"/>
      <c r="D473" s="24"/>
      <c r="E473" s="22"/>
      <c r="F473" s="25"/>
      <c r="G473" s="24"/>
      <c r="H473" s="24"/>
    </row>
    <row r="474" customFormat="false" ht="15" hidden="false" customHeight="false" outlineLevel="0" collapsed="false">
      <c r="A474" s="22"/>
      <c r="B474" s="24"/>
      <c r="C474" s="24"/>
      <c r="D474" s="24"/>
      <c r="E474" s="22"/>
      <c r="F474" s="25"/>
      <c r="G474" s="24"/>
      <c r="H474" s="24"/>
    </row>
    <row r="475" customFormat="false" ht="15" hidden="false" customHeight="false" outlineLevel="0" collapsed="false">
      <c r="A475" s="22"/>
      <c r="B475" s="24"/>
      <c r="C475" s="24"/>
      <c r="D475" s="24"/>
      <c r="E475" s="22"/>
      <c r="F475" s="25"/>
      <c r="G475" s="24"/>
      <c r="H475" s="24"/>
    </row>
    <row r="476" customFormat="false" ht="15" hidden="false" customHeight="false" outlineLevel="0" collapsed="false">
      <c r="A476" s="22"/>
      <c r="B476" s="24"/>
      <c r="C476" s="24"/>
      <c r="D476" s="24"/>
      <c r="E476" s="22"/>
      <c r="F476" s="25"/>
      <c r="G476" s="24"/>
      <c r="H476" s="24"/>
    </row>
    <row r="477" customFormat="false" ht="15" hidden="false" customHeight="false" outlineLevel="0" collapsed="false">
      <c r="A477" s="22"/>
      <c r="B477" s="24"/>
      <c r="C477" s="24"/>
      <c r="D477" s="24"/>
      <c r="E477" s="22"/>
      <c r="F477" s="25"/>
      <c r="G477" s="24"/>
      <c r="H477" s="24"/>
    </row>
    <row r="478" customFormat="false" ht="15" hidden="false" customHeight="false" outlineLevel="0" collapsed="false">
      <c r="A478" s="22"/>
      <c r="B478" s="24"/>
      <c r="C478" s="24"/>
      <c r="D478" s="24"/>
      <c r="E478" s="22"/>
      <c r="F478" s="25"/>
      <c r="G478" s="24"/>
      <c r="H478" s="24"/>
    </row>
    <row r="479" customFormat="false" ht="15" hidden="false" customHeight="false" outlineLevel="0" collapsed="false">
      <c r="A479" s="22"/>
      <c r="B479" s="24"/>
      <c r="C479" s="24"/>
      <c r="D479" s="24"/>
      <c r="E479" s="22"/>
      <c r="F479" s="25"/>
      <c r="G479" s="24"/>
      <c r="H479" s="24"/>
    </row>
    <row r="480" customFormat="false" ht="15" hidden="false" customHeight="false" outlineLevel="0" collapsed="false">
      <c r="A480" s="22"/>
      <c r="B480" s="24"/>
      <c r="C480" s="24"/>
      <c r="D480" s="24"/>
      <c r="E480" s="22"/>
      <c r="F480" s="25"/>
      <c r="G480" s="24"/>
      <c r="H480" s="24"/>
    </row>
    <row r="481" customFormat="false" ht="15" hidden="false" customHeight="false" outlineLevel="0" collapsed="false">
      <c r="A481" s="22"/>
      <c r="B481" s="24"/>
      <c r="C481" s="24"/>
      <c r="D481" s="24"/>
      <c r="E481" s="22"/>
      <c r="F481" s="25"/>
      <c r="G481" s="24"/>
      <c r="H481" s="24"/>
    </row>
    <row r="482" customFormat="false" ht="15" hidden="false" customHeight="false" outlineLevel="0" collapsed="false">
      <c r="A482" s="22"/>
      <c r="B482" s="24"/>
      <c r="C482" s="24"/>
      <c r="D482" s="24"/>
      <c r="E482" s="22"/>
      <c r="F482" s="25"/>
      <c r="G482" s="24"/>
      <c r="H482" s="24"/>
    </row>
    <row r="483" customFormat="false" ht="15" hidden="false" customHeight="false" outlineLevel="0" collapsed="false">
      <c r="A483" s="22"/>
      <c r="B483" s="24"/>
      <c r="C483" s="24"/>
      <c r="D483" s="24"/>
      <c r="E483" s="22"/>
      <c r="F483" s="25"/>
      <c r="G483" s="24"/>
      <c r="H483" s="24"/>
    </row>
    <row r="484" customFormat="false" ht="15" hidden="false" customHeight="false" outlineLevel="0" collapsed="false">
      <c r="A484" s="22"/>
      <c r="B484" s="24"/>
      <c r="C484" s="24"/>
      <c r="D484" s="24"/>
      <c r="E484" s="22"/>
      <c r="F484" s="25"/>
      <c r="G484" s="24"/>
      <c r="H484" s="24"/>
    </row>
    <row r="485" customFormat="false" ht="15" hidden="false" customHeight="false" outlineLevel="0" collapsed="false">
      <c r="A485" s="22"/>
      <c r="B485" s="24"/>
      <c r="C485" s="24"/>
      <c r="D485" s="24"/>
      <c r="E485" s="22"/>
      <c r="F485" s="25"/>
      <c r="G485" s="24"/>
      <c r="H485" s="24"/>
    </row>
    <row r="486" customFormat="false" ht="15" hidden="false" customHeight="false" outlineLevel="0" collapsed="false">
      <c r="A486" s="22"/>
      <c r="B486" s="24"/>
      <c r="C486" s="24"/>
      <c r="D486" s="24"/>
      <c r="E486" s="22"/>
      <c r="F486" s="25"/>
      <c r="G486" s="24"/>
      <c r="H486" s="24"/>
    </row>
    <row r="487" customFormat="false" ht="15" hidden="false" customHeight="false" outlineLevel="0" collapsed="false">
      <c r="A487" s="22"/>
      <c r="B487" s="24"/>
      <c r="C487" s="24"/>
      <c r="D487" s="24"/>
      <c r="E487" s="22"/>
      <c r="F487" s="25"/>
      <c r="G487" s="24"/>
      <c r="H487" s="24"/>
    </row>
    <row r="488" customFormat="false" ht="15" hidden="false" customHeight="false" outlineLevel="0" collapsed="false">
      <c r="A488" s="22"/>
      <c r="B488" s="24"/>
      <c r="C488" s="24"/>
      <c r="D488" s="24"/>
      <c r="E488" s="22"/>
      <c r="F488" s="25"/>
      <c r="G488" s="24"/>
      <c r="H488" s="24"/>
    </row>
    <row r="489" customFormat="false" ht="15" hidden="false" customHeight="false" outlineLevel="0" collapsed="false">
      <c r="A489" s="22"/>
      <c r="B489" s="24"/>
      <c r="C489" s="24"/>
      <c r="D489" s="24"/>
      <c r="E489" s="22"/>
      <c r="F489" s="25"/>
      <c r="G489" s="24"/>
      <c r="H489" s="24"/>
    </row>
    <row r="490" customFormat="false" ht="15" hidden="false" customHeight="false" outlineLevel="0" collapsed="false">
      <c r="A490" s="22"/>
      <c r="B490" s="24"/>
      <c r="C490" s="24"/>
      <c r="D490" s="24"/>
      <c r="E490" s="22"/>
      <c r="F490" s="25"/>
      <c r="G490" s="24"/>
      <c r="H490" s="24"/>
    </row>
    <row r="491" customFormat="false" ht="15" hidden="false" customHeight="false" outlineLevel="0" collapsed="false">
      <c r="A491" s="22"/>
      <c r="B491" s="24"/>
      <c r="C491" s="24"/>
      <c r="D491" s="24"/>
      <c r="E491" s="22"/>
      <c r="F491" s="25"/>
      <c r="G491" s="24"/>
      <c r="H491" s="24"/>
    </row>
    <row r="492" customFormat="false" ht="15" hidden="false" customHeight="false" outlineLevel="0" collapsed="false">
      <c r="A492" s="22"/>
      <c r="B492" s="24"/>
      <c r="C492" s="24"/>
      <c r="D492" s="24"/>
      <c r="E492" s="22"/>
      <c r="F492" s="25"/>
      <c r="G492" s="24"/>
      <c r="H492" s="24"/>
    </row>
    <row r="493" customFormat="false" ht="15" hidden="false" customHeight="false" outlineLevel="0" collapsed="false">
      <c r="A493" s="22"/>
      <c r="B493" s="24"/>
      <c r="C493" s="24"/>
      <c r="D493" s="24"/>
      <c r="E493" s="22"/>
      <c r="F493" s="25"/>
      <c r="G493" s="24"/>
      <c r="H493" s="24"/>
    </row>
    <row r="494" customFormat="false" ht="15" hidden="false" customHeight="false" outlineLevel="0" collapsed="false">
      <c r="A494" s="22"/>
      <c r="B494" s="24"/>
      <c r="C494" s="24"/>
      <c r="D494" s="24"/>
      <c r="E494" s="22"/>
      <c r="F494" s="25"/>
      <c r="G494" s="24"/>
      <c r="H494" s="24"/>
    </row>
    <row r="495" customFormat="false" ht="15" hidden="false" customHeight="false" outlineLevel="0" collapsed="false">
      <c r="A495" s="22"/>
      <c r="B495" s="24"/>
      <c r="C495" s="24"/>
      <c r="D495" s="24"/>
      <c r="E495" s="22"/>
      <c r="F495" s="25"/>
      <c r="G495" s="24"/>
      <c r="H495" s="24"/>
    </row>
    <row r="496" customFormat="false" ht="15" hidden="false" customHeight="false" outlineLevel="0" collapsed="false">
      <c r="A496" s="22"/>
      <c r="B496" s="24"/>
      <c r="C496" s="24"/>
      <c r="D496" s="24"/>
      <c r="E496" s="22"/>
      <c r="F496" s="25"/>
      <c r="G496" s="24"/>
      <c r="H496" s="24"/>
    </row>
    <row r="497" customFormat="false" ht="15" hidden="false" customHeight="false" outlineLevel="0" collapsed="false">
      <c r="A497" s="22"/>
      <c r="B497" s="24"/>
      <c r="C497" s="24"/>
      <c r="D497" s="24"/>
      <c r="E497" s="22"/>
      <c r="F497" s="25"/>
      <c r="G497" s="24"/>
      <c r="H497" s="24"/>
    </row>
    <row r="498" customFormat="false" ht="15" hidden="false" customHeight="false" outlineLevel="0" collapsed="false">
      <c r="A498" s="22"/>
      <c r="B498" s="24"/>
      <c r="C498" s="24"/>
      <c r="D498" s="24"/>
      <c r="E498" s="22"/>
      <c r="F498" s="25"/>
      <c r="G498" s="24"/>
      <c r="H498" s="24"/>
    </row>
    <row r="499" customFormat="false" ht="15" hidden="false" customHeight="false" outlineLevel="0" collapsed="false">
      <c r="A499" s="22"/>
      <c r="B499" s="24"/>
      <c r="C499" s="24"/>
      <c r="D499" s="24"/>
      <c r="E499" s="22"/>
      <c r="F499" s="25"/>
      <c r="G499" s="24"/>
      <c r="H499" s="24"/>
    </row>
    <row r="500" customFormat="false" ht="15" hidden="false" customHeight="false" outlineLevel="0" collapsed="false">
      <c r="A500" s="22"/>
      <c r="B500" s="24"/>
      <c r="C500" s="24"/>
      <c r="D500" s="24"/>
      <c r="E500" s="22"/>
      <c r="F500" s="25"/>
      <c r="G500" s="24"/>
      <c r="H500" s="24"/>
    </row>
    <row r="501" customFormat="false" ht="15" hidden="false" customHeight="false" outlineLevel="0" collapsed="false">
      <c r="A501" s="22"/>
      <c r="B501" s="24"/>
      <c r="C501" s="24"/>
      <c r="D501" s="24"/>
      <c r="E501" s="22"/>
      <c r="F501" s="25"/>
      <c r="G501" s="24"/>
      <c r="H501" s="24"/>
    </row>
    <row r="502" customFormat="false" ht="15" hidden="false" customHeight="false" outlineLevel="0" collapsed="false">
      <c r="A502" s="22"/>
      <c r="B502" s="24"/>
      <c r="C502" s="24"/>
      <c r="D502" s="24"/>
      <c r="E502" s="22"/>
      <c r="F502" s="25"/>
      <c r="G502" s="24"/>
      <c r="H502" s="24"/>
    </row>
    <row r="503" customFormat="false" ht="15" hidden="false" customHeight="false" outlineLevel="0" collapsed="false">
      <c r="A503" s="22"/>
      <c r="B503" s="24"/>
      <c r="C503" s="24"/>
      <c r="D503" s="24"/>
      <c r="E503" s="22"/>
      <c r="F503" s="25"/>
      <c r="G503" s="24"/>
      <c r="H503" s="24"/>
    </row>
    <row r="504" customFormat="false" ht="15" hidden="false" customHeight="false" outlineLevel="0" collapsed="false">
      <c r="A504" s="22"/>
      <c r="B504" s="24"/>
      <c r="C504" s="24"/>
      <c r="D504" s="24"/>
      <c r="E504" s="22"/>
      <c r="F504" s="25"/>
      <c r="G504" s="24"/>
      <c r="H504" s="24"/>
    </row>
    <row r="505" customFormat="false" ht="15" hidden="false" customHeight="false" outlineLevel="0" collapsed="false">
      <c r="A505" s="22"/>
      <c r="B505" s="24"/>
      <c r="C505" s="24"/>
      <c r="D505" s="24"/>
      <c r="E505" s="22"/>
      <c r="F505" s="25"/>
      <c r="G505" s="24"/>
      <c r="H505" s="24"/>
    </row>
    <row r="506" customFormat="false" ht="15" hidden="false" customHeight="false" outlineLevel="0" collapsed="false">
      <c r="A506" s="22"/>
      <c r="B506" s="24"/>
      <c r="C506" s="24"/>
      <c r="D506" s="24"/>
      <c r="E506" s="22"/>
      <c r="F506" s="25"/>
      <c r="G506" s="24"/>
      <c r="H506" s="24"/>
    </row>
    <row r="507" customFormat="false" ht="15" hidden="false" customHeight="false" outlineLevel="0" collapsed="false">
      <c r="A507" s="22"/>
      <c r="B507" s="24"/>
      <c r="C507" s="24"/>
      <c r="D507" s="24"/>
      <c r="E507" s="22"/>
      <c r="F507" s="25"/>
      <c r="G507" s="24"/>
      <c r="H507" s="24"/>
    </row>
    <row r="508" customFormat="false" ht="15" hidden="false" customHeight="false" outlineLevel="0" collapsed="false">
      <c r="A508" s="22"/>
      <c r="B508" s="24"/>
      <c r="C508" s="24"/>
      <c r="D508" s="24"/>
      <c r="E508" s="22"/>
      <c r="F508" s="25"/>
      <c r="G508" s="24"/>
      <c r="H508" s="24"/>
    </row>
    <row r="509" customFormat="false" ht="15" hidden="false" customHeight="false" outlineLevel="0" collapsed="false">
      <c r="A509" s="22"/>
      <c r="B509" s="24"/>
      <c r="C509" s="24"/>
      <c r="D509" s="24"/>
      <c r="E509" s="22"/>
      <c r="F509" s="25"/>
      <c r="G509" s="24"/>
      <c r="H509" s="24"/>
    </row>
    <row r="510" customFormat="false" ht="15" hidden="false" customHeight="false" outlineLevel="0" collapsed="false">
      <c r="A510" s="22"/>
      <c r="B510" s="24"/>
      <c r="C510" s="24"/>
      <c r="D510" s="24"/>
      <c r="E510" s="22"/>
      <c r="F510" s="25"/>
      <c r="G510" s="24"/>
      <c r="H510" s="24"/>
    </row>
    <row r="511" customFormat="false" ht="15" hidden="false" customHeight="false" outlineLevel="0" collapsed="false">
      <c r="A511" s="22"/>
      <c r="B511" s="24"/>
      <c r="C511" s="24"/>
      <c r="D511" s="24"/>
      <c r="E511" s="22"/>
      <c r="F511" s="25"/>
      <c r="G511" s="24"/>
      <c r="H511" s="24"/>
    </row>
    <row r="512" customFormat="false" ht="15" hidden="false" customHeight="false" outlineLevel="0" collapsed="false">
      <c r="A512" s="22"/>
      <c r="B512" s="24"/>
      <c r="C512" s="24"/>
      <c r="D512" s="24"/>
      <c r="E512" s="22"/>
      <c r="F512" s="25"/>
      <c r="G512" s="24"/>
      <c r="H512" s="24"/>
    </row>
    <row r="513" customFormat="false" ht="15" hidden="false" customHeight="false" outlineLevel="0" collapsed="false">
      <c r="A513" s="22"/>
      <c r="B513" s="24"/>
      <c r="C513" s="24"/>
      <c r="D513" s="24"/>
      <c r="E513" s="22"/>
      <c r="F513" s="25"/>
      <c r="G513" s="24"/>
      <c r="H513" s="24"/>
    </row>
    <row r="514" customFormat="false" ht="15" hidden="false" customHeight="false" outlineLevel="0" collapsed="false">
      <c r="A514" s="22"/>
      <c r="B514" s="24"/>
      <c r="C514" s="24"/>
      <c r="D514" s="24"/>
      <c r="E514" s="22"/>
      <c r="F514" s="25"/>
      <c r="G514" s="24"/>
      <c r="H514" s="24"/>
    </row>
    <row r="515" customFormat="false" ht="15" hidden="false" customHeight="false" outlineLevel="0" collapsed="false">
      <c r="A515" s="22"/>
      <c r="B515" s="24"/>
      <c r="C515" s="24"/>
      <c r="D515" s="24"/>
      <c r="E515" s="22"/>
      <c r="F515" s="25"/>
      <c r="G515" s="24"/>
      <c r="H515" s="24"/>
    </row>
    <row r="516" customFormat="false" ht="15" hidden="false" customHeight="false" outlineLevel="0" collapsed="false">
      <c r="A516" s="22"/>
      <c r="B516" s="24"/>
      <c r="C516" s="24"/>
      <c r="D516" s="24"/>
      <c r="E516" s="22"/>
      <c r="F516" s="25"/>
      <c r="G516" s="24"/>
      <c r="H516" s="24"/>
    </row>
    <row r="517" customFormat="false" ht="15" hidden="false" customHeight="false" outlineLevel="0" collapsed="false">
      <c r="A517" s="22"/>
      <c r="B517" s="24"/>
      <c r="C517" s="24"/>
      <c r="D517" s="24"/>
      <c r="E517" s="22"/>
      <c r="F517" s="25"/>
      <c r="G517" s="24"/>
      <c r="H517" s="24"/>
    </row>
    <row r="518" customFormat="false" ht="15" hidden="false" customHeight="false" outlineLevel="0" collapsed="false">
      <c r="A518" s="22"/>
      <c r="B518" s="24"/>
      <c r="C518" s="24"/>
      <c r="D518" s="24"/>
      <c r="E518" s="22"/>
      <c r="F518" s="25"/>
      <c r="G518" s="24"/>
      <c r="H518" s="24"/>
    </row>
    <row r="519" customFormat="false" ht="15" hidden="false" customHeight="false" outlineLevel="0" collapsed="false">
      <c r="A519" s="22"/>
      <c r="B519" s="24"/>
      <c r="C519" s="24"/>
      <c r="D519" s="24"/>
      <c r="E519" s="22"/>
      <c r="F519" s="25"/>
      <c r="G519" s="24"/>
      <c r="H519" s="24"/>
    </row>
    <row r="520" customFormat="false" ht="15" hidden="false" customHeight="false" outlineLevel="0" collapsed="false">
      <c r="A520" s="22"/>
      <c r="B520" s="24"/>
      <c r="C520" s="24"/>
      <c r="D520" s="24"/>
      <c r="E520" s="22"/>
      <c r="F520" s="25"/>
      <c r="G520" s="24"/>
      <c r="H520" s="24"/>
    </row>
    <row r="521" customFormat="false" ht="15" hidden="false" customHeight="false" outlineLevel="0" collapsed="false">
      <c r="A521" s="22"/>
      <c r="B521" s="24"/>
      <c r="C521" s="24"/>
      <c r="D521" s="24"/>
      <c r="E521" s="22"/>
      <c r="F521" s="25"/>
      <c r="G521" s="24"/>
      <c r="H521" s="24"/>
    </row>
    <row r="522" customFormat="false" ht="15" hidden="false" customHeight="false" outlineLevel="0" collapsed="false">
      <c r="A522" s="22"/>
      <c r="B522" s="24"/>
      <c r="C522" s="24"/>
      <c r="D522" s="24"/>
      <c r="E522" s="22"/>
      <c r="F522" s="25"/>
      <c r="G522" s="24"/>
      <c r="H522" s="24"/>
    </row>
    <row r="523" customFormat="false" ht="15" hidden="false" customHeight="false" outlineLevel="0" collapsed="false">
      <c r="A523" s="22"/>
      <c r="B523" s="24"/>
      <c r="C523" s="24"/>
      <c r="D523" s="24"/>
      <c r="E523" s="22"/>
      <c r="F523" s="25"/>
      <c r="G523" s="24"/>
      <c r="H523" s="24"/>
    </row>
    <row r="524" customFormat="false" ht="15" hidden="false" customHeight="false" outlineLevel="0" collapsed="false">
      <c r="A524" s="22"/>
      <c r="B524" s="24"/>
      <c r="C524" s="24"/>
      <c r="D524" s="24"/>
      <c r="E524" s="22"/>
      <c r="F524" s="25"/>
      <c r="G524" s="24"/>
      <c r="H524" s="24"/>
    </row>
    <row r="525" customFormat="false" ht="15" hidden="false" customHeight="false" outlineLevel="0" collapsed="false">
      <c r="A525" s="22"/>
      <c r="B525" s="24"/>
      <c r="C525" s="24"/>
      <c r="D525" s="24"/>
      <c r="E525" s="22"/>
      <c r="F525" s="25"/>
      <c r="G525" s="24"/>
      <c r="H525" s="24"/>
    </row>
    <row r="526" customFormat="false" ht="15" hidden="false" customHeight="false" outlineLevel="0" collapsed="false">
      <c r="A526" s="22"/>
      <c r="B526" s="24"/>
      <c r="C526" s="24"/>
      <c r="D526" s="24"/>
      <c r="E526" s="22"/>
      <c r="F526" s="25"/>
      <c r="G526" s="24"/>
      <c r="H526" s="24"/>
    </row>
    <row r="527" customFormat="false" ht="15" hidden="false" customHeight="false" outlineLevel="0" collapsed="false">
      <c r="A527" s="22"/>
      <c r="B527" s="24"/>
      <c r="C527" s="24"/>
      <c r="D527" s="24"/>
      <c r="E527" s="22"/>
      <c r="F527" s="25"/>
      <c r="G527" s="24"/>
      <c r="H527" s="24"/>
    </row>
    <row r="528" customFormat="false" ht="15" hidden="false" customHeight="false" outlineLevel="0" collapsed="false">
      <c r="A528" s="22"/>
      <c r="B528" s="24"/>
      <c r="C528" s="24"/>
      <c r="D528" s="24"/>
      <c r="E528" s="22"/>
      <c r="F528" s="25"/>
      <c r="G528" s="24"/>
      <c r="H528" s="24"/>
    </row>
    <row r="529" customFormat="false" ht="15" hidden="false" customHeight="false" outlineLevel="0" collapsed="false">
      <c r="A529" s="22"/>
      <c r="B529" s="24"/>
      <c r="C529" s="24"/>
      <c r="D529" s="24"/>
      <c r="E529" s="22"/>
      <c r="F529" s="25"/>
      <c r="G529" s="24"/>
      <c r="H529" s="24"/>
    </row>
    <row r="530" customFormat="false" ht="15" hidden="false" customHeight="false" outlineLevel="0" collapsed="false">
      <c r="A530" s="22"/>
      <c r="B530" s="24"/>
      <c r="C530" s="24"/>
      <c r="D530" s="24"/>
      <c r="E530" s="22"/>
      <c r="F530" s="25"/>
      <c r="G530" s="24"/>
      <c r="H530" s="24"/>
    </row>
    <row r="531" customFormat="false" ht="15" hidden="false" customHeight="false" outlineLevel="0" collapsed="false">
      <c r="A531" s="22"/>
      <c r="B531" s="24"/>
      <c r="C531" s="24"/>
      <c r="D531" s="24"/>
      <c r="E531" s="22"/>
      <c r="F531" s="25"/>
      <c r="G531" s="24"/>
      <c r="H531" s="24"/>
    </row>
    <row r="532" customFormat="false" ht="15" hidden="false" customHeight="false" outlineLevel="0" collapsed="false">
      <c r="A532" s="22"/>
      <c r="B532" s="24"/>
      <c r="C532" s="24"/>
      <c r="D532" s="24"/>
      <c r="E532" s="22"/>
      <c r="F532" s="25"/>
      <c r="G532" s="24"/>
      <c r="H532" s="24"/>
    </row>
    <row r="533" customFormat="false" ht="15" hidden="false" customHeight="false" outlineLevel="0" collapsed="false">
      <c r="A533" s="22"/>
      <c r="B533" s="24"/>
      <c r="C533" s="24"/>
      <c r="D533" s="24"/>
      <c r="E533" s="22"/>
      <c r="F533" s="25"/>
      <c r="G533" s="24"/>
      <c r="H533" s="24"/>
    </row>
    <row r="534" customFormat="false" ht="15" hidden="false" customHeight="false" outlineLevel="0" collapsed="false">
      <c r="A534" s="22"/>
      <c r="B534" s="24"/>
      <c r="C534" s="24"/>
      <c r="D534" s="24"/>
      <c r="E534" s="22"/>
      <c r="F534" s="25"/>
      <c r="G534" s="24"/>
      <c r="H534" s="24"/>
    </row>
    <row r="535" customFormat="false" ht="15" hidden="false" customHeight="false" outlineLevel="0" collapsed="false">
      <c r="A535" s="22"/>
      <c r="B535" s="24"/>
      <c r="C535" s="24"/>
      <c r="D535" s="24"/>
      <c r="E535" s="22"/>
      <c r="F535" s="25"/>
      <c r="G535" s="24"/>
      <c r="H535" s="24"/>
    </row>
    <row r="536" customFormat="false" ht="15" hidden="false" customHeight="false" outlineLevel="0" collapsed="false">
      <c r="A536" s="22"/>
      <c r="B536" s="24"/>
      <c r="C536" s="24"/>
      <c r="D536" s="24"/>
      <c r="E536" s="22"/>
      <c r="F536" s="25"/>
      <c r="G536" s="24"/>
      <c r="H536" s="24"/>
    </row>
    <row r="537" customFormat="false" ht="15" hidden="false" customHeight="false" outlineLevel="0" collapsed="false">
      <c r="A537" s="22"/>
      <c r="B537" s="24"/>
      <c r="C537" s="24"/>
      <c r="D537" s="24"/>
      <c r="E537" s="22"/>
      <c r="F537" s="25"/>
      <c r="G537" s="24"/>
      <c r="H537" s="24"/>
    </row>
    <row r="538" customFormat="false" ht="15" hidden="false" customHeight="false" outlineLevel="0" collapsed="false">
      <c r="A538" s="22"/>
      <c r="B538" s="24"/>
      <c r="C538" s="24"/>
      <c r="D538" s="24"/>
      <c r="E538" s="22"/>
      <c r="F538" s="25"/>
      <c r="G538" s="24"/>
      <c r="H538" s="24"/>
    </row>
    <row r="539" customFormat="false" ht="15" hidden="false" customHeight="false" outlineLevel="0" collapsed="false">
      <c r="A539" s="22"/>
      <c r="B539" s="24"/>
      <c r="C539" s="24"/>
      <c r="D539" s="24"/>
      <c r="E539" s="22"/>
      <c r="F539" s="25"/>
      <c r="G539" s="24"/>
      <c r="H539" s="24"/>
    </row>
    <row r="540" customFormat="false" ht="15" hidden="false" customHeight="false" outlineLevel="0" collapsed="false">
      <c r="A540" s="22"/>
      <c r="B540" s="24"/>
      <c r="C540" s="24"/>
      <c r="D540" s="24"/>
      <c r="E540" s="22"/>
      <c r="F540" s="25"/>
      <c r="G540" s="24"/>
      <c r="H540" s="24"/>
    </row>
    <row r="541" customFormat="false" ht="15" hidden="false" customHeight="false" outlineLevel="0" collapsed="false">
      <c r="A541" s="22"/>
      <c r="B541" s="24"/>
      <c r="C541" s="24"/>
      <c r="D541" s="24"/>
      <c r="E541" s="22"/>
      <c r="F541" s="25"/>
      <c r="G541" s="24"/>
      <c r="H541" s="24"/>
    </row>
    <row r="542" customFormat="false" ht="15" hidden="false" customHeight="false" outlineLevel="0" collapsed="false">
      <c r="A542" s="22"/>
      <c r="B542" s="24"/>
      <c r="C542" s="24"/>
      <c r="D542" s="24"/>
      <c r="E542" s="22"/>
      <c r="F542" s="25"/>
      <c r="G542" s="24"/>
      <c r="H542" s="24"/>
    </row>
    <row r="543" customFormat="false" ht="15" hidden="false" customHeight="false" outlineLevel="0" collapsed="false">
      <c r="A543" s="22"/>
      <c r="B543" s="24"/>
      <c r="C543" s="24"/>
      <c r="D543" s="24"/>
      <c r="E543" s="22"/>
      <c r="F543" s="25"/>
      <c r="G543" s="24"/>
      <c r="H543" s="24"/>
    </row>
    <row r="544" customFormat="false" ht="15" hidden="false" customHeight="false" outlineLevel="0" collapsed="false">
      <c r="A544" s="22"/>
      <c r="B544" s="24"/>
      <c r="C544" s="24"/>
      <c r="D544" s="24"/>
      <c r="E544" s="22"/>
      <c r="F544" s="25"/>
      <c r="G544" s="24"/>
      <c r="H544" s="24"/>
    </row>
    <row r="545" customFormat="false" ht="15" hidden="false" customHeight="false" outlineLevel="0" collapsed="false">
      <c r="A545" s="22"/>
      <c r="B545" s="24"/>
      <c r="C545" s="24"/>
      <c r="D545" s="24"/>
      <c r="E545" s="22"/>
      <c r="F545" s="25"/>
      <c r="G545" s="24"/>
      <c r="H545" s="24"/>
    </row>
    <row r="546" customFormat="false" ht="15" hidden="false" customHeight="false" outlineLevel="0" collapsed="false">
      <c r="A546" s="22"/>
      <c r="B546" s="24"/>
      <c r="C546" s="24"/>
      <c r="D546" s="24"/>
      <c r="E546" s="22"/>
      <c r="F546" s="25"/>
      <c r="G546" s="24"/>
      <c r="H546" s="24"/>
    </row>
    <row r="547" customFormat="false" ht="15" hidden="false" customHeight="false" outlineLevel="0" collapsed="false">
      <c r="A547" s="22"/>
      <c r="B547" s="24"/>
      <c r="C547" s="24"/>
      <c r="D547" s="24"/>
      <c r="E547" s="22"/>
      <c r="F547" s="25"/>
      <c r="G547" s="24"/>
      <c r="H547" s="24"/>
    </row>
    <row r="548" customFormat="false" ht="15" hidden="false" customHeight="false" outlineLevel="0" collapsed="false">
      <c r="A548" s="22"/>
      <c r="B548" s="24"/>
      <c r="C548" s="24"/>
      <c r="D548" s="24"/>
      <c r="E548" s="22"/>
      <c r="F548" s="25"/>
      <c r="G548" s="24"/>
      <c r="H548" s="24"/>
    </row>
    <row r="549" customFormat="false" ht="15" hidden="false" customHeight="false" outlineLevel="0" collapsed="false">
      <c r="A549" s="22"/>
      <c r="B549" s="24"/>
      <c r="C549" s="24"/>
      <c r="D549" s="24"/>
      <c r="E549" s="22"/>
      <c r="F549" s="25"/>
      <c r="G549" s="24"/>
      <c r="H549" s="24"/>
    </row>
    <row r="550" customFormat="false" ht="15" hidden="false" customHeight="false" outlineLevel="0" collapsed="false">
      <c r="A550" s="22"/>
      <c r="B550" s="24"/>
      <c r="C550" s="24"/>
      <c r="D550" s="24"/>
      <c r="E550" s="22"/>
      <c r="F550" s="25"/>
      <c r="G550" s="24"/>
      <c r="H550" s="24"/>
    </row>
    <row r="551" customFormat="false" ht="15" hidden="false" customHeight="false" outlineLevel="0" collapsed="false">
      <c r="A551" s="22"/>
      <c r="B551" s="24"/>
      <c r="C551" s="24"/>
      <c r="D551" s="24"/>
      <c r="E551" s="22"/>
      <c r="F551" s="25"/>
      <c r="G551" s="24"/>
      <c r="H551" s="24"/>
    </row>
    <row r="552" customFormat="false" ht="15" hidden="false" customHeight="false" outlineLevel="0" collapsed="false">
      <c r="A552" s="22"/>
      <c r="B552" s="24"/>
      <c r="C552" s="24"/>
      <c r="D552" s="24"/>
      <c r="E552" s="22"/>
      <c r="F552" s="25"/>
      <c r="G552" s="24"/>
      <c r="H552" s="24"/>
    </row>
    <row r="553" customFormat="false" ht="15" hidden="false" customHeight="false" outlineLevel="0" collapsed="false">
      <c r="A553" s="22"/>
      <c r="B553" s="24"/>
      <c r="C553" s="24"/>
      <c r="D553" s="24"/>
      <c r="E553" s="22"/>
      <c r="F553" s="25"/>
      <c r="G553" s="24"/>
      <c r="H553" s="24"/>
    </row>
    <row r="554" customFormat="false" ht="15" hidden="false" customHeight="false" outlineLevel="0" collapsed="false">
      <c r="A554" s="22"/>
      <c r="B554" s="24"/>
      <c r="C554" s="24"/>
      <c r="D554" s="24"/>
      <c r="E554" s="22"/>
      <c r="F554" s="25"/>
      <c r="G554" s="24"/>
      <c r="H554" s="24"/>
    </row>
    <row r="555" customFormat="false" ht="15" hidden="false" customHeight="false" outlineLevel="0" collapsed="false">
      <c r="A555" s="22"/>
      <c r="B555" s="24"/>
      <c r="C555" s="24"/>
      <c r="D555" s="24"/>
      <c r="E555" s="22"/>
      <c r="F555" s="25"/>
      <c r="G555" s="24"/>
      <c r="H555" s="24"/>
    </row>
    <row r="556" customFormat="false" ht="15" hidden="false" customHeight="false" outlineLevel="0" collapsed="false">
      <c r="A556" s="22"/>
      <c r="B556" s="24"/>
      <c r="C556" s="24"/>
      <c r="D556" s="24"/>
      <c r="E556" s="22"/>
      <c r="F556" s="25"/>
      <c r="G556" s="24"/>
      <c r="H556" s="24"/>
    </row>
    <row r="557" customFormat="false" ht="15" hidden="false" customHeight="false" outlineLevel="0" collapsed="false">
      <c r="A557" s="22"/>
      <c r="B557" s="24"/>
      <c r="C557" s="24"/>
      <c r="D557" s="24"/>
      <c r="E557" s="22"/>
      <c r="F557" s="25"/>
      <c r="G557" s="24"/>
      <c r="H557" s="24"/>
    </row>
    <row r="558" customFormat="false" ht="15" hidden="false" customHeight="false" outlineLevel="0" collapsed="false">
      <c r="A558" s="22"/>
      <c r="B558" s="24"/>
      <c r="C558" s="24"/>
      <c r="D558" s="24"/>
      <c r="E558" s="22"/>
      <c r="F558" s="25"/>
      <c r="G558" s="24"/>
      <c r="H558" s="24"/>
    </row>
    <row r="559" customFormat="false" ht="15" hidden="false" customHeight="false" outlineLevel="0" collapsed="false">
      <c r="A559" s="22"/>
      <c r="B559" s="24"/>
      <c r="C559" s="24"/>
      <c r="D559" s="24"/>
      <c r="E559" s="22"/>
      <c r="F559" s="25"/>
      <c r="G559" s="24"/>
      <c r="H559" s="24"/>
    </row>
    <row r="560" customFormat="false" ht="15" hidden="false" customHeight="false" outlineLevel="0" collapsed="false">
      <c r="A560" s="22"/>
      <c r="B560" s="24"/>
      <c r="C560" s="24"/>
      <c r="D560" s="24"/>
      <c r="E560" s="22"/>
      <c r="F560" s="25"/>
      <c r="G560" s="24"/>
      <c r="H560" s="24"/>
    </row>
    <row r="561" customFormat="false" ht="15" hidden="false" customHeight="false" outlineLevel="0" collapsed="false">
      <c r="A561" s="22"/>
      <c r="B561" s="24"/>
      <c r="C561" s="24"/>
      <c r="D561" s="24"/>
      <c r="E561" s="22"/>
      <c r="F561" s="25"/>
      <c r="G561" s="24"/>
      <c r="H561" s="24"/>
    </row>
    <row r="562" customFormat="false" ht="15" hidden="false" customHeight="false" outlineLevel="0" collapsed="false">
      <c r="A562" s="22"/>
      <c r="B562" s="24"/>
      <c r="C562" s="24"/>
      <c r="D562" s="24"/>
      <c r="E562" s="22"/>
      <c r="F562" s="25"/>
      <c r="G562" s="24"/>
      <c r="H562" s="24"/>
    </row>
    <row r="563" customFormat="false" ht="15" hidden="false" customHeight="false" outlineLevel="0" collapsed="false">
      <c r="A563" s="22"/>
      <c r="B563" s="24"/>
      <c r="C563" s="24"/>
      <c r="D563" s="24"/>
      <c r="E563" s="22"/>
      <c r="F563" s="25"/>
      <c r="G563" s="24"/>
      <c r="H563" s="24"/>
    </row>
    <row r="564" customFormat="false" ht="15" hidden="false" customHeight="false" outlineLevel="0" collapsed="false">
      <c r="A564" s="22"/>
      <c r="B564" s="24"/>
      <c r="C564" s="24"/>
      <c r="D564" s="24"/>
      <c r="E564" s="22"/>
      <c r="F564" s="25"/>
      <c r="G564" s="24"/>
      <c r="H564" s="24"/>
    </row>
    <row r="565" customFormat="false" ht="15" hidden="false" customHeight="false" outlineLevel="0" collapsed="false">
      <c r="A565" s="22"/>
      <c r="B565" s="24"/>
      <c r="C565" s="24"/>
      <c r="D565" s="24"/>
      <c r="E565" s="22"/>
      <c r="F565" s="25"/>
      <c r="G565" s="24"/>
      <c r="H565" s="24"/>
    </row>
    <row r="566" customFormat="false" ht="15" hidden="false" customHeight="false" outlineLevel="0" collapsed="false">
      <c r="A566" s="22"/>
      <c r="B566" s="24"/>
      <c r="C566" s="24"/>
      <c r="D566" s="24"/>
      <c r="E566" s="22"/>
      <c r="F566" s="25"/>
      <c r="G566" s="24"/>
      <c r="H566" s="24"/>
    </row>
    <row r="567" customFormat="false" ht="15" hidden="false" customHeight="false" outlineLevel="0" collapsed="false">
      <c r="A567" s="22"/>
      <c r="B567" s="24"/>
      <c r="C567" s="24"/>
      <c r="D567" s="24"/>
      <c r="E567" s="22"/>
      <c r="F567" s="25"/>
      <c r="G567" s="24"/>
      <c r="H567" s="24"/>
    </row>
    <row r="568" customFormat="false" ht="15" hidden="false" customHeight="false" outlineLevel="0" collapsed="false">
      <c r="A568" s="22"/>
      <c r="B568" s="24"/>
      <c r="C568" s="24"/>
      <c r="D568" s="24"/>
      <c r="E568" s="22"/>
      <c r="F568" s="25"/>
      <c r="G568" s="24"/>
      <c r="H568" s="24"/>
    </row>
    <row r="569" customFormat="false" ht="15" hidden="false" customHeight="false" outlineLevel="0" collapsed="false">
      <c r="A569" s="22"/>
      <c r="B569" s="24"/>
      <c r="C569" s="24"/>
      <c r="D569" s="24"/>
      <c r="E569" s="22"/>
      <c r="F569" s="25"/>
      <c r="G569" s="24"/>
      <c r="H569" s="24"/>
    </row>
    <row r="570" customFormat="false" ht="15" hidden="false" customHeight="false" outlineLevel="0" collapsed="false">
      <c r="A570" s="22"/>
      <c r="B570" s="24"/>
      <c r="C570" s="24"/>
      <c r="D570" s="24"/>
      <c r="E570" s="22"/>
      <c r="F570" s="25"/>
      <c r="G570" s="24"/>
      <c r="H570" s="24"/>
    </row>
    <row r="571" customFormat="false" ht="15" hidden="false" customHeight="false" outlineLevel="0" collapsed="false">
      <c r="A571" s="22"/>
      <c r="B571" s="24"/>
      <c r="C571" s="24"/>
      <c r="D571" s="24"/>
      <c r="E571" s="22"/>
      <c r="F571" s="25"/>
      <c r="G571" s="24"/>
      <c r="H571" s="24"/>
    </row>
    <row r="572" customFormat="false" ht="15" hidden="false" customHeight="false" outlineLevel="0" collapsed="false">
      <c r="A572" s="22"/>
      <c r="B572" s="24"/>
      <c r="C572" s="24"/>
      <c r="D572" s="24"/>
      <c r="E572" s="22"/>
      <c r="F572" s="25"/>
      <c r="G572" s="24"/>
      <c r="H572" s="24"/>
    </row>
    <row r="573" customFormat="false" ht="15" hidden="false" customHeight="false" outlineLevel="0" collapsed="false">
      <c r="A573" s="22"/>
      <c r="B573" s="24"/>
      <c r="C573" s="24"/>
      <c r="D573" s="24"/>
      <c r="E573" s="22"/>
      <c r="F573" s="25"/>
      <c r="G573" s="24"/>
      <c r="H573" s="24"/>
    </row>
    <row r="574" customFormat="false" ht="15" hidden="false" customHeight="false" outlineLevel="0" collapsed="false">
      <c r="A574" s="22"/>
      <c r="B574" s="24"/>
      <c r="C574" s="24"/>
      <c r="D574" s="24"/>
      <c r="E574" s="22"/>
      <c r="F574" s="25"/>
      <c r="G574" s="24"/>
      <c r="H574" s="24"/>
    </row>
    <row r="575" customFormat="false" ht="15" hidden="false" customHeight="false" outlineLevel="0" collapsed="false">
      <c r="A575" s="22"/>
      <c r="B575" s="24"/>
      <c r="C575" s="24"/>
      <c r="D575" s="24"/>
      <c r="E575" s="22"/>
      <c r="F575" s="25"/>
      <c r="G575" s="24"/>
      <c r="H575" s="24"/>
    </row>
    <row r="576" customFormat="false" ht="15" hidden="false" customHeight="false" outlineLevel="0" collapsed="false">
      <c r="A576" s="22"/>
      <c r="B576" s="24"/>
      <c r="C576" s="24"/>
      <c r="D576" s="24"/>
      <c r="E576" s="22"/>
      <c r="F576" s="25"/>
      <c r="G576" s="24"/>
      <c r="H576" s="24"/>
    </row>
    <row r="577" customFormat="false" ht="15" hidden="false" customHeight="false" outlineLevel="0" collapsed="false">
      <c r="A577" s="22"/>
      <c r="B577" s="24"/>
      <c r="C577" s="24"/>
      <c r="D577" s="24"/>
      <c r="E577" s="22"/>
      <c r="F577" s="25"/>
      <c r="G577" s="24"/>
      <c r="H577" s="24"/>
    </row>
    <row r="578" customFormat="false" ht="15" hidden="false" customHeight="false" outlineLevel="0" collapsed="false">
      <c r="A578" s="22"/>
      <c r="B578" s="24"/>
      <c r="C578" s="24"/>
      <c r="D578" s="24"/>
      <c r="E578" s="22"/>
      <c r="F578" s="25"/>
      <c r="G578" s="24"/>
      <c r="H578" s="24"/>
    </row>
    <row r="579" customFormat="false" ht="15" hidden="false" customHeight="false" outlineLevel="0" collapsed="false">
      <c r="A579" s="22"/>
      <c r="B579" s="24"/>
      <c r="C579" s="24"/>
      <c r="D579" s="24"/>
      <c r="E579" s="22"/>
      <c r="F579" s="25"/>
      <c r="G579" s="24"/>
      <c r="H579" s="24"/>
    </row>
    <row r="580" customFormat="false" ht="15" hidden="false" customHeight="false" outlineLevel="0" collapsed="false">
      <c r="A580" s="22"/>
      <c r="B580" s="24"/>
      <c r="C580" s="24"/>
      <c r="D580" s="24"/>
      <c r="E580" s="22"/>
      <c r="F580" s="25"/>
      <c r="G580" s="24"/>
      <c r="H580" s="24"/>
    </row>
    <row r="581" customFormat="false" ht="15" hidden="false" customHeight="false" outlineLevel="0" collapsed="false">
      <c r="A581" s="22"/>
      <c r="B581" s="24"/>
      <c r="C581" s="24"/>
      <c r="D581" s="24"/>
      <c r="E581" s="22"/>
      <c r="F581" s="25"/>
      <c r="G581" s="24"/>
      <c r="H581" s="24"/>
    </row>
    <row r="582" customFormat="false" ht="15" hidden="false" customHeight="false" outlineLevel="0" collapsed="false">
      <c r="A582" s="22"/>
      <c r="B582" s="24"/>
      <c r="C582" s="24"/>
      <c r="D582" s="24"/>
      <c r="E582" s="22"/>
      <c r="F582" s="25"/>
      <c r="G582" s="24"/>
      <c r="H582" s="24"/>
    </row>
    <row r="583" customFormat="false" ht="15" hidden="false" customHeight="false" outlineLevel="0" collapsed="false">
      <c r="A583" s="22"/>
      <c r="B583" s="24"/>
      <c r="C583" s="24"/>
      <c r="D583" s="24"/>
      <c r="E583" s="22"/>
      <c r="F583" s="25"/>
      <c r="G583" s="24"/>
      <c r="H583" s="24"/>
    </row>
    <row r="584" customFormat="false" ht="15" hidden="false" customHeight="false" outlineLevel="0" collapsed="false">
      <c r="A584" s="22"/>
      <c r="B584" s="24"/>
      <c r="C584" s="24"/>
      <c r="D584" s="24"/>
      <c r="E584" s="22"/>
      <c r="F584" s="25"/>
      <c r="G584" s="24"/>
      <c r="H584" s="24"/>
    </row>
    <row r="585" customFormat="false" ht="15" hidden="false" customHeight="false" outlineLevel="0" collapsed="false">
      <c r="A585" s="22"/>
      <c r="B585" s="24"/>
      <c r="C585" s="24"/>
      <c r="D585" s="24"/>
      <c r="E585" s="22"/>
      <c r="F585" s="25"/>
      <c r="G585" s="24"/>
      <c r="H585" s="24"/>
    </row>
    <row r="586" customFormat="false" ht="15" hidden="false" customHeight="false" outlineLevel="0" collapsed="false">
      <c r="A586" s="22"/>
      <c r="B586" s="24"/>
      <c r="C586" s="24"/>
      <c r="D586" s="24"/>
      <c r="E586" s="22"/>
      <c r="F586" s="25"/>
      <c r="G586" s="24"/>
      <c r="H586" s="24"/>
    </row>
    <row r="587" customFormat="false" ht="15" hidden="false" customHeight="false" outlineLevel="0" collapsed="false">
      <c r="A587" s="22"/>
      <c r="B587" s="24"/>
      <c r="C587" s="24"/>
      <c r="D587" s="24"/>
      <c r="E587" s="22"/>
      <c r="F587" s="25"/>
      <c r="G587" s="24"/>
      <c r="H587" s="24"/>
    </row>
    <row r="588" customFormat="false" ht="15" hidden="false" customHeight="false" outlineLevel="0" collapsed="false">
      <c r="A588" s="22"/>
      <c r="B588" s="24"/>
      <c r="C588" s="24"/>
      <c r="D588" s="24"/>
      <c r="E588" s="22"/>
      <c r="F588" s="25"/>
      <c r="G588" s="24"/>
      <c r="H588" s="24"/>
    </row>
    <row r="589" customFormat="false" ht="15" hidden="false" customHeight="false" outlineLevel="0" collapsed="false">
      <c r="A589" s="22"/>
      <c r="B589" s="24"/>
      <c r="C589" s="24"/>
      <c r="D589" s="24"/>
      <c r="E589" s="22"/>
      <c r="F589" s="25"/>
      <c r="G589" s="24"/>
      <c r="H589" s="24"/>
    </row>
    <row r="590" customFormat="false" ht="15" hidden="false" customHeight="false" outlineLevel="0" collapsed="false">
      <c r="A590" s="22"/>
      <c r="B590" s="24"/>
      <c r="C590" s="24"/>
      <c r="D590" s="24"/>
      <c r="E590" s="22"/>
      <c r="F590" s="25"/>
      <c r="G590" s="24"/>
      <c r="H590" s="24"/>
    </row>
    <row r="591" customFormat="false" ht="15" hidden="false" customHeight="false" outlineLevel="0" collapsed="false">
      <c r="A591" s="22"/>
      <c r="B591" s="24"/>
      <c r="C591" s="24"/>
      <c r="D591" s="24"/>
      <c r="E591" s="22"/>
      <c r="F591" s="25"/>
      <c r="G591" s="24"/>
      <c r="H591" s="24"/>
    </row>
    <row r="592" customFormat="false" ht="15" hidden="false" customHeight="false" outlineLevel="0" collapsed="false">
      <c r="A592" s="22"/>
      <c r="B592" s="24"/>
      <c r="C592" s="24"/>
      <c r="D592" s="24"/>
      <c r="E592" s="22"/>
      <c r="F592" s="25"/>
      <c r="G592" s="24"/>
      <c r="H592" s="24"/>
    </row>
    <row r="593" customFormat="false" ht="15" hidden="false" customHeight="false" outlineLevel="0" collapsed="false">
      <c r="A593" s="22"/>
      <c r="B593" s="24"/>
      <c r="C593" s="24"/>
      <c r="D593" s="24"/>
      <c r="E593" s="22"/>
      <c r="F593" s="25"/>
      <c r="G593" s="24"/>
      <c r="H593" s="24"/>
    </row>
    <row r="594" customFormat="false" ht="15" hidden="false" customHeight="false" outlineLevel="0" collapsed="false">
      <c r="A594" s="22"/>
      <c r="B594" s="24"/>
      <c r="C594" s="24"/>
      <c r="D594" s="24"/>
      <c r="E594" s="22"/>
      <c r="F594" s="25"/>
      <c r="G594" s="24"/>
      <c r="H594" s="24"/>
    </row>
    <row r="595" customFormat="false" ht="15" hidden="false" customHeight="false" outlineLevel="0" collapsed="false">
      <c r="A595" s="22"/>
      <c r="B595" s="24"/>
      <c r="C595" s="24"/>
      <c r="D595" s="24"/>
      <c r="E595" s="22"/>
      <c r="F595" s="25"/>
      <c r="G595" s="24"/>
      <c r="H595" s="24"/>
    </row>
    <row r="596" customFormat="false" ht="15" hidden="false" customHeight="false" outlineLevel="0" collapsed="false">
      <c r="A596" s="22"/>
      <c r="B596" s="24"/>
      <c r="C596" s="24"/>
      <c r="D596" s="24"/>
      <c r="E596" s="22"/>
      <c r="F596" s="25"/>
      <c r="G596" s="24"/>
      <c r="H596" s="24"/>
    </row>
    <row r="597" customFormat="false" ht="15" hidden="false" customHeight="false" outlineLevel="0" collapsed="false">
      <c r="A597" s="22"/>
      <c r="B597" s="24"/>
      <c r="C597" s="24"/>
      <c r="D597" s="24"/>
      <c r="E597" s="22"/>
      <c r="F597" s="25"/>
      <c r="G597" s="24"/>
      <c r="H597" s="24"/>
    </row>
    <row r="598" customFormat="false" ht="15" hidden="false" customHeight="false" outlineLevel="0" collapsed="false">
      <c r="A598" s="22"/>
      <c r="B598" s="24"/>
      <c r="C598" s="24"/>
      <c r="D598" s="24"/>
      <c r="E598" s="22"/>
      <c r="F598" s="25"/>
      <c r="G598" s="24"/>
      <c r="H598" s="24"/>
    </row>
    <row r="599" customFormat="false" ht="15" hidden="false" customHeight="false" outlineLevel="0" collapsed="false">
      <c r="A599" s="22"/>
      <c r="B599" s="24"/>
      <c r="C599" s="24"/>
      <c r="D599" s="24"/>
      <c r="E599" s="22"/>
      <c r="F599" s="25"/>
      <c r="G599" s="24"/>
      <c r="H599" s="24"/>
    </row>
    <row r="600" customFormat="false" ht="15" hidden="false" customHeight="false" outlineLevel="0" collapsed="false">
      <c r="A600" s="22"/>
      <c r="B600" s="24"/>
      <c r="C600" s="24"/>
      <c r="D600" s="24"/>
      <c r="E600" s="22"/>
      <c r="F600" s="25"/>
      <c r="G600" s="24"/>
      <c r="H600" s="24"/>
    </row>
    <row r="601" customFormat="false" ht="15" hidden="false" customHeight="false" outlineLevel="0" collapsed="false">
      <c r="A601" s="22"/>
      <c r="B601" s="24"/>
      <c r="C601" s="24"/>
      <c r="D601" s="24"/>
      <c r="E601" s="22"/>
      <c r="F601" s="25"/>
      <c r="G601" s="24"/>
      <c r="H601" s="24"/>
    </row>
    <row r="602" customFormat="false" ht="15" hidden="false" customHeight="false" outlineLevel="0" collapsed="false">
      <c r="A602" s="22"/>
      <c r="B602" s="24"/>
      <c r="C602" s="24"/>
      <c r="D602" s="24"/>
      <c r="E602" s="22"/>
      <c r="F602" s="25"/>
      <c r="G602" s="24"/>
      <c r="H602" s="24"/>
    </row>
    <row r="603" customFormat="false" ht="15" hidden="false" customHeight="false" outlineLevel="0" collapsed="false">
      <c r="A603" s="22"/>
      <c r="B603" s="24"/>
      <c r="C603" s="24"/>
      <c r="D603" s="24"/>
      <c r="E603" s="22"/>
      <c r="F603" s="25"/>
      <c r="G603" s="24"/>
      <c r="H603" s="24"/>
    </row>
    <row r="604" customFormat="false" ht="15" hidden="false" customHeight="false" outlineLevel="0" collapsed="false">
      <c r="A604" s="22"/>
      <c r="B604" s="24"/>
      <c r="C604" s="24"/>
      <c r="D604" s="24"/>
      <c r="E604" s="22"/>
      <c r="F604" s="25"/>
      <c r="G604" s="24"/>
      <c r="H604" s="24"/>
    </row>
    <row r="605" customFormat="false" ht="15" hidden="false" customHeight="false" outlineLevel="0" collapsed="false">
      <c r="A605" s="22"/>
      <c r="B605" s="24"/>
      <c r="C605" s="24"/>
      <c r="D605" s="24"/>
      <c r="E605" s="22"/>
      <c r="F605" s="25"/>
      <c r="G605" s="24"/>
      <c r="H605" s="24"/>
    </row>
    <row r="606" customFormat="false" ht="15" hidden="false" customHeight="false" outlineLevel="0" collapsed="false">
      <c r="A606" s="22"/>
      <c r="B606" s="24"/>
      <c r="C606" s="24"/>
      <c r="D606" s="24"/>
      <c r="E606" s="22"/>
      <c r="F606" s="25"/>
      <c r="G606" s="24"/>
      <c r="H606" s="24"/>
    </row>
    <row r="607" customFormat="false" ht="15" hidden="false" customHeight="false" outlineLevel="0" collapsed="false">
      <c r="A607" s="22"/>
      <c r="B607" s="24"/>
      <c r="C607" s="24"/>
      <c r="D607" s="24"/>
      <c r="E607" s="22"/>
      <c r="F607" s="25"/>
      <c r="G607" s="24"/>
      <c r="H607" s="24"/>
    </row>
    <row r="608" customFormat="false" ht="15" hidden="false" customHeight="false" outlineLevel="0" collapsed="false">
      <c r="A608" s="22"/>
      <c r="B608" s="24"/>
      <c r="C608" s="24"/>
      <c r="D608" s="24"/>
      <c r="E608" s="22"/>
      <c r="F608" s="25"/>
      <c r="G608" s="24"/>
      <c r="H608" s="24"/>
    </row>
    <row r="609" customFormat="false" ht="15" hidden="false" customHeight="false" outlineLevel="0" collapsed="false">
      <c r="A609" s="22"/>
      <c r="B609" s="24"/>
      <c r="C609" s="24"/>
      <c r="D609" s="24"/>
      <c r="E609" s="22"/>
      <c r="F609" s="25"/>
      <c r="G609" s="24"/>
      <c r="H609" s="24"/>
    </row>
    <row r="610" customFormat="false" ht="15" hidden="false" customHeight="false" outlineLevel="0" collapsed="false">
      <c r="A610" s="22"/>
      <c r="B610" s="24"/>
      <c r="C610" s="24"/>
      <c r="D610" s="24"/>
      <c r="E610" s="22"/>
      <c r="F610" s="25"/>
      <c r="G610" s="24"/>
      <c r="H610" s="24"/>
    </row>
    <row r="611" customFormat="false" ht="15" hidden="false" customHeight="false" outlineLevel="0" collapsed="false">
      <c r="A611" s="22"/>
      <c r="B611" s="24"/>
      <c r="C611" s="24"/>
      <c r="D611" s="24"/>
      <c r="E611" s="22"/>
      <c r="F611" s="25"/>
      <c r="G611" s="24"/>
      <c r="H611" s="24"/>
    </row>
    <row r="612" customFormat="false" ht="15" hidden="false" customHeight="false" outlineLevel="0" collapsed="false">
      <c r="A612" s="22"/>
      <c r="B612" s="24"/>
      <c r="C612" s="24"/>
      <c r="D612" s="24"/>
      <c r="E612" s="22"/>
      <c r="F612" s="25"/>
      <c r="G612" s="24"/>
      <c r="H612" s="24"/>
    </row>
    <row r="613" customFormat="false" ht="15" hidden="false" customHeight="false" outlineLevel="0" collapsed="false">
      <c r="A613" s="22"/>
      <c r="B613" s="24"/>
      <c r="C613" s="24"/>
      <c r="D613" s="24"/>
      <c r="E613" s="22"/>
      <c r="F613" s="25"/>
      <c r="G613" s="24"/>
      <c r="H613" s="24"/>
    </row>
    <row r="614" customFormat="false" ht="15" hidden="false" customHeight="false" outlineLevel="0" collapsed="false">
      <c r="A614" s="22"/>
      <c r="B614" s="24"/>
      <c r="C614" s="24"/>
      <c r="D614" s="24"/>
      <c r="E614" s="22"/>
      <c r="F614" s="25"/>
      <c r="G614" s="24"/>
      <c r="H614" s="24"/>
    </row>
    <row r="615" customFormat="false" ht="15" hidden="false" customHeight="false" outlineLevel="0" collapsed="false">
      <c r="A615" s="22"/>
      <c r="B615" s="24"/>
      <c r="C615" s="24"/>
      <c r="D615" s="24"/>
      <c r="E615" s="22"/>
      <c r="F615" s="25"/>
      <c r="G615" s="24"/>
      <c r="H615" s="24"/>
    </row>
    <row r="616" customFormat="false" ht="15" hidden="false" customHeight="false" outlineLevel="0" collapsed="false">
      <c r="A616" s="22"/>
      <c r="B616" s="24"/>
      <c r="C616" s="24"/>
      <c r="D616" s="24"/>
      <c r="E616" s="22"/>
      <c r="F616" s="25"/>
      <c r="G616" s="24"/>
      <c r="H616" s="24"/>
    </row>
    <row r="617" customFormat="false" ht="15" hidden="false" customHeight="false" outlineLevel="0" collapsed="false">
      <c r="A617" s="22"/>
      <c r="B617" s="24"/>
      <c r="C617" s="24"/>
      <c r="D617" s="24"/>
      <c r="E617" s="22"/>
      <c r="F617" s="25"/>
      <c r="G617" s="24"/>
      <c r="H617" s="24"/>
    </row>
    <row r="618" customFormat="false" ht="15" hidden="false" customHeight="false" outlineLevel="0" collapsed="false">
      <c r="A618" s="22"/>
      <c r="B618" s="24"/>
      <c r="C618" s="24"/>
      <c r="D618" s="24"/>
      <c r="E618" s="22"/>
      <c r="F618" s="25"/>
      <c r="G618" s="24"/>
      <c r="H618" s="24"/>
    </row>
    <row r="619" customFormat="false" ht="15" hidden="false" customHeight="false" outlineLevel="0" collapsed="false">
      <c r="A619" s="22"/>
      <c r="B619" s="24"/>
      <c r="C619" s="24"/>
      <c r="D619" s="24"/>
      <c r="E619" s="22"/>
      <c r="F619" s="25"/>
      <c r="G619" s="24"/>
      <c r="H619" s="24"/>
    </row>
    <row r="620" customFormat="false" ht="15" hidden="false" customHeight="false" outlineLevel="0" collapsed="false">
      <c r="A620" s="22"/>
      <c r="B620" s="24"/>
      <c r="C620" s="24"/>
      <c r="D620" s="24"/>
      <c r="E620" s="22"/>
      <c r="F620" s="25"/>
      <c r="G620" s="24"/>
      <c r="H620" s="24"/>
    </row>
    <row r="621" customFormat="false" ht="15" hidden="false" customHeight="false" outlineLevel="0" collapsed="false">
      <c r="A621" s="22"/>
      <c r="B621" s="24"/>
      <c r="C621" s="24"/>
      <c r="D621" s="24"/>
      <c r="E621" s="22"/>
      <c r="F621" s="25"/>
      <c r="G621" s="24"/>
      <c r="H621" s="24"/>
    </row>
    <row r="622" customFormat="false" ht="15" hidden="false" customHeight="false" outlineLevel="0" collapsed="false">
      <c r="A622" s="22"/>
      <c r="B622" s="24"/>
      <c r="C622" s="24"/>
      <c r="D622" s="24"/>
      <c r="E622" s="22"/>
      <c r="F622" s="25"/>
      <c r="G622" s="24"/>
      <c r="H622" s="24"/>
    </row>
    <row r="623" customFormat="false" ht="15" hidden="false" customHeight="false" outlineLevel="0" collapsed="false">
      <c r="A623" s="22"/>
      <c r="B623" s="24"/>
      <c r="C623" s="24"/>
      <c r="D623" s="24"/>
      <c r="E623" s="22"/>
      <c r="F623" s="25"/>
      <c r="G623" s="24"/>
      <c r="H623" s="24"/>
    </row>
    <row r="624" customFormat="false" ht="15" hidden="false" customHeight="false" outlineLevel="0" collapsed="false">
      <c r="A624" s="22"/>
      <c r="B624" s="24"/>
      <c r="C624" s="24"/>
      <c r="D624" s="24"/>
      <c r="E624" s="22"/>
      <c r="F624" s="25"/>
      <c r="G624" s="24"/>
      <c r="H624" s="24"/>
    </row>
    <row r="625" customFormat="false" ht="15" hidden="false" customHeight="false" outlineLevel="0" collapsed="false">
      <c r="A625" s="22"/>
      <c r="B625" s="24"/>
      <c r="C625" s="24"/>
      <c r="D625" s="24"/>
      <c r="E625" s="22"/>
      <c r="F625" s="25"/>
      <c r="G625" s="24"/>
      <c r="H625" s="24"/>
    </row>
    <row r="626" customFormat="false" ht="15" hidden="false" customHeight="false" outlineLevel="0" collapsed="false">
      <c r="A626" s="22"/>
      <c r="B626" s="24"/>
      <c r="C626" s="24"/>
      <c r="D626" s="24"/>
      <c r="E626" s="22"/>
      <c r="F626" s="25"/>
      <c r="G626" s="24"/>
      <c r="H626" s="24"/>
    </row>
    <row r="627" customFormat="false" ht="15" hidden="false" customHeight="false" outlineLevel="0" collapsed="false">
      <c r="A627" s="22"/>
      <c r="B627" s="24"/>
      <c r="C627" s="24"/>
      <c r="D627" s="24"/>
      <c r="E627" s="22"/>
      <c r="F627" s="25"/>
      <c r="G627" s="24"/>
      <c r="H627" s="24"/>
    </row>
    <row r="628" customFormat="false" ht="15" hidden="false" customHeight="false" outlineLevel="0" collapsed="false">
      <c r="A628" s="22"/>
      <c r="B628" s="24"/>
      <c r="C628" s="24"/>
      <c r="D628" s="24"/>
      <c r="E628" s="22"/>
      <c r="F628" s="25"/>
      <c r="G628" s="24"/>
      <c r="H628" s="24"/>
    </row>
    <row r="629" customFormat="false" ht="15" hidden="false" customHeight="false" outlineLevel="0" collapsed="false">
      <c r="A629" s="22"/>
      <c r="B629" s="24"/>
      <c r="C629" s="24"/>
      <c r="D629" s="24"/>
      <c r="E629" s="22"/>
      <c r="F629" s="25"/>
      <c r="G629" s="24"/>
      <c r="H629" s="24"/>
    </row>
    <row r="630" customFormat="false" ht="15" hidden="false" customHeight="false" outlineLevel="0" collapsed="false">
      <c r="A630" s="22"/>
      <c r="B630" s="24"/>
      <c r="C630" s="24"/>
      <c r="D630" s="24"/>
      <c r="E630" s="22"/>
      <c r="F630" s="25"/>
      <c r="G630" s="24"/>
      <c r="H630" s="24"/>
    </row>
    <row r="631" customFormat="false" ht="15" hidden="false" customHeight="false" outlineLevel="0" collapsed="false">
      <c r="A631" s="22"/>
      <c r="B631" s="24"/>
      <c r="C631" s="24"/>
      <c r="D631" s="24"/>
      <c r="E631" s="22"/>
      <c r="F631" s="25"/>
      <c r="G631" s="24"/>
      <c r="H631" s="24"/>
    </row>
    <row r="632" customFormat="false" ht="15" hidden="false" customHeight="false" outlineLevel="0" collapsed="false">
      <c r="A632" s="22"/>
      <c r="B632" s="24"/>
      <c r="C632" s="24"/>
      <c r="D632" s="24"/>
      <c r="E632" s="22"/>
      <c r="F632" s="25"/>
      <c r="G632" s="24"/>
      <c r="H632" s="24"/>
    </row>
    <row r="633" customFormat="false" ht="15" hidden="false" customHeight="false" outlineLevel="0" collapsed="false">
      <c r="A633" s="22"/>
      <c r="B633" s="24"/>
      <c r="C633" s="24"/>
      <c r="D633" s="24"/>
      <c r="E633" s="22"/>
      <c r="F633" s="25"/>
      <c r="G633" s="24"/>
      <c r="H633" s="24"/>
    </row>
    <row r="634" customFormat="false" ht="15" hidden="false" customHeight="false" outlineLevel="0" collapsed="false">
      <c r="A634" s="22"/>
      <c r="B634" s="24"/>
      <c r="C634" s="24"/>
      <c r="D634" s="24"/>
      <c r="E634" s="22"/>
      <c r="F634" s="25"/>
      <c r="G634" s="24"/>
      <c r="H634" s="24"/>
    </row>
    <row r="635" customFormat="false" ht="15" hidden="false" customHeight="false" outlineLevel="0" collapsed="false">
      <c r="A635" s="22"/>
      <c r="B635" s="24"/>
      <c r="C635" s="24"/>
      <c r="D635" s="24"/>
      <c r="E635" s="22"/>
      <c r="F635" s="25"/>
      <c r="G635" s="24"/>
      <c r="H635" s="24"/>
    </row>
    <row r="636" customFormat="false" ht="15" hidden="false" customHeight="false" outlineLevel="0" collapsed="false">
      <c r="A636" s="22"/>
      <c r="B636" s="24"/>
      <c r="C636" s="24"/>
      <c r="D636" s="24"/>
      <c r="E636" s="22"/>
      <c r="F636" s="25"/>
      <c r="G636" s="24"/>
      <c r="H636" s="24"/>
    </row>
    <row r="637" customFormat="false" ht="15" hidden="false" customHeight="false" outlineLevel="0" collapsed="false">
      <c r="A637" s="22"/>
      <c r="B637" s="24"/>
      <c r="C637" s="24"/>
      <c r="D637" s="24"/>
      <c r="E637" s="22"/>
      <c r="F637" s="25"/>
      <c r="G637" s="24"/>
      <c r="H637" s="24"/>
    </row>
    <row r="638" customFormat="false" ht="15" hidden="false" customHeight="false" outlineLevel="0" collapsed="false">
      <c r="A638" s="22"/>
      <c r="B638" s="24"/>
      <c r="C638" s="24"/>
      <c r="D638" s="24"/>
      <c r="E638" s="22"/>
      <c r="F638" s="25"/>
      <c r="G638" s="24"/>
      <c r="H638" s="24"/>
    </row>
    <row r="639" customFormat="false" ht="15" hidden="false" customHeight="false" outlineLevel="0" collapsed="false">
      <c r="A639" s="22"/>
      <c r="B639" s="24"/>
      <c r="C639" s="24"/>
      <c r="D639" s="24"/>
      <c r="E639" s="22"/>
      <c r="F639" s="25"/>
      <c r="G639" s="24"/>
      <c r="H639" s="24"/>
    </row>
    <row r="640" customFormat="false" ht="15" hidden="false" customHeight="false" outlineLevel="0" collapsed="false">
      <c r="A640" s="22"/>
      <c r="B640" s="24"/>
      <c r="C640" s="24"/>
      <c r="D640" s="24"/>
      <c r="E640" s="22"/>
      <c r="F640" s="25"/>
      <c r="G640" s="24"/>
      <c r="H640" s="24"/>
    </row>
    <row r="641" customFormat="false" ht="15" hidden="false" customHeight="false" outlineLevel="0" collapsed="false">
      <c r="A641" s="22"/>
      <c r="B641" s="24"/>
      <c r="C641" s="24"/>
      <c r="D641" s="24"/>
      <c r="E641" s="22"/>
      <c r="F641" s="25"/>
      <c r="G641" s="24"/>
      <c r="H641" s="24"/>
    </row>
    <row r="642" customFormat="false" ht="15" hidden="false" customHeight="false" outlineLevel="0" collapsed="false">
      <c r="A642" s="22"/>
      <c r="B642" s="24"/>
      <c r="C642" s="24"/>
      <c r="D642" s="24"/>
      <c r="E642" s="22"/>
      <c r="F642" s="25"/>
      <c r="G642" s="24"/>
      <c r="H642" s="24"/>
    </row>
    <row r="643" customFormat="false" ht="15" hidden="false" customHeight="false" outlineLevel="0" collapsed="false">
      <c r="A643" s="22"/>
      <c r="B643" s="24"/>
      <c r="C643" s="24"/>
      <c r="D643" s="24"/>
      <c r="E643" s="22"/>
      <c r="F643" s="25"/>
      <c r="G643" s="24"/>
      <c r="H643" s="24"/>
    </row>
    <row r="644" customFormat="false" ht="15" hidden="false" customHeight="false" outlineLevel="0" collapsed="false">
      <c r="A644" s="22"/>
      <c r="B644" s="24"/>
      <c r="C644" s="24"/>
      <c r="D644" s="24"/>
      <c r="E644" s="22"/>
      <c r="F644" s="25"/>
      <c r="G644" s="24"/>
      <c r="H644" s="24"/>
    </row>
    <row r="645" customFormat="false" ht="15" hidden="false" customHeight="false" outlineLevel="0" collapsed="false">
      <c r="A645" s="22"/>
      <c r="B645" s="24"/>
      <c r="C645" s="24"/>
      <c r="D645" s="24"/>
      <c r="E645" s="22"/>
      <c r="F645" s="25"/>
      <c r="G645" s="24"/>
      <c r="H645" s="24"/>
    </row>
    <row r="646" customFormat="false" ht="15" hidden="false" customHeight="false" outlineLevel="0" collapsed="false">
      <c r="A646" s="22"/>
      <c r="B646" s="24"/>
      <c r="C646" s="24"/>
      <c r="D646" s="24"/>
      <c r="E646" s="22"/>
      <c r="F646" s="25"/>
      <c r="G646" s="24"/>
      <c r="H646" s="24"/>
    </row>
    <row r="647" customFormat="false" ht="15" hidden="false" customHeight="false" outlineLevel="0" collapsed="false">
      <c r="A647" s="22"/>
      <c r="B647" s="24"/>
      <c r="C647" s="24"/>
      <c r="D647" s="24"/>
      <c r="E647" s="22"/>
      <c r="F647" s="25"/>
      <c r="G647" s="24"/>
      <c r="H647" s="24"/>
    </row>
    <row r="648" customFormat="false" ht="15" hidden="false" customHeight="false" outlineLevel="0" collapsed="false">
      <c r="A648" s="22"/>
      <c r="B648" s="24"/>
      <c r="C648" s="24"/>
      <c r="D648" s="24"/>
      <c r="E648" s="22"/>
      <c r="F648" s="25"/>
      <c r="G648" s="24"/>
      <c r="H648" s="24"/>
    </row>
    <row r="649" customFormat="false" ht="15" hidden="false" customHeight="false" outlineLevel="0" collapsed="false">
      <c r="A649" s="22"/>
      <c r="B649" s="24"/>
      <c r="C649" s="24"/>
      <c r="D649" s="24"/>
      <c r="E649" s="22"/>
      <c r="F649" s="25"/>
      <c r="G649" s="24"/>
      <c r="H649" s="24"/>
    </row>
    <row r="650" customFormat="false" ht="15" hidden="false" customHeight="false" outlineLevel="0" collapsed="false">
      <c r="A650" s="22"/>
      <c r="B650" s="24"/>
      <c r="C650" s="24"/>
      <c r="D650" s="24"/>
      <c r="E650" s="22"/>
      <c r="F650" s="25"/>
      <c r="G650" s="24"/>
      <c r="H650" s="24"/>
    </row>
    <row r="651" customFormat="false" ht="15" hidden="false" customHeight="false" outlineLevel="0" collapsed="false">
      <c r="A651" s="22"/>
      <c r="B651" s="24"/>
      <c r="C651" s="24"/>
      <c r="D651" s="24"/>
      <c r="E651" s="22"/>
      <c r="F651" s="25"/>
      <c r="G651" s="24"/>
      <c r="H651" s="24"/>
    </row>
    <row r="652" customFormat="false" ht="15" hidden="false" customHeight="false" outlineLevel="0" collapsed="false">
      <c r="A652" s="22"/>
      <c r="B652" s="24"/>
      <c r="C652" s="24"/>
      <c r="D652" s="24"/>
      <c r="E652" s="22"/>
      <c r="F652" s="25"/>
      <c r="G652" s="24"/>
      <c r="H652" s="24"/>
    </row>
    <row r="653" customFormat="false" ht="15" hidden="false" customHeight="false" outlineLevel="0" collapsed="false">
      <c r="A653" s="22"/>
      <c r="B653" s="24"/>
      <c r="C653" s="24"/>
      <c r="D653" s="24"/>
      <c r="E653" s="22"/>
      <c r="F653" s="25"/>
      <c r="G653" s="24"/>
      <c r="H653" s="24"/>
    </row>
    <row r="654" customFormat="false" ht="15" hidden="false" customHeight="false" outlineLevel="0" collapsed="false">
      <c r="A654" s="22"/>
      <c r="B654" s="24"/>
      <c r="C654" s="24"/>
      <c r="D654" s="24"/>
      <c r="E654" s="22"/>
      <c r="F654" s="25"/>
      <c r="G654" s="24"/>
      <c r="H654" s="24"/>
    </row>
    <row r="655" customFormat="false" ht="15" hidden="false" customHeight="false" outlineLevel="0" collapsed="false">
      <c r="A655" s="22"/>
      <c r="B655" s="24"/>
      <c r="C655" s="24"/>
      <c r="D655" s="24"/>
      <c r="E655" s="22"/>
      <c r="F655" s="25"/>
      <c r="G655" s="24"/>
      <c r="H655" s="24"/>
    </row>
    <row r="656" customFormat="false" ht="15" hidden="false" customHeight="false" outlineLevel="0" collapsed="false">
      <c r="A656" s="22"/>
      <c r="B656" s="24"/>
      <c r="C656" s="24"/>
      <c r="D656" s="24"/>
      <c r="E656" s="22"/>
      <c r="F656" s="25"/>
      <c r="G656" s="24"/>
      <c r="H656" s="24"/>
    </row>
    <row r="657" customFormat="false" ht="15" hidden="false" customHeight="false" outlineLevel="0" collapsed="false">
      <c r="A657" s="22"/>
      <c r="B657" s="24"/>
      <c r="C657" s="24"/>
      <c r="D657" s="24"/>
      <c r="E657" s="22"/>
      <c r="F657" s="25"/>
      <c r="G657" s="24"/>
      <c r="H657" s="24"/>
    </row>
    <row r="658" customFormat="false" ht="15" hidden="false" customHeight="false" outlineLevel="0" collapsed="false">
      <c r="A658" s="22"/>
      <c r="B658" s="24"/>
      <c r="C658" s="24"/>
      <c r="D658" s="24"/>
      <c r="E658" s="22"/>
      <c r="F658" s="25"/>
      <c r="G658" s="24"/>
      <c r="H658" s="24"/>
    </row>
    <row r="659" customFormat="false" ht="15" hidden="false" customHeight="false" outlineLevel="0" collapsed="false">
      <c r="A659" s="22"/>
      <c r="B659" s="24"/>
      <c r="C659" s="24"/>
      <c r="D659" s="24"/>
      <c r="E659" s="22"/>
      <c r="F659" s="25"/>
      <c r="G659" s="24"/>
      <c r="H659" s="24"/>
    </row>
    <row r="660" customFormat="false" ht="15" hidden="false" customHeight="false" outlineLevel="0" collapsed="false">
      <c r="A660" s="22"/>
      <c r="B660" s="24"/>
      <c r="C660" s="24"/>
      <c r="D660" s="24"/>
      <c r="E660" s="22"/>
      <c r="F660" s="25"/>
      <c r="G660" s="24"/>
      <c r="H660" s="24"/>
    </row>
    <row r="661" customFormat="false" ht="15" hidden="false" customHeight="false" outlineLevel="0" collapsed="false">
      <c r="A661" s="22"/>
      <c r="B661" s="24"/>
      <c r="C661" s="24"/>
      <c r="D661" s="24"/>
      <c r="E661" s="22"/>
      <c r="F661" s="25"/>
      <c r="G661" s="24"/>
      <c r="H661" s="24"/>
    </row>
    <row r="662" customFormat="false" ht="15" hidden="false" customHeight="false" outlineLevel="0" collapsed="false">
      <c r="A662" s="22"/>
      <c r="B662" s="24"/>
      <c r="C662" s="24"/>
      <c r="D662" s="24"/>
      <c r="E662" s="22"/>
      <c r="F662" s="25"/>
      <c r="G662" s="24"/>
      <c r="H662" s="24"/>
    </row>
    <row r="663" customFormat="false" ht="15" hidden="false" customHeight="false" outlineLevel="0" collapsed="false">
      <c r="A663" s="22"/>
      <c r="B663" s="24"/>
      <c r="C663" s="24"/>
      <c r="D663" s="24"/>
      <c r="E663" s="22"/>
      <c r="F663" s="25"/>
      <c r="G663" s="24"/>
      <c r="H663" s="24"/>
    </row>
    <row r="664" customFormat="false" ht="15" hidden="false" customHeight="false" outlineLevel="0" collapsed="false">
      <c r="A664" s="22"/>
      <c r="B664" s="24"/>
      <c r="C664" s="24"/>
      <c r="D664" s="24"/>
      <c r="E664" s="22"/>
      <c r="F664" s="25"/>
      <c r="G664" s="24"/>
      <c r="H664" s="24"/>
    </row>
    <row r="665" customFormat="false" ht="15" hidden="false" customHeight="false" outlineLevel="0" collapsed="false">
      <c r="A665" s="22"/>
      <c r="B665" s="24"/>
      <c r="C665" s="24"/>
      <c r="D665" s="24"/>
      <c r="E665" s="22"/>
      <c r="F665" s="25"/>
      <c r="G665" s="24"/>
      <c r="H665" s="24"/>
    </row>
    <row r="666" customFormat="false" ht="15" hidden="false" customHeight="false" outlineLevel="0" collapsed="false">
      <c r="A666" s="22"/>
      <c r="B666" s="24"/>
      <c r="C666" s="24"/>
      <c r="D666" s="24"/>
      <c r="E666" s="22"/>
      <c r="F666" s="25"/>
      <c r="G666" s="24"/>
      <c r="H666" s="24"/>
    </row>
    <row r="667" customFormat="false" ht="15" hidden="false" customHeight="false" outlineLevel="0" collapsed="false">
      <c r="A667" s="22"/>
      <c r="B667" s="24"/>
      <c r="C667" s="24"/>
      <c r="D667" s="24"/>
      <c r="E667" s="22"/>
      <c r="F667" s="25"/>
      <c r="G667" s="24"/>
      <c r="H667" s="24"/>
    </row>
    <row r="668" customFormat="false" ht="15" hidden="false" customHeight="false" outlineLevel="0" collapsed="false">
      <c r="A668" s="22"/>
      <c r="B668" s="24"/>
      <c r="C668" s="24"/>
      <c r="D668" s="24"/>
      <c r="E668" s="22"/>
      <c r="F668" s="25"/>
      <c r="G668" s="24"/>
      <c r="H668" s="24"/>
    </row>
    <row r="669" customFormat="false" ht="15" hidden="false" customHeight="false" outlineLevel="0" collapsed="false">
      <c r="A669" s="22"/>
      <c r="B669" s="24"/>
      <c r="C669" s="24"/>
      <c r="D669" s="24"/>
      <c r="E669" s="22"/>
      <c r="F669" s="25"/>
      <c r="G669" s="24"/>
      <c r="H669" s="24"/>
    </row>
    <row r="670" customFormat="false" ht="15" hidden="false" customHeight="false" outlineLevel="0" collapsed="false">
      <c r="A670" s="22"/>
      <c r="B670" s="24"/>
      <c r="C670" s="24"/>
      <c r="D670" s="24"/>
      <c r="E670" s="22"/>
      <c r="F670" s="25"/>
      <c r="G670" s="24"/>
      <c r="H670" s="24"/>
    </row>
    <row r="671" customFormat="false" ht="15" hidden="false" customHeight="false" outlineLevel="0" collapsed="false">
      <c r="A671" s="22"/>
      <c r="B671" s="24"/>
      <c r="C671" s="24"/>
      <c r="D671" s="24"/>
      <c r="E671" s="22"/>
      <c r="F671" s="25"/>
      <c r="G671" s="24"/>
      <c r="H671" s="24"/>
    </row>
    <row r="672" customFormat="false" ht="15" hidden="false" customHeight="false" outlineLevel="0" collapsed="false">
      <c r="A672" s="22"/>
      <c r="B672" s="24"/>
      <c r="C672" s="24"/>
      <c r="D672" s="24"/>
      <c r="E672" s="22"/>
      <c r="F672" s="25"/>
      <c r="G672" s="24"/>
      <c r="H672" s="24"/>
    </row>
    <row r="673" customFormat="false" ht="15" hidden="false" customHeight="false" outlineLevel="0" collapsed="false">
      <c r="A673" s="22"/>
      <c r="B673" s="24"/>
      <c r="C673" s="24"/>
      <c r="D673" s="24"/>
      <c r="E673" s="22"/>
      <c r="F673" s="25"/>
      <c r="G673" s="24"/>
      <c r="H673" s="24"/>
    </row>
    <row r="674" customFormat="false" ht="15" hidden="false" customHeight="false" outlineLevel="0" collapsed="false">
      <c r="A674" s="22"/>
      <c r="B674" s="24"/>
      <c r="C674" s="24"/>
      <c r="D674" s="24"/>
      <c r="E674" s="22"/>
      <c r="F674" s="25"/>
      <c r="G674" s="24"/>
      <c r="H674" s="24"/>
    </row>
    <row r="675" customFormat="false" ht="15" hidden="false" customHeight="false" outlineLevel="0" collapsed="false">
      <c r="A675" s="22"/>
      <c r="B675" s="24"/>
      <c r="C675" s="24"/>
      <c r="D675" s="24"/>
      <c r="E675" s="22"/>
      <c r="F675" s="25"/>
      <c r="G675" s="24"/>
      <c r="H675" s="24"/>
    </row>
    <row r="676" customFormat="false" ht="15" hidden="false" customHeight="false" outlineLevel="0" collapsed="false">
      <c r="A676" s="22"/>
      <c r="B676" s="24"/>
      <c r="C676" s="24"/>
      <c r="D676" s="24"/>
      <c r="E676" s="22"/>
      <c r="F676" s="25"/>
      <c r="G676" s="24"/>
      <c r="H676" s="24"/>
    </row>
    <row r="677" customFormat="false" ht="15" hidden="false" customHeight="false" outlineLevel="0" collapsed="false">
      <c r="A677" s="22"/>
      <c r="B677" s="24"/>
      <c r="C677" s="24"/>
      <c r="D677" s="24"/>
      <c r="E677" s="22"/>
      <c r="F677" s="25"/>
      <c r="G677" s="24"/>
      <c r="H677" s="24"/>
    </row>
    <row r="678" customFormat="false" ht="15" hidden="false" customHeight="false" outlineLevel="0" collapsed="false">
      <c r="A678" s="22"/>
      <c r="B678" s="24"/>
      <c r="C678" s="24"/>
      <c r="D678" s="24"/>
      <c r="E678" s="22"/>
      <c r="F678" s="25"/>
      <c r="G678" s="24"/>
      <c r="H678" s="24"/>
    </row>
    <row r="679" customFormat="false" ht="15" hidden="false" customHeight="false" outlineLevel="0" collapsed="false">
      <c r="A679" s="22"/>
      <c r="B679" s="24"/>
      <c r="C679" s="24"/>
      <c r="D679" s="24"/>
      <c r="E679" s="22"/>
      <c r="F679" s="25"/>
      <c r="G679" s="24"/>
      <c r="H679" s="24"/>
    </row>
    <row r="680" customFormat="false" ht="15" hidden="false" customHeight="false" outlineLevel="0" collapsed="false">
      <c r="A680" s="22"/>
      <c r="B680" s="24"/>
      <c r="C680" s="24"/>
      <c r="D680" s="24"/>
      <c r="E680" s="22"/>
      <c r="F680" s="25"/>
      <c r="G680" s="24"/>
      <c r="H680" s="24"/>
    </row>
    <row r="681" customFormat="false" ht="15" hidden="false" customHeight="false" outlineLevel="0" collapsed="false">
      <c r="A681" s="22"/>
      <c r="B681" s="24"/>
      <c r="C681" s="24"/>
      <c r="D681" s="24"/>
      <c r="E681" s="22"/>
      <c r="F681" s="25"/>
      <c r="G681" s="24"/>
      <c r="H681" s="24"/>
    </row>
    <row r="682" customFormat="false" ht="15" hidden="false" customHeight="false" outlineLevel="0" collapsed="false">
      <c r="A682" s="22"/>
      <c r="B682" s="24"/>
      <c r="C682" s="24"/>
      <c r="D682" s="24"/>
      <c r="E682" s="22"/>
      <c r="F682" s="25"/>
      <c r="G682" s="24"/>
      <c r="H682" s="24"/>
    </row>
    <row r="683" customFormat="false" ht="15" hidden="false" customHeight="false" outlineLevel="0" collapsed="false">
      <c r="A683" s="22"/>
      <c r="B683" s="24"/>
      <c r="C683" s="24"/>
      <c r="D683" s="24"/>
      <c r="E683" s="22"/>
      <c r="F683" s="25"/>
      <c r="G683" s="24"/>
      <c r="H683" s="24"/>
    </row>
    <row r="684" customFormat="false" ht="15" hidden="false" customHeight="false" outlineLevel="0" collapsed="false">
      <c r="A684" s="22"/>
      <c r="B684" s="24"/>
      <c r="C684" s="24"/>
      <c r="D684" s="24"/>
      <c r="E684" s="22"/>
      <c r="F684" s="25"/>
      <c r="G684" s="24"/>
      <c r="H684" s="24"/>
    </row>
    <row r="685" customFormat="false" ht="15" hidden="false" customHeight="false" outlineLevel="0" collapsed="false">
      <c r="A685" s="22"/>
      <c r="B685" s="24"/>
      <c r="C685" s="24"/>
      <c r="D685" s="24"/>
      <c r="E685" s="22"/>
      <c r="F685" s="25"/>
      <c r="G685" s="24"/>
      <c r="H685" s="24"/>
    </row>
    <row r="686" customFormat="false" ht="15" hidden="false" customHeight="false" outlineLevel="0" collapsed="false">
      <c r="A686" s="22"/>
      <c r="B686" s="24"/>
      <c r="C686" s="24"/>
      <c r="D686" s="24"/>
      <c r="E686" s="22"/>
      <c r="F686" s="25"/>
      <c r="G686" s="24"/>
      <c r="H686" s="24"/>
    </row>
    <row r="687" customFormat="false" ht="15" hidden="false" customHeight="false" outlineLevel="0" collapsed="false">
      <c r="A687" s="22"/>
      <c r="B687" s="24"/>
      <c r="C687" s="24"/>
      <c r="D687" s="24"/>
      <c r="E687" s="22"/>
      <c r="F687" s="25"/>
      <c r="G687" s="24"/>
      <c r="H687" s="24"/>
    </row>
    <row r="688" customFormat="false" ht="15" hidden="false" customHeight="false" outlineLevel="0" collapsed="false">
      <c r="A688" s="22"/>
      <c r="B688" s="24"/>
      <c r="C688" s="24"/>
      <c r="D688" s="24"/>
      <c r="E688" s="22"/>
      <c r="F688" s="25"/>
      <c r="G688" s="24"/>
      <c r="H688" s="24"/>
    </row>
    <row r="689" customFormat="false" ht="15" hidden="false" customHeight="false" outlineLevel="0" collapsed="false">
      <c r="A689" s="22"/>
      <c r="B689" s="24"/>
      <c r="C689" s="24"/>
      <c r="D689" s="24"/>
      <c r="E689" s="22"/>
      <c r="F689" s="25"/>
      <c r="G689" s="24"/>
      <c r="H689" s="24"/>
    </row>
    <row r="690" customFormat="false" ht="15" hidden="false" customHeight="false" outlineLevel="0" collapsed="false">
      <c r="A690" s="22"/>
      <c r="B690" s="24"/>
      <c r="C690" s="24"/>
      <c r="D690" s="24"/>
      <c r="E690" s="22"/>
      <c r="F690" s="25"/>
      <c r="G690" s="24"/>
      <c r="H690" s="24"/>
    </row>
    <row r="691" customFormat="false" ht="15" hidden="false" customHeight="false" outlineLevel="0" collapsed="false">
      <c r="A691" s="22"/>
      <c r="B691" s="24"/>
      <c r="C691" s="24"/>
      <c r="D691" s="24"/>
      <c r="E691" s="22"/>
      <c r="F691" s="25"/>
      <c r="G691" s="24"/>
      <c r="H691" s="24"/>
    </row>
    <row r="692" customFormat="false" ht="15" hidden="false" customHeight="false" outlineLevel="0" collapsed="false">
      <c r="A692" s="22"/>
      <c r="B692" s="24"/>
      <c r="C692" s="24"/>
      <c r="D692" s="24"/>
      <c r="E692" s="22"/>
      <c r="F692" s="25"/>
      <c r="G692" s="24"/>
      <c r="H692" s="24"/>
    </row>
    <row r="693" customFormat="false" ht="15" hidden="false" customHeight="false" outlineLevel="0" collapsed="false">
      <c r="A693" s="22"/>
      <c r="B693" s="24"/>
      <c r="C693" s="24"/>
      <c r="D693" s="24"/>
      <c r="E693" s="22"/>
      <c r="F693" s="25"/>
      <c r="G693" s="24"/>
      <c r="H693" s="24"/>
    </row>
    <row r="694" customFormat="false" ht="15" hidden="false" customHeight="false" outlineLevel="0" collapsed="false">
      <c r="A694" s="22"/>
      <c r="B694" s="24"/>
      <c r="C694" s="24"/>
      <c r="D694" s="24"/>
      <c r="E694" s="22"/>
      <c r="F694" s="25"/>
      <c r="G694" s="24"/>
      <c r="H694" s="24"/>
    </row>
    <row r="695" customFormat="false" ht="15" hidden="false" customHeight="false" outlineLevel="0" collapsed="false">
      <c r="A695" s="22"/>
      <c r="B695" s="24"/>
      <c r="C695" s="24"/>
      <c r="D695" s="24"/>
      <c r="E695" s="22"/>
      <c r="F695" s="25"/>
      <c r="G695" s="24"/>
      <c r="H695" s="24"/>
    </row>
    <row r="696" customFormat="false" ht="15" hidden="false" customHeight="false" outlineLevel="0" collapsed="false">
      <c r="A696" s="22"/>
      <c r="B696" s="24"/>
      <c r="C696" s="24"/>
      <c r="D696" s="24"/>
      <c r="E696" s="22"/>
      <c r="F696" s="25"/>
      <c r="G696" s="24"/>
      <c r="H696" s="24"/>
    </row>
    <row r="697" customFormat="false" ht="15" hidden="false" customHeight="false" outlineLevel="0" collapsed="false">
      <c r="A697" s="22"/>
      <c r="B697" s="24"/>
      <c r="C697" s="24"/>
      <c r="D697" s="24"/>
      <c r="E697" s="22"/>
      <c r="F697" s="25"/>
      <c r="G697" s="24"/>
      <c r="H697" s="24"/>
    </row>
    <row r="698" customFormat="false" ht="15" hidden="false" customHeight="false" outlineLevel="0" collapsed="false">
      <c r="A698" s="22"/>
      <c r="B698" s="24"/>
      <c r="C698" s="24"/>
      <c r="D698" s="24"/>
      <c r="E698" s="22"/>
      <c r="F698" s="25"/>
      <c r="G698" s="24"/>
      <c r="H698" s="24"/>
    </row>
    <row r="699" customFormat="false" ht="15" hidden="false" customHeight="false" outlineLevel="0" collapsed="false">
      <c r="A699" s="22"/>
      <c r="B699" s="24"/>
      <c r="C699" s="24"/>
      <c r="D699" s="24"/>
      <c r="E699" s="22"/>
      <c r="F699" s="25"/>
      <c r="G699" s="24"/>
      <c r="H699" s="24"/>
    </row>
    <row r="700" customFormat="false" ht="15" hidden="false" customHeight="false" outlineLevel="0" collapsed="false">
      <c r="A700" s="22"/>
      <c r="B700" s="24"/>
      <c r="C700" s="24"/>
      <c r="D700" s="24"/>
      <c r="E700" s="22"/>
      <c r="F700" s="25"/>
      <c r="G700" s="24"/>
      <c r="H700" s="24"/>
    </row>
    <row r="701" customFormat="false" ht="15" hidden="false" customHeight="false" outlineLevel="0" collapsed="false">
      <c r="A701" s="22"/>
      <c r="B701" s="24"/>
      <c r="C701" s="24"/>
      <c r="D701" s="24"/>
      <c r="E701" s="22"/>
      <c r="F701" s="25"/>
      <c r="G701" s="24"/>
      <c r="H701" s="24"/>
    </row>
    <row r="702" customFormat="false" ht="15" hidden="false" customHeight="false" outlineLevel="0" collapsed="false">
      <c r="A702" s="22"/>
      <c r="B702" s="24"/>
      <c r="C702" s="24"/>
      <c r="D702" s="24"/>
      <c r="E702" s="22"/>
      <c r="F702" s="25"/>
      <c r="G702" s="24"/>
      <c r="H702" s="24"/>
    </row>
    <row r="703" customFormat="false" ht="15" hidden="false" customHeight="false" outlineLevel="0" collapsed="false">
      <c r="A703" s="22"/>
      <c r="B703" s="24"/>
      <c r="C703" s="24"/>
      <c r="D703" s="24"/>
      <c r="E703" s="22"/>
      <c r="F703" s="25"/>
      <c r="G703" s="24"/>
      <c r="H703" s="24"/>
    </row>
    <row r="704" customFormat="false" ht="15" hidden="false" customHeight="false" outlineLevel="0" collapsed="false">
      <c r="A704" s="22"/>
      <c r="B704" s="24"/>
      <c r="C704" s="24"/>
      <c r="D704" s="24"/>
      <c r="E704" s="22"/>
      <c r="F704" s="25"/>
      <c r="G704" s="24"/>
      <c r="H704" s="24"/>
    </row>
    <row r="705" customFormat="false" ht="15" hidden="false" customHeight="false" outlineLevel="0" collapsed="false">
      <c r="A705" s="22"/>
      <c r="B705" s="24"/>
      <c r="C705" s="24"/>
      <c r="D705" s="24"/>
      <c r="E705" s="22"/>
      <c r="F705" s="25"/>
      <c r="G705" s="24"/>
      <c r="H705" s="24"/>
    </row>
    <row r="706" customFormat="false" ht="15" hidden="false" customHeight="false" outlineLevel="0" collapsed="false">
      <c r="A706" s="22"/>
      <c r="B706" s="24"/>
      <c r="C706" s="24"/>
      <c r="D706" s="24"/>
      <c r="E706" s="22"/>
      <c r="F706" s="25"/>
      <c r="G706" s="24"/>
      <c r="H706" s="24"/>
    </row>
    <row r="707" customFormat="false" ht="15" hidden="false" customHeight="false" outlineLevel="0" collapsed="false">
      <c r="A707" s="22"/>
      <c r="B707" s="24"/>
      <c r="C707" s="24"/>
      <c r="D707" s="24"/>
      <c r="E707" s="22"/>
      <c r="F707" s="25"/>
      <c r="G707" s="24"/>
      <c r="H707" s="24"/>
    </row>
    <row r="708" customFormat="false" ht="15" hidden="false" customHeight="false" outlineLevel="0" collapsed="false">
      <c r="A708" s="22"/>
      <c r="B708" s="24"/>
      <c r="C708" s="24"/>
      <c r="D708" s="24"/>
      <c r="E708" s="22"/>
      <c r="F708" s="25"/>
      <c r="G708" s="24"/>
      <c r="H708" s="24"/>
    </row>
    <row r="709" customFormat="false" ht="15" hidden="false" customHeight="false" outlineLevel="0" collapsed="false">
      <c r="A709" s="22"/>
      <c r="B709" s="24"/>
      <c r="C709" s="24"/>
      <c r="D709" s="24"/>
      <c r="E709" s="22"/>
      <c r="F709" s="25"/>
      <c r="G709" s="24"/>
      <c r="H709" s="24"/>
    </row>
    <row r="710" customFormat="false" ht="15" hidden="false" customHeight="false" outlineLevel="0" collapsed="false">
      <c r="A710" s="22"/>
      <c r="B710" s="24"/>
      <c r="C710" s="24"/>
      <c r="D710" s="24"/>
      <c r="E710" s="22"/>
      <c r="F710" s="25"/>
      <c r="G710" s="24"/>
      <c r="H710" s="24"/>
    </row>
    <row r="711" customFormat="false" ht="15" hidden="false" customHeight="false" outlineLevel="0" collapsed="false">
      <c r="A711" s="22"/>
      <c r="B711" s="24"/>
      <c r="C711" s="24"/>
      <c r="D711" s="24"/>
      <c r="E711" s="22"/>
      <c r="F711" s="25"/>
      <c r="G711" s="24"/>
      <c r="H711" s="24"/>
    </row>
    <row r="712" customFormat="false" ht="15" hidden="false" customHeight="false" outlineLevel="0" collapsed="false">
      <c r="A712" s="22"/>
      <c r="B712" s="24"/>
      <c r="C712" s="24"/>
      <c r="D712" s="24"/>
      <c r="E712" s="22"/>
      <c r="F712" s="25"/>
      <c r="G712" s="24"/>
      <c r="H712" s="24"/>
    </row>
    <row r="713" customFormat="false" ht="15" hidden="false" customHeight="false" outlineLevel="0" collapsed="false">
      <c r="A713" s="22"/>
      <c r="B713" s="24"/>
      <c r="C713" s="24"/>
      <c r="D713" s="24"/>
      <c r="E713" s="22"/>
      <c r="F713" s="25"/>
      <c r="G713" s="24"/>
      <c r="H713" s="24"/>
    </row>
    <row r="714" customFormat="false" ht="15" hidden="false" customHeight="false" outlineLevel="0" collapsed="false">
      <c r="A714" s="22"/>
      <c r="B714" s="24"/>
      <c r="C714" s="24"/>
      <c r="D714" s="24"/>
      <c r="E714" s="22"/>
      <c r="F714" s="25"/>
      <c r="G714" s="24"/>
      <c r="H714" s="24"/>
    </row>
    <row r="715" customFormat="false" ht="15" hidden="false" customHeight="false" outlineLevel="0" collapsed="false">
      <c r="A715" s="22"/>
      <c r="B715" s="24"/>
      <c r="C715" s="24"/>
      <c r="D715" s="24"/>
      <c r="E715" s="22"/>
      <c r="F715" s="25"/>
      <c r="G715" s="24"/>
      <c r="H715" s="24"/>
    </row>
    <row r="716" customFormat="false" ht="15" hidden="false" customHeight="false" outlineLevel="0" collapsed="false">
      <c r="A716" s="22"/>
      <c r="B716" s="24"/>
      <c r="C716" s="24"/>
      <c r="D716" s="24"/>
      <c r="E716" s="22"/>
      <c r="F716" s="25"/>
      <c r="G716" s="24"/>
      <c r="H716" s="24"/>
    </row>
    <row r="717" customFormat="false" ht="15" hidden="false" customHeight="false" outlineLevel="0" collapsed="false">
      <c r="A717" s="22"/>
      <c r="B717" s="24"/>
      <c r="C717" s="24"/>
      <c r="D717" s="24"/>
      <c r="E717" s="22"/>
      <c r="F717" s="25"/>
      <c r="G717" s="24"/>
      <c r="H717" s="24"/>
    </row>
    <row r="718" customFormat="false" ht="15" hidden="false" customHeight="false" outlineLevel="0" collapsed="false">
      <c r="A718" s="22"/>
      <c r="B718" s="24"/>
      <c r="C718" s="24"/>
      <c r="D718" s="24"/>
      <c r="E718" s="22"/>
      <c r="F718" s="25"/>
      <c r="G718" s="24"/>
      <c r="H718" s="24"/>
    </row>
    <row r="719" customFormat="false" ht="15" hidden="false" customHeight="false" outlineLevel="0" collapsed="false">
      <c r="A719" s="22"/>
      <c r="B719" s="24"/>
      <c r="C719" s="24"/>
      <c r="D719" s="24"/>
      <c r="E719" s="22"/>
      <c r="F719" s="25"/>
      <c r="G719" s="24"/>
      <c r="H719" s="24"/>
    </row>
    <row r="720" customFormat="false" ht="15" hidden="false" customHeight="false" outlineLevel="0" collapsed="false">
      <c r="A720" s="22"/>
      <c r="B720" s="24"/>
      <c r="C720" s="24"/>
      <c r="D720" s="24"/>
      <c r="E720" s="22"/>
      <c r="F720" s="25"/>
      <c r="G720" s="24"/>
      <c r="H720" s="24"/>
    </row>
    <row r="721" customFormat="false" ht="15" hidden="false" customHeight="false" outlineLevel="0" collapsed="false">
      <c r="A721" s="22"/>
      <c r="B721" s="24"/>
      <c r="C721" s="24"/>
      <c r="D721" s="24"/>
      <c r="E721" s="22"/>
      <c r="F721" s="25"/>
      <c r="G721" s="24"/>
      <c r="H721" s="24"/>
    </row>
    <row r="722" customFormat="false" ht="15" hidden="false" customHeight="false" outlineLevel="0" collapsed="false">
      <c r="A722" s="22"/>
      <c r="B722" s="24"/>
      <c r="C722" s="24"/>
      <c r="D722" s="24"/>
      <c r="E722" s="22"/>
      <c r="F722" s="25"/>
      <c r="G722" s="24"/>
      <c r="H722" s="24"/>
    </row>
    <row r="723" customFormat="false" ht="15" hidden="false" customHeight="false" outlineLevel="0" collapsed="false">
      <c r="A723" s="22"/>
      <c r="B723" s="24"/>
      <c r="C723" s="24"/>
      <c r="D723" s="24"/>
      <c r="E723" s="22"/>
      <c r="F723" s="25"/>
      <c r="G723" s="24"/>
      <c r="H723" s="24"/>
    </row>
    <row r="724" customFormat="false" ht="15" hidden="false" customHeight="false" outlineLevel="0" collapsed="false">
      <c r="A724" s="22"/>
      <c r="B724" s="24"/>
      <c r="C724" s="24"/>
      <c r="D724" s="24"/>
      <c r="E724" s="22"/>
      <c r="F724" s="25"/>
      <c r="G724" s="24"/>
      <c r="H724" s="24"/>
    </row>
    <row r="725" customFormat="false" ht="15" hidden="false" customHeight="false" outlineLevel="0" collapsed="false">
      <c r="A725" s="22"/>
      <c r="B725" s="24"/>
      <c r="C725" s="24"/>
      <c r="D725" s="24"/>
      <c r="E725" s="22"/>
      <c r="F725" s="25"/>
      <c r="G725" s="24"/>
      <c r="H725" s="24"/>
    </row>
    <row r="726" customFormat="false" ht="15" hidden="false" customHeight="false" outlineLevel="0" collapsed="false">
      <c r="A726" s="22"/>
      <c r="B726" s="24"/>
      <c r="C726" s="24"/>
      <c r="D726" s="24"/>
      <c r="E726" s="22"/>
      <c r="F726" s="25"/>
      <c r="G726" s="24"/>
      <c r="H726" s="24"/>
    </row>
    <row r="727" customFormat="false" ht="15" hidden="false" customHeight="false" outlineLevel="0" collapsed="false">
      <c r="A727" s="22"/>
      <c r="B727" s="24"/>
      <c r="C727" s="24"/>
      <c r="D727" s="24"/>
      <c r="E727" s="22"/>
      <c r="F727" s="25"/>
      <c r="G727" s="24"/>
      <c r="H727" s="24"/>
    </row>
    <row r="728" customFormat="false" ht="15" hidden="false" customHeight="false" outlineLevel="0" collapsed="false">
      <c r="A728" s="22"/>
      <c r="B728" s="24"/>
      <c r="C728" s="24"/>
      <c r="D728" s="24"/>
      <c r="E728" s="22"/>
      <c r="F728" s="25"/>
      <c r="G728" s="24"/>
      <c r="H728" s="24"/>
    </row>
    <row r="729" customFormat="false" ht="15" hidden="false" customHeight="false" outlineLevel="0" collapsed="false">
      <c r="A729" s="22"/>
      <c r="B729" s="24"/>
      <c r="C729" s="24"/>
      <c r="D729" s="24"/>
      <c r="E729" s="22"/>
      <c r="F729" s="25"/>
      <c r="G729" s="24"/>
      <c r="H729" s="24"/>
    </row>
    <row r="730" customFormat="false" ht="15" hidden="false" customHeight="false" outlineLevel="0" collapsed="false">
      <c r="A730" s="22"/>
      <c r="B730" s="24"/>
      <c r="C730" s="24"/>
      <c r="D730" s="24"/>
      <c r="E730" s="22"/>
      <c r="F730" s="25"/>
      <c r="G730" s="24"/>
      <c r="H730" s="24"/>
    </row>
    <row r="731" customFormat="false" ht="15" hidden="false" customHeight="false" outlineLevel="0" collapsed="false">
      <c r="A731" s="22"/>
      <c r="B731" s="24"/>
      <c r="C731" s="24"/>
      <c r="D731" s="24"/>
      <c r="E731" s="22"/>
      <c r="F731" s="25"/>
      <c r="G731" s="24"/>
      <c r="H731" s="24"/>
    </row>
    <row r="732" customFormat="false" ht="15" hidden="false" customHeight="false" outlineLevel="0" collapsed="false">
      <c r="A732" s="22"/>
      <c r="B732" s="24"/>
      <c r="C732" s="24"/>
      <c r="D732" s="24"/>
      <c r="E732" s="22"/>
      <c r="F732" s="25"/>
      <c r="G732" s="24"/>
      <c r="H732" s="24"/>
    </row>
    <row r="733" customFormat="false" ht="15" hidden="false" customHeight="false" outlineLevel="0" collapsed="false">
      <c r="A733" s="22"/>
      <c r="B733" s="24"/>
      <c r="C733" s="24"/>
      <c r="D733" s="24"/>
      <c r="E733" s="22"/>
      <c r="F733" s="25"/>
      <c r="G733" s="24"/>
      <c r="H733" s="24"/>
    </row>
    <row r="734" customFormat="false" ht="15" hidden="false" customHeight="false" outlineLevel="0" collapsed="false">
      <c r="A734" s="22"/>
      <c r="B734" s="24"/>
      <c r="C734" s="24"/>
      <c r="D734" s="24"/>
      <c r="E734" s="22"/>
      <c r="F734" s="25"/>
      <c r="G734" s="24"/>
      <c r="H734" s="24"/>
    </row>
    <row r="735" customFormat="false" ht="15" hidden="false" customHeight="false" outlineLevel="0" collapsed="false">
      <c r="A735" s="22"/>
      <c r="B735" s="24"/>
      <c r="C735" s="24"/>
      <c r="D735" s="24"/>
      <c r="E735" s="22"/>
      <c r="F735" s="25"/>
      <c r="G735" s="24"/>
      <c r="H735" s="24"/>
    </row>
    <row r="736" customFormat="false" ht="15" hidden="false" customHeight="false" outlineLevel="0" collapsed="false">
      <c r="A736" s="22"/>
      <c r="B736" s="24"/>
      <c r="C736" s="24"/>
      <c r="D736" s="24"/>
      <c r="E736" s="22"/>
      <c r="F736" s="25"/>
      <c r="G736" s="24"/>
      <c r="H736" s="24"/>
    </row>
    <row r="737" customFormat="false" ht="15" hidden="false" customHeight="false" outlineLevel="0" collapsed="false">
      <c r="A737" s="22"/>
      <c r="B737" s="24"/>
      <c r="C737" s="24"/>
      <c r="D737" s="24"/>
      <c r="E737" s="22"/>
      <c r="F737" s="25"/>
      <c r="G737" s="24"/>
      <c r="H737" s="24"/>
    </row>
    <row r="738" customFormat="false" ht="15" hidden="false" customHeight="false" outlineLevel="0" collapsed="false">
      <c r="A738" s="22"/>
      <c r="B738" s="24"/>
      <c r="C738" s="24"/>
      <c r="D738" s="24"/>
      <c r="E738" s="22"/>
      <c r="F738" s="25"/>
      <c r="G738" s="24"/>
      <c r="H738" s="24"/>
    </row>
    <row r="739" customFormat="false" ht="15" hidden="false" customHeight="false" outlineLevel="0" collapsed="false">
      <c r="A739" s="22"/>
      <c r="B739" s="24"/>
      <c r="C739" s="24"/>
      <c r="D739" s="24"/>
      <c r="E739" s="22"/>
      <c r="F739" s="25"/>
      <c r="G739" s="24"/>
      <c r="H739" s="24"/>
    </row>
    <row r="740" customFormat="false" ht="15" hidden="false" customHeight="false" outlineLevel="0" collapsed="false">
      <c r="A740" s="22"/>
      <c r="B740" s="24"/>
      <c r="C740" s="24"/>
      <c r="D740" s="24"/>
      <c r="E740" s="22"/>
      <c r="F740" s="25"/>
      <c r="G740" s="24"/>
      <c r="H740" s="24"/>
    </row>
    <row r="741" customFormat="false" ht="15" hidden="false" customHeight="false" outlineLevel="0" collapsed="false">
      <c r="A741" s="22"/>
      <c r="B741" s="24"/>
      <c r="C741" s="24"/>
      <c r="D741" s="24"/>
      <c r="E741" s="22"/>
      <c r="F741" s="25"/>
      <c r="G741" s="24"/>
      <c r="H741" s="24"/>
    </row>
    <row r="742" customFormat="false" ht="15" hidden="false" customHeight="false" outlineLevel="0" collapsed="false">
      <c r="A742" s="22"/>
      <c r="B742" s="24"/>
      <c r="C742" s="24"/>
      <c r="D742" s="24"/>
      <c r="E742" s="22"/>
      <c r="F742" s="25"/>
      <c r="G742" s="24"/>
      <c r="H742" s="24"/>
    </row>
    <row r="743" customFormat="false" ht="15" hidden="false" customHeight="false" outlineLevel="0" collapsed="false">
      <c r="A743" s="22"/>
      <c r="B743" s="24"/>
      <c r="C743" s="24"/>
      <c r="D743" s="24"/>
      <c r="E743" s="22"/>
      <c r="F743" s="25"/>
      <c r="G743" s="24"/>
      <c r="H743" s="24"/>
    </row>
    <row r="744" customFormat="false" ht="15" hidden="false" customHeight="false" outlineLevel="0" collapsed="false">
      <c r="A744" s="22"/>
      <c r="B744" s="24"/>
      <c r="C744" s="24"/>
      <c r="D744" s="24"/>
      <c r="E744" s="22"/>
      <c r="F744" s="25"/>
      <c r="G744" s="24"/>
      <c r="H744" s="24"/>
    </row>
    <row r="745" customFormat="false" ht="15" hidden="false" customHeight="false" outlineLevel="0" collapsed="false">
      <c r="A745" s="22"/>
      <c r="B745" s="24"/>
      <c r="C745" s="24"/>
      <c r="D745" s="24"/>
      <c r="E745" s="22"/>
      <c r="F745" s="25"/>
      <c r="G745" s="24"/>
      <c r="H745" s="24"/>
    </row>
    <row r="746" customFormat="false" ht="15" hidden="false" customHeight="false" outlineLevel="0" collapsed="false">
      <c r="A746" s="22"/>
      <c r="B746" s="24"/>
      <c r="C746" s="24"/>
      <c r="D746" s="24"/>
      <c r="E746" s="22"/>
      <c r="F746" s="25"/>
      <c r="G746" s="24"/>
      <c r="H746" s="24"/>
    </row>
    <row r="747" customFormat="false" ht="15" hidden="false" customHeight="false" outlineLevel="0" collapsed="false">
      <c r="A747" s="22"/>
      <c r="B747" s="24"/>
      <c r="C747" s="24"/>
      <c r="D747" s="24"/>
      <c r="E747" s="22"/>
      <c r="F747" s="25"/>
      <c r="G747" s="24"/>
      <c r="H747" s="24"/>
    </row>
    <row r="748" customFormat="false" ht="15" hidden="false" customHeight="false" outlineLevel="0" collapsed="false">
      <c r="A748" s="22"/>
      <c r="B748" s="24"/>
      <c r="C748" s="24"/>
      <c r="D748" s="24"/>
      <c r="E748" s="22"/>
      <c r="F748" s="25"/>
      <c r="G748" s="24"/>
      <c r="H748" s="24"/>
    </row>
    <row r="749" customFormat="false" ht="15" hidden="false" customHeight="false" outlineLevel="0" collapsed="false">
      <c r="A749" s="22"/>
      <c r="B749" s="24"/>
      <c r="C749" s="24"/>
      <c r="D749" s="24"/>
      <c r="E749" s="22"/>
      <c r="F749" s="25"/>
      <c r="G749" s="24"/>
      <c r="H749" s="24"/>
    </row>
    <row r="750" customFormat="false" ht="15" hidden="false" customHeight="false" outlineLevel="0" collapsed="false">
      <c r="A750" s="22"/>
      <c r="B750" s="24"/>
      <c r="C750" s="24"/>
      <c r="D750" s="24"/>
      <c r="E750" s="22"/>
      <c r="F750" s="25"/>
      <c r="G750" s="24"/>
      <c r="H750" s="24"/>
    </row>
    <row r="751" customFormat="false" ht="15" hidden="false" customHeight="false" outlineLevel="0" collapsed="false">
      <c r="A751" s="22"/>
      <c r="B751" s="24"/>
      <c r="C751" s="24"/>
      <c r="D751" s="24"/>
      <c r="E751" s="22"/>
      <c r="F751" s="25"/>
      <c r="G751" s="24"/>
      <c r="H751" s="24"/>
    </row>
    <row r="752" customFormat="false" ht="15" hidden="false" customHeight="false" outlineLevel="0" collapsed="false">
      <c r="A752" s="22"/>
      <c r="B752" s="24"/>
      <c r="C752" s="24"/>
      <c r="D752" s="24"/>
      <c r="E752" s="22"/>
      <c r="F752" s="25"/>
      <c r="G752" s="24"/>
      <c r="H752" s="24"/>
    </row>
    <row r="753" customFormat="false" ht="15" hidden="false" customHeight="false" outlineLevel="0" collapsed="false">
      <c r="A753" s="22"/>
      <c r="B753" s="24"/>
      <c r="C753" s="24"/>
      <c r="D753" s="24"/>
      <c r="E753" s="22"/>
      <c r="F753" s="25"/>
      <c r="G753" s="24"/>
      <c r="H753" s="24"/>
    </row>
    <row r="754" customFormat="false" ht="15" hidden="false" customHeight="false" outlineLevel="0" collapsed="false">
      <c r="A754" s="22"/>
      <c r="B754" s="24"/>
      <c r="C754" s="24"/>
      <c r="D754" s="24"/>
      <c r="E754" s="22"/>
      <c r="F754" s="25"/>
      <c r="G754" s="24"/>
      <c r="H754" s="24"/>
    </row>
    <row r="755" customFormat="false" ht="15" hidden="false" customHeight="false" outlineLevel="0" collapsed="false">
      <c r="A755" s="22"/>
      <c r="B755" s="24"/>
      <c r="C755" s="24"/>
      <c r="D755" s="24"/>
      <c r="E755" s="22"/>
      <c r="F755" s="25"/>
      <c r="G755" s="24"/>
      <c r="H755" s="24"/>
    </row>
    <row r="756" customFormat="false" ht="15" hidden="false" customHeight="false" outlineLevel="0" collapsed="false">
      <c r="A756" s="22"/>
      <c r="B756" s="24"/>
      <c r="C756" s="24"/>
      <c r="D756" s="24"/>
      <c r="E756" s="22"/>
      <c r="F756" s="25"/>
      <c r="G756" s="24"/>
      <c r="H756" s="24"/>
    </row>
    <row r="757" customFormat="false" ht="15" hidden="false" customHeight="false" outlineLevel="0" collapsed="false">
      <c r="A757" s="22"/>
      <c r="B757" s="24"/>
      <c r="C757" s="24"/>
      <c r="D757" s="24"/>
      <c r="E757" s="22"/>
      <c r="F757" s="25"/>
      <c r="G757" s="24"/>
      <c r="H757" s="24"/>
    </row>
    <row r="758" customFormat="false" ht="15" hidden="false" customHeight="false" outlineLevel="0" collapsed="false">
      <c r="A758" s="22"/>
      <c r="B758" s="24"/>
      <c r="C758" s="24"/>
      <c r="D758" s="24"/>
      <c r="E758" s="22"/>
      <c r="F758" s="25"/>
      <c r="G758" s="24"/>
      <c r="H758" s="24"/>
    </row>
    <row r="759" customFormat="false" ht="15" hidden="false" customHeight="false" outlineLevel="0" collapsed="false">
      <c r="A759" s="22"/>
      <c r="B759" s="24"/>
      <c r="C759" s="24"/>
      <c r="D759" s="24"/>
      <c r="E759" s="22"/>
      <c r="F759" s="25"/>
      <c r="G759" s="24"/>
      <c r="H759" s="24"/>
    </row>
    <row r="760" customFormat="false" ht="15" hidden="false" customHeight="false" outlineLevel="0" collapsed="false">
      <c r="A760" s="22"/>
      <c r="B760" s="24"/>
      <c r="C760" s="24"/>
      <c r="D760" s="24"/>
      <c r="E760" s="22"/>
      <c r="F760" s="25"/>
      <c r="G760" s="24"/>
      <c r="H760" s="24"/>
    </row>
    <row r="761" customFormat="false" ht="15" hidden="false" customHeight="false" outlineLevel="0" collapsed="false">
      <c r="A761" s="22"/>
      <c r="B761" s="24"/>
      <c r="C761" s="24"/>
      <c r="D761" s="24"/>
      <c r="E761" s="22"/>
      <c r="F761" s="25"/>
      <c r="G761" s="24"/>
      <c r="H761" s="24"/>
    </row>
    <row r="762" customFormat="false" ht="15" hidden="false" customHeight="false" outlineLevel="0" collapsed="false">
      <c r="A762" s="22"/>
      <c r="B762" s="24"/>
      <c r="C762" s="24"/>
      <c r="D762" s="24"/>
      <c r="E762" s="22"/>
      <c r="F762" s="25"/>
      <c r="G762" s="24"/>
      <c r="H762" s="24"/>
    </row>
    <row r="763" customFormat="false" ht="15" hidden="false" customHeight="false" outlineLevel="0" collapsed="false">
      <c r="A763" s="22"/>
      <c r="B763" s="24"/>
      <c r="C763" s="24"/>
      <c r="D763" s="24"/>
      <c r="E763" s="22"/>
      <c r="F763" s="25"/>
      <c r="G763" s="24"/>
      <c r="H763" s="24"/>
    </row>
    <row r="764" customFormat="false" ht="15" hidden="false" customHeight="false" outlineLevel="0" collapsed="false">
      <c r="A764" s="22"/>
      <c r="B764" s="24"/>
      <c r="C764" s="24"/>
      <c r="D764" s="24"/>
      <c r="E764" s="22"/>
      <c r="F764" s="25"/>
      <c r="G764" s="24"/>
      <c r="H764" s="24"/>
    </row>
    <row r="765" customFormat="false" ht="15" hidden="false" customHeight="false" outlineLevel="0" collapsed="false">
      <c r="A765" s="22"/>
      <c r="B765" s="24"/>
      <c r="C765" s="24"/>
      <c r="D765" s="24"/>
      <c r="E765" s="22"/>
      <c r="F765" s="25"/>
      <c r="G765" s="24"/>
      <c r="H765" s="24"/>
    </row>
    <row r="766" customFormat="false" ht="15" hidden="false" customHeight="false" outlineLevel="0" collapsed="false">
      <c r="A766" s="22"/>
      <c r="B766" s="24"/>
      <c r="C766" s="24"/>
      <c r="D766" s="24"/>
      <c r="E766" s="22"/>
      <c r="F766" s="25"/>
      <c r="G766" s="24"/>
      <c r="H766" s="24"/>
    </row>
    <row r="767" customFormat="false" ht="15" hidden="false" customHeight="false" outlineLevel="0" collapsed="false">
      <c r="A767" s="22"/>
      <c r="B767" s="24"/>
      <c r="C767" s="24"/>
      <c r="D767" s="24"/>
      <c r="E767" s="22"/>
      <c r="F767" s="25"/>
      <c r="G767" s="24"/>
      <c r="H767" s="24"/>
    </row>
    <row r="768" customFormat="false" ht="15" hidden="false" customHeight="false" outlineLevel="0" collapsed="false">
      <c r="A768" s="22"/>
      <c r="B768" s="24"/>
      <c r="C768" s="24"/>
      <c r="D768" s="24"/>
      <c r="E768" s="22"/>
      <c r="F768" s="25"/>
      <c r="G768" s="24"/>
      <c r="H768" s="24"/>
    </row>
    <row r="769" customFormat="false" ht="15" hidden="false" customHeight="false" outlineLevel="0" collapsed="false">
      <c r="A769" s="22"/>
      <c r="B769" s="24"/>
      <c r="C769" s="24"/>
      <c r="D769" s="24"/>
      <c r="E769" s="22"/>
      <c r="F769" s="25"/>
      <c r="G769" s="24"/>
      <c r="H769" s="24"/>
    </row>
    <row r="770" customFormat="false" ht="15" hidden="false" customHeight="false" outlineLevel="0" collapsed="false">
      <c r="A770" s="22"/>
      <c r="B770" s="24"/>
      <c r="C770" s="24"/>
      <c r="D770" s="24"/>
      <c r="E770" s="22"/>
      <c r="F770" s="25"/>
      <c r="G770" s="24"/>
      <c r="H770" s="24"/>
    </row>
    <row r="771" customFormat="false" ht="15" hidden="false" customHeight="false" outlineLevel="0" collapsed="false">
      <c r="A771" s="22"/>
      <c r="B771" s="24"/>
      <c r="C771" s="24"/>
      <c r="D771" s="24"/>
      <c r="E771" s="22"/>
      <c r="F771" s="25"/>
      <c r="G771" s="24"/>
      <c r="H771" s="24"/>
    </row>
    <row r="772" customFormat="false" ht="15" hidden="false" customHeight="false" outlineLevel="0" collapsed="false">
      <c r="A772" s="22"/>
      <c r="B772" s="24"/>
      <c r="C772" s="24"/>
      <c r="D772" s="24"/>
      <c r="E772" s="22"/>
      <c r="F772" s="25"/>
      <c r="G772" s="24"/>
      <c r="H772" s="24"/>
    </row>
    <row r="773" customFormat="false" ht="15" hidden="false" customHeight="false" outlineLevel="0" collapsed="false">
      <c r="A773" s="22"/>
      <c r="B773" s="24"/>
      <c r="C773" s="24"/>
      <c r="D773" s="24"/>
      <c r="E773" s="22"/>
      <c r="F773" s="25"/>
      <c r="G773" s="24"/>
      <c r="H773" s="24"/>
    </row>
    <row r="774" customFormat="false" ht="15" hidden="false" customHeight="false" outlineLevel="0" collapsed="false">
      <c r="A774" s="22"/>
      <c r="B774" s="24"/>
      <c r="C774" s="24"/>
      <c r="D774" s="24"/>
      <c r="E774" s="22"/>
      <c r="F774" s="25"/>
      <c r="G774" s="24"/>
      <c r="H774" s="24"/>
    </row>
    <row r="775" customFormat="false" ht="15" hidden="false" customHeight="false" outlineLevel="0" collapsed="false">
      <c r="A775" s="22"/>
      <c r="B775" s="24"/>
      <c r="C775" s="24"/>
      <c r="D775" s="24"/>
      <c r="E775" s="22"/>
      <c r="F775" s="25"/>
      <c r="G775" s="24"/>
      <c r="H775" s="24"/>
    </row>
    <row r="776" customFormat="false" ht="15" hidden="false" customHeight="false" outlineLevel="0" collapsed="false">
      <c r="A776" s="22"/>
      <c r="B776" s="24"/>
      <c r="C776" s="24"/>
      <c r="D776" s="24"/>
      <c r="E776" s="22"/>
      <c r="F776" s="25"/>
      <c r="G776" s="24"/>
      <c r="H776" s="24"/>
    </row>
    <row r="777" customFormat="false" ht="15" hidden="false" customHeight="false" outlineLevel="0" collapsed="false">
      <c r="A777" s="22"/>
      <c r="B777" s="24"/>
      <c r="C777" s="24"/>
      <c r="D777" s="24"/>
      <c r="E777" s="22"/>
      <c r="F777" s="25"/>
      <c r="G777" s="24"/>
      <c r="H777" s="24"/>
    </row>
    <row r="778" customFormat="false" ht="15" hidden="false" customHeight="false" outlineLevel="0" collapsed="false">
      <c r="A778" s="22"/>
      <c r="B778" s="24"/>
      <c r="C778" s="24"/>
      <c r="D778" s="24"/>
      <c r="E778" s="22"/>
      <c r="F778" s="25"/>
      <c r="G778" s="24"/>
      <c r="H778" s="24"/>
    </row>
    <row r="779" customFormat="false" ht="15" hidden="false" customHeight="false" outlineLevel="0" collapsed="false">
      <c r="A779" s="22"/>
      <c r="B779" s="24"/>
      <c r="C779" s="24"/>
      <c r="D779" s="24"/>
      <c r="E779" s="22"/>
      <c r="F779" s="25"/>
      <c r="G779" s="24"/>
      <c r="H779" s="24"/>
    </row>
    <row r="780" customFormat="false" ht="15" hidden="false" customHeight="false" outlineLevel="0" collapsed="false">
      <c r="A780" s="22"/>
      <c r="B780" s="24"/>
      <c r="C780" s="24"/>
      <c r="D780" s="24"/>
      <c r="E780" s="22"/>
      <c r="F780" s="25"/>
      <c r="G780" s="24"/>
      <c r="H780" s="24"/>
    </row>
    <row r="781" customFormat="false" ht="15" hidden="false" customHeight="false" outlineLevel="0" collapsed="false">
      <c r="A781" s="22"/>
      <c r="B781" s="24"/>
      <c r="C781" s="24"/>
      <c r="D781" s="24"/>
      <c r="E781" s="22"/>
      <c r="F781" s="25"/>
      <c r="G781" s="24"/>
      <c r="H781" s="24"/>
    </row>
    <row r="782" customFormat="false" ht="15" hidden="false" customHeight="false" outlineLevel="0" collapsed="false">
      <c r="A782" s="22"/>
      <c r="B782" s="24"/>
      <c r="C782" s="24"/>
      <c r="D782" s="24"/>
      <c r="E782" s="22"/>
      <c r="F782" s="25"/>
      <c r="G782" s="24"/>
      <c r="H782" s="24"/>
    </row>
    <row r="783" customFormat="false" ht="15" hidden="false" customHeight="false" outlineLevel="0" collapsed="false">
      <c r="A783" s="22"/>
      <c r="B783" s="24"/>
      <c r="C783" s="24"/>
      <c r="D783" s="24"/>
      <c r="E783" s="22"/>
      <c r="F783" s="25"/>
      <c r="G783" s="24"/>
      <c r="H783" s="24"/>
    </row>
    <row r="784" customFormat="false" ht="15" hidden="false" customHeight="false" outlineLevel="0" collapsed="false">
      <c r="A784" s="22"/>
      <c r="B784" s="24"/>
      <c r="C784" s="24"/>
      <c r="D784" s="24"/>
      <c r="E784" s="22"/>
      <c r="F784" s="25"/>
      <c r="G784" s="24"/>
      <c r="H784" s="24"/>
    </row>
    <row r="785" customFormat="false" ht="15" hidden="false" customHeight="false" outlineLevel="0" collapsed="false">
      <c r="A785" s="22"/>
      <c r="B785" s="24"/>
      <c r="C785" s="24"/>
      <c r="D785" s="24"/>
      <c r="E785" s="22"/>
      <c r="F785" s="25"/>
      <c r="G785" s="24"/>
      <c r="H785" s="24"/>
    </row>
    <row r="786" customFormat="false" ht="15" hidden="false" customHeight="false" outlineLevel="0" collapsed="false">
      <c r="A786" s="22"/>
      <c r="B786" s="24"/>
      <c r="C786" s="24"/>
      <c r="D786" s="24"/>
      <c r="E786" s="22"/>
      <c r="F786" s="25"/>
      <c r="G786" s="24"/>
      <c r="H786" s="24"/>
    </row>
    <row r="787" customFormat="false" ht="15" hidden="false" customHeight="false" outlineLevel="0" collapsed="false">
      <c r="A787" s="22"/>
      <c r="B787" s="24"/>
      <c r="C787" s="24"/>
      <c r="D787" s="24"/>
      <c r="E787" s="22"/>
      <c r="F787" s="25"/>
      <c r="G787" s="24"/>
      <c r="H787" s="24"/>
    </row>
    <row r="788" customFormat="false" ht="15" hidden="false" customHeight="false" outlineLevel="0" collapsed="false">
      <c r="A788" s="22"/>
      <c r="B788" s="24"/>
      <c r="C788" s="24"/>
      <c r="D788" s="24"/>
      <c r="E788" s="22"/>
      <c r="F788" s="25"/>
      <c r="G788" s="24"/>
      <c r="H788" s="24"/>
    </row>
    <row r="789" customFormat="false" ht="15" hidden="false" customHeight="false" outlineLevel="0" collapsed="false">
      <c r="A789" s="22"/>
      <c r="B789" s="24"/>
      <c r="C789" s="24"/>
      <c r="D789" s="24"/>
      <c r="E789" s="22"/>
      <c r="F789" s="25"/>
      <c r="G789" s="24"/>
      <c r="H789" s="24"/>
    </row>
    <row r="790" customFormat="false" ht="15" hidden="false" customHeight="false" outlineLevel="0" collapsed="false">
      <c r="A790" s="22"/>
      <c r="B790" s="24"/>
      <c r="C790" s="24"/>
      <c r="D790" s="24"/>
      <c r="E790" s="22"/>
      <c r="F790" s="25"/>
      <c r="G790" s="24"/>
      <c r="H790" s="24"/>
    </row>
    <row r="791" customFormat="false" ht="15" hidden="false" customHeight="false" outlineLevel="0" collapsed="false">
      <c r="A791" s="22"/>
      <c r="B791" s="24"/>
      <c r="C791" s="24"/>
      <c r="D791" s="24"/>
      <c r="E791" s="22"/>
      <c r="F791" s="25"/>
      <c r="G791" s="24"/>
      <c r="H791" s="24"/>
    </row>
    <row r="792" customFormat="false" ht="15" hidden="false" customHeight="false" outlineLevel="0" collapsed="false">
      <c r="A792" s="22"/>
      <c r="B792" s="24"/>
      <c r="C792" s="24"/>
      <c r="D792" s="24"/>
      <c r="E792" s="22"/>
      <c r="F792" s="25"/>
      <c r="G792" s="24"/>
      <c r="H792" s="24"/>
    </row>
    <row r="793" customFormat="false" ht="15" hidden="false" customHeight="false" outlineLevel="0" collapsed="false">
      <c r="A793" s="22"/>
      <c r="B793" s="24"/>
      <c r="C793" s="24"/>
      <c r="D793" s="24"/>
      <c r="E793" s="22"/>
      <c r="F793" s="25"/>
      <c r="G793" s="24"/>
      <c r="H793" s="24"/>
    </row>
    <row r="794" customFormat="false" ht="15" hidden="false" customHeight="false" outlineLevel="0" collapsed="false">
      <c r="A794" s="22"/>
      <c r="B794" s="24"/>
      <c r="C794" s="24"/>
      <c r="D794" s="24"/>
      <c r="E794" s="22"/>
      <c r="F794" s="25"/>
      <c r="G794" s="24"/>
      <c r="H794" s="24"/>
    </row>
    <row r="795" customFormat="false" ht="15" hidden="false" customHeight="false" outlineLevel="0" collapsed="false">
      <c r="A795" s="22"/>
      <c r="B795" s="24"/>
      <c r="C795" s="24"/>
      <c r="D795" s="24"/>
      <c r="E795" s="22"/>
      <c r="F795" s="25"/>
      <c r="G795" s="24"/>
      <c r="H795" s="24"/>
    </row>
    <row r="796" customFormat="false" ht="15" hidden="false" customHeight="false" outlineLevel="0" collapsed="false">
      <c r="A796" s="22"/>
      <c r="B796" s="24"/>
      <c r="C796" s="24"/>
      <c r="D796" s="24"/>
      <c r="E796" s="22"/>
      <c r="F796" s="25"/>
      <c r="G796" s="24"/>
      <c r="H796" s="24"/>
    </row>
    <row r="797" customFormat="false" ht="15" hidden="false" customHeight="false" outlineLevel="0" collapsed="false">
      <c r="A797" s="22"/>
      <c r="B797" s="24"/>
      <c r="C797" s="24"/>
      <c r="D797" s="24"/>
      <c r="E797" s="22"/>
      <c r="F797" s="25"/>
      <c r="G797" s="24"/>
      <c r="H797" s="24"/>
    </row>
    <row r="798" customFormat="false" ht="15" hidden="false" customHeight="false" outlineLevel="0" collapsed="false">
      <c r="A798" s="22"/>
      <c r="B798" s="24"/>
      <c r="C798" s="24"/>
      <c r="D798" s="24"/>
      <c r="E798" s="22"/>
      <c r="F798" s="25"/>
      <c r="G798" s="24"/>
      <c r="H798" s="24"/>
    </row>
    <row r="799" customFormat="false" ht="15" hidden="false" customHeight="false" outlineLevel="0" collapsed="false">
      <c r="A799" s="22"/>
      <c r="B799" s="24"/>
      <c r="C799" s="24"/>
      <c r="D799" s="24"/>
      <c r="E799" s="22"/>
      <c r="F799" s="25"/>
      <c r="G799" s="24"/>
      <c r="H799" s="24"/>
    </row>
    <row r="800" customFormat="false" ht="15" hidden="false" customHeight="false" outlineLevel="0" collapsed="false">
      <c r="A800" s="22"/>
      <c r="B800" s="24"/>
      <c r="C800" s="24"/>
      <c r="D800" s="24"/>
      <c r="E800" s="22"/>
      <c r="F800" s="25"/>
      <c r="G800" s="24"/>
      <c r="H800" s="24"/>
    </row>
    <row r="801" customFormat="false" ht="15" hidden="false" customHeight="false" outlineLevel="0" collapsed="false">
      <c r="A801" s="22"/>
      <c r="B801" s="24"/>
      <c r="C801" s="24"/>
      <c r="D801" s="24"/>
      <c r="E801" s="22"/>
      <c r="F801" s="25"/>
      <c r="G801" s="24"/>
      <c r="H801" s="24"/>
    </row>
    <row r="802" customFormat="false" ht="15" hidden="false" customHeight="false" outlineLevel="0" collapsed="false">
      <c r="A802" s="22"/>
      <c r="B802" s="24"/>
      <c r="C802" s="24"/>
      <c r="D802" s="24"/>
      <c r="E802" s="22"/>
      <c r="F802" s="25"/>
      <c r="G802" s="24"/>
      <c r="H802" s="24"/>
    </row>
    <row r="803" customFormat="false" ht="15" hidden="false" customHeight="false" outlineLevel="0" collapsed="false">
      <c r="A803" s="22"/>
      <c r="B803" s="24"/>
      <c r="C803" s="24"/>
      <c r="D803" s="24"/>
      <c r="E803" s="22"/>
      <c r="F803" s="25"/>
      <c r="G803" s="24"/>
      <c r="H803" s="24"/>
    </row>
    <row r="804" customFormat="false" ht="15" hidden="false" customHeight="false" outlineLevel="0" collapsed="false">
      <c r="A804" s="22"/>
      <c r="B804" s="24"/>
      <c r="C804" s="24"/>
      <c r="D804" s="24"/>
      <c r="E804" s="22"/>
      <c r="F804" s="25"/>
      <c r="G804" s="24"/>
      <c r="H804" s="24"/>
    </row>
    <row r="805" customFormat="false" ht="15" hidden="false" customHeight="false" outlineLevel="0" collapsed="false">
      <c r="A805" s="22"/>
      <c r="B805" s="24"/>
      <c r="C805" s="24"/>
      <c r="D805" s="24"/>
      <c r="E805" s="22"/>
      <c r="F805" s="25"/>
      <c r="G805" s="24"/>
      <c r="H805" s="24"/>
    </row>
    <row r="806" customFormat="false" ht="15" hidden="false" customHeight="false" outlineLevel="0" collapsed="false">
      <c r="A806" s="22"/>
      <c r="B806" s="24"/>
      <c r="C806" s="24"/>
      <c r="D806" s="24"/>
      <c r="E806" s="22"/>
      <c r="F806" s="25"/>
      <c r="G806" s="24"/>
      <c r="H806" s="24"/>
    </row>
    <row r="807" customFormat="false" ht="15" hidden="false" customHeight="false" outlineLevel="0" collapsed="false">
      <c r="A807" s="22"/>
      <c r="B807" s="24"/>
      <c r="C807" s="24"/>
      <c r="D807" s="24"/>
      <c r="E807" s="22"/>
      <c r="F807" s="25"/>
      <c r="G807" s="24"/>
      <c r="H807" s="24"/>
    </row>
    <row r="808" customFormat="false" ht="15" hidden="false" customHeight="false" outlineLevel="0" collapsed="false">
      <c r="A808" s="22"/>
      <c r="B808" s="24"/>
      <c r="C808" s="24"/>
      <c r="D808" s="24"/>
      <c r="E808" s="22"/>
      <c r="F808" s="25"/>
      <c r="G808" s="24"/>
      <c r="H808" s="24"/>
    </row>
    <row r="809" customFormat="false" ht="15" hidden="false" customHeight="false" outlineLevel="0" collapsed="false">
      <c r="A809" s="22"/>
      <c r="B809" s="24"/>
      <c r="C809" s="24"/>
      <c r="D809" s="24"/>
      <c r="E809" s="22"/>
      <c r="F809" s="25"/>
      <c r="G809" s="24"/>
      <c r="H809" s="24"/>
    </row>
    <row r="810" customFormat="false" ht="15" hidden="false" customHeight="false" outlineLevel="0" collapsed="false">
      <c r="A810" s="22"/>
      <c r="B810" s="24"/>
      <c r="C810" s="24"/>
      <c r="D810" s="24"/>
      <c r="E810" s="22"/>
      <c r="F810" s="25"/>
      <c r="G810" s="24"/>
      <c r="H810" s="24"/>
    </row>
    <row r="811" customFormat="false" ht="15" hidden="false" customHeight="false" outlineLevel="0" collapsed="false">
      <c r="A811" s="22"/>
      <c r="B811" s="24"/>
      <c r="C811" s="24"/>
      <c r="D811" s="24"/>
      <c r="E811" s="22"/>
      <c r="F811" s="25"/>
      <c r="G811" s="24"/>
      <c r="H811" s="24"/>
    </row>
    <row r="812" customFormat="false" ht="15" hidden="false" customHeight="false" outlineLevel="0" collapsed="false">
      <c r="A812" s="22"/>
      <c r="B812" s="24"/>
      <c r="C812" s="24"/>
      <c r="D812" s="24"/>
      <c r="E812" s="22"/>
      <c r="F812" s="25"/>
      <c r="G812" s="24"/>
      <c r="H812" s="24"/>
    </row>
    <row r="813" customFormat="false" ht="15" hidden="false" customHeight="false" outlineLevel="0" collapsed="false">
      <c r="A813" s="22"/>
      <c r="B813" s="24"/>
      <c r="C813" s="24"/>
      <c r="D813" s="24"/>
      <c r="E813" s="22"/>
      <c r="F813" s="25"/>
      <c r="G813" s="24"/>
      <c r="H813" s="24"/>
    </row>
    <row r="814" customFormat="false" ht="15" hidden="false" customHeight="false" outlineLevel="0" collapsed="false">
      <c r="A814" s="22"/>
      <c r="B814" s="24"/>
      <c r="C814" s="24"/>
      <c r="D814" s="24"/>
      <c r="E814" s="22"/>
      <c r="F814" s="25"/>
      <c r="G814" s="24"/>
      <c r="H814" s="24"/>
    </row>
    <row r="815" customFormat="false" ht="15" hidden="false" customHeight="false" outlineLevel="0" collapsed="false">
      <c r="A815" s="22"/>
      <c r="B815" s="24"/>
      <c r="C815" s="24"/>
      <c r="D815" s="24"/>
      <c r="E815" s="22"/>
      <c r="F815" s="25"/>
      <c r="G815" s="24"/>
      <c r="H815" s="24"/>
    </row>
    <row r="816" customFormat="false" ht="15" hidden="false" customHeight="false" outlineLevel="0" collapsed="false">
      <c r="A816" s="22"/>
      <c r="B816" s="24"/>
      <c r="C816" s="24"/>
      <c r="D816" s="24"/>
      <c r="E816" s="22"/>
      <c r="F816" s="25"/>
      <c r="G816" s="24"/>
      <c r="H816" s="24"/>
    </row>
    <row r="817" customFormat="false" ht="15" hidden="false" customHeight="false" outlineLevel="0" collapsed="false">
      <c r="A817" s="22"/>
      <c r="B817" s="24"/>
      <c r="C817" s="24"/>
      <c r="D817" s="24"/>
      <c r="E817" s="22"/>
      <c r="F817" s="25"/>
      <c r="G817" s="24"/>
      <c r="H817" s="24"/>
    </row>
    <row r="818" customFormat="false" ht="15" hidden="false" customHeight="false" outlineLevel="0" collapsed="false">
      <c r="A818" s="22"/>
      <c r="B818" s="24"/>
      <c r="C818" s="24"/>
      <c r="D818" s="24"/>
      <c r="E818" s="22"/>
      <c r="F818" s="25"/>
      <c r="G818" s="24"/>
      <c r="H818" s="24"/>
    </row>
    <row r="819" customFormat="false" ht="15" hidden="false" customHeight="false" outlineLevel="0" collapsed="false">
      <c r="A819" s="22"/>
      <c r="B819" s="24"/>
      <c r="C819" s="24"/>
      <c r="D819" s="24"/>
      <c r="E819" s="22"/>
      <c r="F819" s="25"/>
      <c r="G819" s="24"/>
      <c r="H819" s="24"/>
    </row>
    <row r="820" customFormat="false" ht="15" hidden="false" customHeight="false" outlineLevel="0" collapsed="false">
      <c r="A820" s="22"/>
      <c r="B820" s="24"/>
      <c r="C820" s="24"/>
      <c r="D820" s="24"/>
      <c r="E820" s="22"/>
      <c r="F820" s="25"/>
      <c r="G820" s="24"/>
      <c r="H820" s="24"/>
    </row>
    <row r="821" customFormat="false" ht="15" hidden="false" customHeight="false" outlineLevel="0" collapsed="false">
      <c r="A821" s="22"/>
      <c r="B821" s="24"/>
      <c r="C821" s="24"/>
      <c r="D821" s="24"/>
      <c r="E821" s="22"/>
      <c r="F821" s="25"/>
      <c r="G821" s="24"/>
      <c r="H821" s="24"/>
    </row>
    <row r="822" customFormat="false" ht="15" hidden="false" customHeight="false" outlineLevel="0" collapsed="false">
      <c r="A822" s="22"/>
      <c r="B822" s="24"/>
      <c r="C822" s="24"/>
      <c r="D822" s="24"/>
      <c r="E822" s="22"/>
      <c r="F822" s="25"/>
      <c r="G822" s="24"/>
      <c r="H822" s="24"/>
    </row>
    <row r="823" customFormat="false" ht="15" hidden="false" customHeight="false" outlineLevel="0" collapsed="false">
      <c r="A823" s="22"/>
      <c r="B823" s="24"/>
      <c r="C823" s="24"/>
      <c r="D823" s="24"/>
      <c r="E823" s="22"/>
      <c r="F823" s="25"/>
      <c r="G823" s="24"/>
      <c r="H823" s="24"/>
    </row>
    <row r="824" customFormat="false" ht="15" hidden="false" customHeight="false" outlineLevel="0" collapsed="false">
      <c r="A824" s="22"/>
      <c r="B824" s="24"/>
      <c r="C824" s="24"/>
      <c r="D824" s="24"/>
      <c r="E824" s="22"/>
      <c r="F824" s="25"/>
      <c r="G824" s="24"/>
      <c r="H824" s="24"/>
    </row>
    <row r="825" customFormat="false" ht="15" hidden="false" customHeight="false" outlineLevel="0" collapsed="false">
      <c r="A825" s="22"/>
      <c r="B825" s="24"/>
      <c r="C825" s="24"/>
      <c r="D825" s="24"/>
      <c r="E825" s="22"/>
      <c r="F825" s="25"/>
      <c r="G825" s="24"/>
      <c r="H825" s="24"/>
    </row>
    <row r="826" customFormat="false" ht="15" hidden="false" customHeight="false" outlineLevel="0" collapsed="false">
      <c r="A826" s="22"/>
      <c r="B826" s="24"/>
      <c r="C826" s="24"/>
      <c r="D826" s="24"/>
      <c r="E826" s="22"/>
      <c r="F826" s="25"/>
      <c r="G826" s="24"/>
      <c r="H826" s="24"/>
    </row>
    <row r="827" customFormat="false" ht="15" hidden="false" customHeight="false" outlineLevel="0" collapsed="false">
      <c r="A827" s="22"/>
      <c r="B827" s="24"/>
      <c r="C827" s="24"/>
      <c r="D827" s="24"/>
      <c r="E827" s="22"/>
      <c r="F827" s="25"/>
      <c r="G827" s="24"/>
      <c r="H827" s="24"/>
    </row>
    <row r="828" customFormat="false" ht="15" hidden="false" customHeight="false" outlineLevel="0" collapsed="false">
      <c r="A828" s="22"/>
      <c r="B828" s="24"/>
      <c r="C828" s="24"/>
      <c r="D828" s="24"/>
      <c r="E828" s="22"/>
      <c r="F828" s="25"/>
      <c r="G828" s="24"/>
      <c r="H828" s="24"/>
    </row>
    <row r="829" customFormat="false" ht="15" hidden="false" customHeight="false" outlineLevel="0" collapsed="false">
      <c r="A829" s="22"/>
      <c r="B829" s="24"/>
      <c r="C829" s="24"/>
      <c r="D829" s="24"/>
      <c r="E829" s="22"/>
      <c r="F829" s="25"/>
      <c r="G829" s="24"/>
      <c r="H829" s="24"/>
    </row>
    <row r="830" customFormat="false" ht="15" hidden="false" customHeight="false" outlineLevel="0" collapsed="false">
      <c r="A830" s="22"/>
      <c r="B830" s="24"/>
      <c r="C830" s="24"/>
      <c r="D830" s="24"/>
      <c r="E830" s="22"/>
      <c r="F830" s="25"/>
      <c r="G830" s="24"/>
      <c r="H830" s="24"/>
    </row>
    <row r="831" customFormat="false" ht="15" hidden="false" customHeight="false" outlineLevel="0" collapsed="false">
      <c r="A831" s="22"/>
      <c r="B831" s="24"/>
      <c r="C831" s="24"/>
      <c r="D831" s="24"/>
      <c r="E831" s="22"/>
      <c r="F831" s="25"/>
      <c r="G831" s="24"/>
      <c r="H831" s="24"/>
    </row>
    <row r="832" customFormat="false" ht="15" hidden="false" customHeight="false" outlineLevel="0" collapsed="false">
      <c r="A832" s="22"/>
      <c r="B832" s="24"/>
      <c r="C832" s="24"/>
      <c r="D832" s="24"/>
      <c r="E832" s="22"/>
      <c r="F832" s="25"/>
      <c r="G832" s="24"/>
      <c r="H832" s="24"/>
    </row>
    <row r="833" customFormat="false" ht="15" hidden="false" customHeight="false" outlineLevel="0" collapsed="false">
      <c r="A833" s="22"/>
      <c r="B833" s="24"/>
      <c r="C833" s="24"/>
      <c r="D833" s="24"/>
      <c r="E833" s="22"/>
      <c r="F833" s="25"/>
      <c r="G833" s="24"/>
      <c r="H833" s="24"/>
    </row>
    <row r="834" customFormat="false" ht="15" hidden="false" customHeight="false" outlineLevel="0" collapsed="false">
      <c r="A834" s="22"/>
      <c r="B834" s="24"/>
      <c r="C834" s="24"/>
      <c r="D834" s="24"/>
      <c r="E834" s="22"/>
      <c r="F834" s="25"/>
      <c r="G834" s="24"/>
      <c r="H834" s="24"/>
    </row>
    <row r="835" customFormat="false" ht="15" hidden="false" customHeight="false" outlineLevel="0" collapsed="false">
      <c r="A835" s="22"/>
      <c r="B835" s="24"/>
      <c r="C835" s="24"/>
      <c r="D835" s="24"/>
      <c r="E835" s="22"/>
      <c r="F835" s="25"/>
      <c r="G835" s="24"/>
      <c r="H835" s="24"/>
    </row>
    <row r="836" customFormat="false" ht="15" hidden="false" customHeight="false" outlineLevel="0" collapsed="false">
      <c r="A836" s="22"/>
      <c r="B836" s="24"/>
      <c r="C836" s="24"/>
      <c r="D836" s="24"/>
      <c r="E836" s="22"/>
      <c r="F836" s="25"/>
      <c r="G836" s="24"/>
      <c r="H836" s="24"/>
    </row>
    <row r="837" customFormat="false" ht="15" hidden="false" customHeight="false" outlineLevel="0" collapsed="false">
      <c r="A837" s="22"/>
      <c r="B837" s="24"/>
      <c r="C837" s="24"/>
      <c r="D837" s="24"/>
      <c r="E837" s="22"/>
      <c r="F837" s="25"/>
      <c r="G837" s="24"/>
      <c r="H837" s="24"/>
    </row>
    <row r="838" customFormat="false" ht="15" hidden="false" customHeight="false" outlineLevel="0" collapsed="false">
      <c r="A838" s="22"/>
      <c r="B838" s="24"/>
      <c r="C838" s="24"/>
      <c r="D838" s="24"/>
      <c r="E838" s="22"/>
      <c r="F838" s="25"/>
      <c r="G838" s="24"/>
      <c r="H838" s="24"/>
    </row>
    <row r="839" customFormat="false" ht="15" hidden="false" customHeight="false" outlineLevel="0" collapsed="false">
      <c r="A839" s="22"/>
      <c r="B839" s="24"/>
      <c r="C839" s="24"/>
      <c r="D839" s="24"/>
      <c r="E839" s="22"/>
      <c r="F839" s="25"/>
      <c r="G839" s="24"/>
      <c r="H839" s="24"/>
    </row>
    <row r="840" customFormat="false" ht="15" hidden="false" customHeight="false" outlineLevel="0" collapsed="false">
      <c r="A840" s="22"/>
      <c r="B840" s="24"/>
      <c r="C840" s="24"/>
      <c r="D840" s="24"/>
      <c r="E840" s="22"/>
      <c r="F840" s="25"/>
      <c r="G840" s="24"/>
      <c r="H840" s="24"/>
    </row>
    <row r="841" customFormat="false" ht="15" hidden="false" customHeight="false" outlineLevel="0" collapsed="false">
      <c r="A841" s="22"/>
      <c r="B841" s="24"/>
      <c r="C841" s="24"/>
      <c r="D841" s="24"/>
      <c r="E841" s="22"/>
      <c r="F841" s="25"/>
      <c r="G841" s="24"/>
      <c r="H841" s="24"/>
    </row>
    <row r="842" customFormat="false" ht="15" hidden="false" customHeight="false" outlineLevel="0" collapsed="false">
      <c r="A842" s="22"/>
      <c r="B842" s="24"/>
      <c r="C842" s="24"/>
      <c r="D842" s="24"/>
      <c r="E842" s="22"/>
      <c r="F842" s="25"/>
      <c r="G842" s="24"/>
      <c r="H842" s="24"/>
    </row>
    <row r="843" customFormat="false" ht="15" hidden="false" customHeight="false" outlineLevel="0" collapsed="false">
      <c r="A843" s="22"/>
      <c r="B843" s="24"/>
      <c r="C843" s="24"/>
      <c r="D843" s="24"/>
      <c r="E843" s="22"/>
      <c r="F843" s="25"/>
      <c r="G843" s="24"/>
      <c r="H843" s="24"/>
    </row>
    <row r="844" customFormat="false" ht="15" hidden="false" customHeight="false" outlineLevel="0" collapsed="false">
      <c r="A844" s="22"/>
      <c r="B844" s="24"/>
      <c r="C844" s="24"/>
      <c r="D844" s="24"/>
      <c r="E844" s="22"/>
      <c r="F844" s="25"/>
      <c r="G844" s="24"/>
      <c r="H844" s="24"/>
    </row>
    <row r="845" customFormat="false" ht="15" hidden="false" customHeight="false" outlineLevel="0" collapsed="false">
      <c r="A845" s="22"/>
      <c r="B845" s="24"/>
      <c r="C845" s="24"/>
      <c r="D845" s="24"/>
      <c r="E845" s="22"/>
      <c r="F845" s="25"/>
      <c r="G845" s="24"/>
      <c r="H845" s="24"/>
    </row>
    <row r="846" customFormat="false" ht="15" hidden="false" customHeight="false" outlineLevel="0" collapsed="false">
      <c r="A846" s="22"/>
      <c r="B846" s="24"/>
      <c r="C846" s="24"/>
      <c r="D846" s="24"/>
      <c r="E846" s="22"/>
      <c r="F846" s="25"/>
      <c r="G846" s="24"/>
      <c r="H846" s="24"/>
    </row>
    <row r="847" customFormat="false" ht="15" hidden="false" customHeight="false" outlineLevel="0" collapsed="false">
      <c r="A847" s="22"/>
      <c r="B847" s="24"/>
      <c r="C847" s="24"/>
      <c r="D847" s="24"/>
      <c r="E847" s="22"/>
      <c r="F847" s="25"/>
      <c r="G847" s="24"/>
      <c r="H847" s="24"/>
    </row>
    <row r="848" customFormat="false" ht="15" hidden="false" customHeight="false" outlineLevel="0" collapsed="false">
      <c r="A848" s="22"/>
      <c r="B848" s="24"/>
      <c r="C848" s="24"/>
      <c r="D848" s="24"/>
      <c r="E848" s="22"/>
      <c r="F848" s="25"/>
      <c r="G848" s="24"/>
      <c r="H848" s="24"/>
    </row>
    <row r="849" customFormat="false" ht="15" hidden="false" customHeight="false" outlineLevel="0" collapsed="false">
      <c r="A849" s="22"/>
      <c r="B849" s="24"/>
      <c r="C849" s="24"/>
      <c r="D849" s="24"/>
      <c r="E849" s="22"/>
      <c r="F849" s="25"/>
      <c r="G849" s="24"/>
      <c r="H849" s="24"/>
    </row>
    <row r="850" customFormat="false" ht="15" hidden="false" customHeight="false" outlineLevel="0" collapsed="false">
      <c r="A850" s="22"/>
      <c r="B850" s="24"/>
      <c r="C850" s="24"/>
      <c r="D850" s="24"/>
      <c r="E850" s="22"/>
      <c r="F850" s="25"/>
      <c r="G850" s="24"/>
      <c r="H850" s="24"/>
    </row>
    <row r="851" customFormat="false" ht="15" hidden="false" customHeight="false" outlineLevel="0" collapsed="false">
      <c r="A851" s="22"/>
      <c r="B851" s="24"/>
      <c r="C851" s="24"/>
      <c r="D851" s="24"/>
      <c r="E851" s="22"/>
      <c r="F851" s="25"/>
      <c r="G851" s="24"/>
      <c r="H851" s="24"/>
    </row>
    <row r="852" customFormat="false" ht="15" hidden="false" customHeight="false" outlineLevel="0" collapsed="false">
      <c r="A852" s="22"/>
      <c r="B852" s="24"/>
      <c r="C852" s="24"/>
      <c r="D852" s="24"/>
      <c r="E852" s="22"/>
      <c r="F852" s="25"/>
      <c r="G852" s="24"/>
      <c r="H852" s="24"/>
    </row>
    <row r="853" customFormat="false" ht="15" hidden="false" customHeight="false" outlineLevel="0" collapsed="false">
      <c r="A853" s="22"/>
      <c r="B853" s="24"/>
      <c r="C853" s="24"/>
      <c r="D853" s="24"/>
      <c r="E853" s="22"/>
      <c r="F853" s="25"/>
      <c r="G853" s="24"/>
      <c r="H853" s="24"/>
    </row>
    <row r="854" customFormat="false" ht="15" hidden="false" customHeight="false" outlineLevel="0" collapsed="false">
      <c r="A854" s="22"/>
      <c r="B854" s="24"/>
      <c r="C854" s="24"/>
      <c r="D854" s="24"/>
      <c r="E854" s="22"/>
      <c r="F854" s="25"/>
      <c r="G854" s="24"/>
      <c r="H854" s="24"/>
    </row>
    <row r="855" customFormat="false" ht="15" hidden="false" customHeight="false" outlineLevel="0" collapsed="false">
      <c r="A855" s="22"/>
      <c r="B855" s="24"/>
      <c r="C855" s="24"/>
      <c r="D855" s="24"/>
      <c r="E855" s="22"/>
      <c r="F855" s="25"/>
      <c r="G855" s="24"/>
      <c r="H855" s="24"/>
    </row>
    <row r="856" customFormat="false" ht="15" hidden="false" customHeight="false" outlineLevel="0" collapsed="false">
      <c r="A856" s="22"/>
      <c r="B856" s="24"/>
      <c r="C856" s="24"/>
      <c r="D856" s="24"/>
      <c r="E856" s="22"/>
      <c r="F856" s="25"/>
      <c r="G856" s="24"/>
      <c r="H856" s="24"/>
    </row>
    <row r="857" customFormat="false" ht="15" hidden="false" customHeight="false" outlineLevel="0" collapsed="false">
      <c r="A857" s="22"/>
      <c r="B857" s="24"/>
      <c r="C857" s="24"/>
      <c r="D857" s="24"/>
      <c r="E857" s="22"/>
      <c r="F857" s="25"/>
      <c r="G857" s="24"/>
      <c r="H857" s="24"/>
    </row>
    <row r="858" customFormat="false" ht="15" hidden="false" customHeight="false" outlineLevel="0" collapsed="false">
      <c r="A858" s="22"/>
      <c r="B858" s="24"/>
      <c r="C858" s="24"/>
      <c r="D858" s="24"/>
      <c r="E858" s="22"/>
      <c r="F858" s="25"/>
      <c r="G858" s="24"/>
      <c r="H858" s="24"/>
    </row>
    <row r="859" customFormat="false" ht="15" hidden="false" customHeight="false" outlineLevel="0" collapsed="false">
      <c r="A859" s="22"/>
      <c r="B859" s="24"/>
      <c r="C859" s="24"/>
      <c r="D859" s="24"/>
      <c r="E859" s="22"/>
      <c r="F859" s="25"/>
      <c r="G859" s="24"/>
      <c r="H859" s="24"/>
    </row>
    <row r="860" customFormat="false" ht="15" hidden="false" customHeight="false" outlineLevel="0" collapsed="false">
      <c r="A860" s="22"/>
      <c r="B860" s="24"/>
      <c r="C860" s="24"/>
      <c r="D860" s="24"/>
      <c r="E860" s="22"/>
      <c r="F860" s="25"/>
      <c r="G860" s="24"/>
      <c r="H860" s="24"/>
    </row>
    <row r="861" customFormat="false" ht="15" hidden="false" customHeight="false" outlineLevel="0" collapsed="false">
      <c r="A861" s="22"/>
      <c r="B861" s="24"/>
      <c r="C861" s="24"/>
      <c r="D861" s="24"/>
      <c r="E861" s="22"/>
      <c r="F861" s="25"/>
      <c r="G861" s="24"/>
      <c r="H861" s="24"/>
    </row>
    <row r="862" customFormat="false" ht="15" hidden="false" customHeight="false" outlineLevel="0" collapsed="false">
      <c r="A862" s="22"/>
      <c r="B862" s="24"/>
      <c r="C862" s="24"/>
      <c r="D862" s="24"/>
      <c r="E862" s="22"/>
      <c r="F862" s="25"/>
      <c r="G862" s="24"/>
      <c r="H862" s="24"/>
    </row>
    <row r="863" customFormat="false" ht="15" hidden="false" customHeight="false" outlineLevel="0" collapsed="false">
      <c r="A863" s="22"/>
      <c r="B863" s="24"/>
      <c r="C863" s="24"/>
      <c r="D863" s="24"/>
      <c r="E863" s="22"/>
      <c r="F863" s="25"/>
      <c r="G863" s="24"/>
      <c r="H863" s="24"/>
    </row>
    <row r="864" customFormat="false" ht="15" hidden="false" customHeight="false" outlineLevel="0" collapsed="false">
      <c r="A864" s="22"/>
      <c r="B864" s="24"/>
      <c r="C864" s="24"/>
      <c r="D864" s="24"/>
      <c r="E864" s="22"/>
      <c r="F864" s="25"/>
      <c r="G864" s="24"/>
      <c r="H864" s="24"/>
    </row>
    <row r="865" customFormat="false" ht="15" hidden="false" customHeight="false" outlineLevel="0" collapsed="false">
      <c r="A865" s="22"/>
      <c r="B865" s="24"/>
      <c r="C865" s="24"/>
      <c r="D865" s="24"/>
      <c r="E865" s="22"/>
      <c r="F865" s="25"/>
      <c r="G865" s="24"/>
      <c r="H865" s="24"/>
    </row>
    <row r="866" customFormat="false" ht="15" hidden="false" customHeight="false" outlineLevel="0" collapsed="false">
      <c r="A866" s="22"/>
      <c r="B866" s="24"/>
      <c r="C866" s="24"/>
      <c r="D866" s="24"/>
      <c r="E866" s="22"/>
      <c r="F866" s="25"/>
      <c r="G866" s="24"/>
      <c r="H866" s="24"/>
    </row>
    <row r="867" customFormat="false" ht="15" hidden="false" customHeight="false" outlineLevel="0" collapsed="false">
      <c r="A867" s="22"/>
      <c r="B867" s="24"/>
      <c r="C867" s="24"/>
      <c r="D867" s="24"/>
      <c r="E867" s="22"/>
      <c r="F867" s="25"/>
      <c r="G867" s="24"/>
      <c r="H867" s="24"/>
    </row>
    <row r="868" customFormat="false" ht="15" hidden="false" customHeight="false" outlineLevel="0" collapsed="false">
      <c r="A868" s="22"/>
      <c r="B868" s="24"/>
      <c r="C868" s="24"/>
      <c r="D868" s="24"/>
      <c r="E868" s="22"/>
      <c r="F868" s="25"/>
      <c r="G868" s="24"/>
      <c r="H868" s="24"/>
    </row>
    <row r="869" customFormat="false" ht="15" hidden="false" customHeight="false" outlineLevel="0" collapsed="false">
      <c r="A869" s="22"/>
      <c r="B869" s="24"/>
      <c r="C869" s="24"/>
      <c r="D869" s="24"/>
      <c r="E869" s="22"/>
      <c r="F869" s="25"/>
      <c r="G869" s="24"/>
      <c r="H869" s="24"/>
    </row>
    <row r="870" customFormat="false" ht="15" hidden="false" customHeight="false" outlineLevel="0" collapsed="false">
      <c r="A870" s="22"/>
      <c r="B870" s="24"/>
      <c r="C870" s="24"/>
      <c r="D870" s="24"/>
      <c r="E870" s="22"/>
      <c r="F870" s="25"/>
      <c r="G870" s="24"/>
      <c r="H870" s="24"/>
    </row>
    <row r="871" customFormat="false" ht="15" hidden="false" customHeight="false" outlineLevel="0" collapsed="false">
      <c r="A871" s="22"/>
      <c r="B871" s="24"/>
      <c r="C871" s="24"/>
      <c r="D871" s="24"/>
      <c r="E871" s="22"/>
      <c r="F871" s="25"/>
      <c r="G871" s="24"/>
      <c r="H871" s="24"/>
    </row>
    <row r="872" customFormat="false" ht="15" hidden="false" customHeight="false" outlineLevel="0" collapsed="false">
      <c r="A872" s="22"/>
      <c r="B872" s="24"/>
      <c r="C872" s="24"/>
      <c r="D872" s="24"/>
      <c r="E872" s="22"/>
      <c r="F872" s="25"/>
      <c r="G872" s="24"/>
      <c r="H872" s="24"/>
    </row>
    <row r="873" customFormat="false" ht="15" hidden="false" customHeight="false" outlineLevel="0" collapsed="false">
      <c r="A873" s="22"/>
      <c r="B873" s="24"/>
      <c r="C873" s="24"/>
      <c r="D873" s="24"/>
      <c r="E873" s="22"/>
      <c r="F873" s="25"/>
      <c r="G873" s="24"/>
      <c r="H873" s="24"/>
    </row>
    <row r="874" customFormat="false" ht="15" hidden="false" customHeight="false" outlineLevel="0" collapsed="false">
      <c r="A874" s="22"/>
      <c r="B874" s="24"/>
      <c r="C874" s="24"/>
      <c r="D874" s="24"/>
      <c r="E874" s="22"/>
      <c r="F874" s="25"/>
      <c r="G874" s="24"/>
      <c r="H874" s="24"/>
    </row>
    <row r="875" customFormat="false" ht="15" hidden="false" customHeight="false" outlineLevel="0" collapsed="false">
      <c r="A875" s="22"/>
      <c r="B875" s="24"/>
      <c r="C875" s="24"/>
      <c r="D875" s="24"/>
      <c r="E875" s="22"/>
      <c r="F875" s="25"/>
      <c r="G875" s="24"/>
      <c r="H875" s="24"/>
    </row>
    <row r="876" customFormat="false" ht="15" hidden="false" customHeight="false" outlineLevel="0" collapsed="false">
      <c r="A876" s="22"/>
      <c r="B876" s="24"/>
      <c r="C876" s="24"/>
      <c r="D876" s="24"/>
      <c r="E876" s="22"/>
      <c r="F876" s="25"/>
      <c r="G876" s="24"/>
      <c r="H876" s="24"/>
    </row>
    <row r="877" customFormat="false" ht="15" hidden="false" customHeight="false" outlineLevel="0" collapsed="false">
      <c r="A877" s="22"/>
      <c r="B877" s="24"/>
      <c r="C877" s="24"/>
      <c r="D877" s="24"/>
      <c r="E877" s="22"/>
      <c r="F877" s="25"/>
      <c r="G877" s="24"/>
      <c r="H877" s="24"/>
    </row>
    <row r="878" customFormat="false" ht="15" hidden="false" customHeight="false" outlineLevel="0" collapsed="false">
      <c r="A878" s="22"/>
      <c r="B878" s="24"/>
      <c r="C878" s="24"/>
      <c r="D878" s="24"/>
      <c r="E878" s="22"/>
      <c r="F878" s="25"/>
      <c r="G878" s="24"/>
      <c r="H878" s="24"/>
    </row>
    <row r="879" customFormat="false" ht="15" hidden="false" customHeight="false" outlineLevel="0" collapsed="false">
      <c r="A879" s="22"/>
      <c r="B879" s="24"/>
      <c r="C879" s="24"/>
      <c r="D879" s="24"/>
      <c r="E879" s="22"/>
      <c r="F879" s="25"/>
      <c r="G879" s="24"/>
      <c r="H879" s="24"/>
    </row>
    <row r="880" customFormat="false" ht="15" hidden="false" customHeight="false" outlineLevel="0" collapsed="false">
      <c r="A880" s="22"/>
      <c r="B880" s="24"/>
      <c r="C880" s="24"/>
      <c r="D880" s="24"/>
      <c r="E880" s="22"/>
      <c r="F880" s="25"/>
      <c r="G880" s="24"/>
      <c r="H880" s="24"/>
    </row>
    <row r="881" customFormat="false" ht="15" hidden="false" customHeight="false" outlineLevel="0" collapsed="false">
      <c r="A881" s="22"/>
      <c r="B881" s="24"/>
      <c r="C881" s="24"/>
      <c r="D881" s="24"/>
      <c r="E881" s="22"/>
      <c r="F881" s="25"/>
      <c r="G881" s="24"/>
      <c r="H881" s="24"/>
    </row>
    <row r="882" customFormat="false" ht="15" hidden="false" customHeight="false" outlineLevel="0" collapsed="false">
      <c r="A882" s="22"/>
      <c r="B882" s="24"/>
      <c r="C882" s="24"/>
      <c r="D882" s="24"/>
      <c r="E882" s="22"/>
      <c r="F882" s="25"/>
      <c r="G882" s="24"/>
      <c r="H882" s="24"/>
    </row>
    <row r="883" customFormat="false" ht="15" hidden="false" customHeight="false" outlineLevel="0" collapsed="false">
      <c r="A883" s="22"/>
      <c r="B883" s="24"/>
      <c r="C883" s="24"/>
      <c r="D883" s="24"/>
      <c r="E883" s="22"/>
      <c r="F883" s="25"/>
      <c r="G883" s="24"/>
      <c r="H883" s="24"/>
    </row>
    <row r="884" customFormat="false" ht="15" hidden="false" customHeight="false" outlineLevel="0" collapsed="false">
      <c r="A884" s="22"/>
      <c r="B884" s="24"/>
      <c r="C884" s="24"/>
      <c r="D884" s="24"/>
      <c r="E884" s="22"/>
      <c r="F884" s="25"/>
      <c r="G884" s="24"/>
      <c r="H884" s="24"/>
    </row>
    <row r="885" customFormat="false" ht="15" hidden="false" customHeight="false" outlineLevel="0" collapsed="false">
      <c r="A885" s="22"/>
      <c r="B885" s="24"/>
      <c r="C885" s="24"/>
      <c r="D885" s="24"/>
      <c r="E885" s="22"/>
      <c r="F885" s="25"/>
      <c r="G885" s="24"/>
      <c r="H885" s="24"/>
    </row>
    <row r="886" customFormat="false" ht="15" hidden="false" customHeight="false" outlineLevel="0" collapsed="false">
      <c r="A886" s="22"/>
      <c r="B886" s="24"/>
      <c r="C886" s="24"/>
      <c r="D886" s="24"/>
      <c r="E886" s="22"/>
      <c r="F886" s="25"/>
      <c r="G886" s="24"/>
      <c r="H886" s="24"/>
    </row>
    <row r="887" customFormat="false" ht="15" hidden="false" customHeight="false" outlineLevel="0" collapsed="false">
      <c r="A887" s="22"/>
      <c r="B887" s="24"/>
      <c r="C887" s="24"/>
      <c r="D887" s="24"/>
      <c r="E887" s="22"/>
      <c r="F887" s="25"/>
      <c r="G887" s="24"/>
      <c r="H887" s="24"/>
    </row>
    <row r="888" customFormat="false" ht="15" hidden="false" customHeight="false" outlineLevel="0" collapsed="false">
      <c r="A888" s="22"/>
      <c r="B888" s="24"/>
      <c r="C888" s="24"/>
      <c r="D888" s="24"/>
      <c r="E888" s="22"/>
      <c r="F888" s="25"/>
      <c r="G888" s="24"/>
      <c r="H888" s="24"/>
    </row>
    <row r="889" customFormat="false" ht="15" hidden="false" customHeight="false" outlineLevel="0" collapsed="false">
      <c r="A889" s="22"/>
      <c r="B889" s="24"/>
      <c r="C889" s="24"/>
      <c r="D889" s="24"/>
      <c r="E889" s="22"/>
      <c r="F889" s="25"/>
      <c r="G889" s="24"/>
      <c r="H889" s="24"/>
    </row>
    <row r="890" customFormat="false" ht="15" hidden="false" customHeight="false" outlineLevel="0" collapsed="false">
      <c r="A890" s="22"/>
      <c r="B890" s="24"/>
      <c r="C890" s="24"/>
      <c r="D890" s="24"/>
      <c r="E890" s="22"/>
      <c r="F890" s="25"/>
      <c r="G890" s="24"/>
      <c r="H890" s="24"/>
    </row>
    <row r="891" customFormat="false" ht="15" hidden="false" customHeight="false" outlineLevel="0" collapsed="false">
      <c r="A891" s="22"/>
      <c r="B891" s="24"/>
      <c r="C891" s="24"/>
      <c r="D891" s="24"/>
      <c r="E891" s="22"/>
      <c r="F891" s="25"/>
      <c r="G891" s="24"/>
      <c r="H891" s="24"/>
    </row>
    <row r="892" customFormat="false" ht="15" hidden="false" customHeight="false" outlineLevel="0" collapsed="false">
      <c r="A892" s="22"/>
      <c r="B892" s="24"/>
      <c r="C892" s="24"/>
      <c r="D892" s="24"/>
      <c r="E892" s="22"/>
      <c r="F892" s="25"/>
      <c r="G892" s="24"/>
      <c r="H892" s="24"/>
    </row>
    <row r="893" customFormat="false" ht="15" hidden="false" customHeight="false" outlineLevel="0" collapsed="false">
      <c r="A893" s="22"/>
      <c r="B893" s="24"/>
      <c r="C893" s="24"/>
      <c r="D893" s="24"/>
      <c r="E893" s="22"/>
      <c r="F893" s="25"/>
      <c r="G893" s="24"/>
      <c r="H893" s="24"/>
    </row>
    <row r="894" customFormat="false" ht="15" hidden="false" customHeight="false" outlineLevel="0" collapsed="false">
      <c r="A894" s="22"/>
      <c r="B894" s="24"/>
      <c r="C894" s="24"/>
      <c r="D894" s="24"/>
      <c r="E894" s="22"/>
      <c r="F894" s="25"/>
      <c r="G894" s="24"/>
      <c r="H894" s="24"/>
    </row>
    <row r="895" customFormat="false" ht="15" hidden="false" customHeight="false" outlineLevel="0" collapsed="false">
      <c r="A895" s="22"/>
      <c r="B895" s="24"/>
      <c r="C895" s="24"/>
      <c r="D895" s="24"/>
      <c r="E895" s="22"/>
      <c r="F895" s="25"/>
      <c r="G895" s="24"/>
      <c r="H895" s="24"/>
    </row>
    <row r="896" customFormat="false" ht="15" hidden="false" customHeight="false" outlineLevel="0" collapsed="false">
      <c r="A896" s="22"/>
      <c r="B896" s="24"/>
      <c r="C896" s="24"/>
      <c r="D896" s="24"/>
      <c r="E896" s="22"/>
      <c r="F896" s="25"/>
      <c r="G896" s="24"/>
      <c r="H896" s="24"/>
    </row>
    <row r="897" customFormat="false" ht="15" hidden="false" customHeight="false" outlineLevel="0" collapsed="false">
      <c r="A897" s="22"/>
      <c r="B897" s="24"/>
      <c r="C897" s="24"/>
      <c r="D897" s="24"/>
      <c r="E897" s="22"/>
      <c r="F897" s="25"/>
      <c r="G897" s="24"/>
      <c r="H897" s="24"/>
    </row>
    <row r="898" customFormat="false" ht="15" hidden="false" customHeight="false" outlineLevel="0" collapsed="false">
      <c r="A898" s="22"/>
      <c r="B898" s="24"/>
      <c r="C898" s="24"/>
      <c r="D898" s="24"/>
      <c r="E898" s="22"/>
      <c r="F898" s="25"/>
      <c r="G898" s="24"/>
      <c r="H898" s="24"/>
    </row>
    <row r="899" customFormat="false" ht="15" hidden="false" customHeight="false" outlineLevel="0" collapsed="false">
      <c r="A899" s="22"/>
      <c r="B899" s="24"/>
      <c r="C899" s="24"/>
      <c r="D899" s="24"/>
      <c r="E899" s="22"/>
      <c r="F899" s="25"/>
      <c r="G899" s="24"/>
      <c r="H899" s="24"/>
    </row>
    <row r="900" customFormat="false" ht="15" hidden="false" customHeight="false" outlineLevel="0" collapsed="false">
      <c r="A900" s="22"/>
      <c r="B900" s="24"/>
      <c r="C900" s="24"/>
      <c r="D900" s="24"/>
      <c r="E900" s="22"/>
      <c r="F900" s="25"/>
      <c r="G900" s="24"/>
      <c r="H900" s="24"/>
    </row>
    <row r="901" customFormat="false" ht="15" hidden="false" customHeight="false" outlineLevel="0" collapsed="false">
      <c r="A901" s="22"/>
      <c r="B901" s="24"/>
      <c r="C901" s="24"/>
      <c r="D901" s="24"/>
      <c r="E901" s="22"/>
      <c r="F901" s="25"/>
      <c r="G901" s="24"/>
      <c r="H901" s="24"/>
    </row>
    <row r="902" customFormat="false" ht="15" hidden="false" customHeight="false" outlineLevel="0" collapsed="false">
      <c r="A902" s="22"/>
      <c r="B902" s="24"/>
      <c r="C902" s="24"/>
      <c r="D902" s="24"/>
      <c r="E902" s="22"/>
      <c r="F902" s="25"/>
      <c r="G902" s="24"/>
      <c r="H902" s="24"/>
    </row>
    <row r="903" customFormat="false" ht="15" hidden="false" customHeight="false" outlineLevel="0" collapsed="false">
      <c r="A903" s="22"/>
      <c r="B903" s="24"/>
      <c r="C903" s="24"/>
      <c r="D903" s="24"/>
      <c r="E903" s="22"/>
      <c r="F903" s="25"/>
      <c r="G903" s="24"/>
      <c r="H903" s="24"/>
    </row>
    <row r="904" customFormat="false" ht="15" hidden="false" customHeight="false" outlineLevel="0" collapsed="false">
      <c r="A904" s="22"/>
      <c r="B904" s="24"/>
      <c r="C904" s="24"/>
      <c r="D904" s="24"/>
      <c r="E904" s="22"/>
      <c r="F904" s="25"/>
      <c r="G904" s="24"/>
      <c r="H904" s="24"/>
    </row>
    <row r="905" customFormat="false" ht="15" hidden="false" customHeight="false" outlineLevel="0" collapsed="false">
      <c r="A905" s="22"/>
      <c r="B905" s="24"/>
      <c r="C905" s="24"/>
      <c r="D905" s="24"/>
      <c r="E905" s="22"/>
      <c r="F905" s="25"/>
      <c r="G905" s="24"/>
      <c r="H905" s="24"/>
    </row>
    <row r="906" customFormat="false" ht="15" hidden="false" customHeight="false" outlineLevel="0" collapsed="false">
      <c r="A906" s="22"/>
      <c r="B906" s="24"/>
      <c r="C906" s="24"/>
      <c r="D906" s="24"/>
      <c r="E906" s="22"/>
      <c r="F906" s="25"/>
      <c r="G906" s="24"/>
      <c r="H906" s="24"/>
    </row>
    <row r="907" customFormat="false" ht="15" hidden="false" customHeight="false" outlineLevel="0" collapsed="false">
      <c r="A907" s="22"/>
      <c r="B907" s="24"/>
      <c r="C907" s="24"/>
      <c r="D907" s="24"/>
      <c r="E907" s="22"/>
      <c r="F907" s="25"/>
      <c r="G907" s="24"/>
      <c r="H907" s="24"/>
    </row>
    <row r="908" customFormat="false" ht="15" hidden="false" customHeight="false" outlineLevel="0" collapsed="false">
      <c r="A908" s="22"/>
      <c r="B908" s="24"/>
      <c r="C908" s="24"/>
      <c r="D908" s="24"/>
      <c r="E908" s="22"/>
      <c r="F908" s="25"/>
      <c r="G908" s="24"/>
      <c r="H908" s="24"/>
    </row>
    <row r="909" customFormat="false" ht="15" hidden="false" customHeight="false" outlineLevel="0" collapsed="false">
      <c r="A909" s="22"/>
      <c r="B909" s="24"/>
      <c r="C909" s="24"/>
      <c r="D909" s="24"/>
      <c r="E909" s="22"/>
      <c r="F909" s="25"/>
      <c r="G909" s="24"/>
      <c r="H909" s="24"/>
    </row>
    <row r="910" customFormat="false" ht="15" hidden="false" customHeight="false" outlineLevel="0" collapsed="false">
      <c r="A910" s="22"/>
      <c r="B910" s="24"/>
      <c r="C910" s="24"/>
      <c r="D910" s="24"/>
      <c r="E910" s="22"/>
      <c r="F910" s="25"/>
      <c r="G910" s="24"/>
      <c r="H910" s="24"/>
    </row>
    <row r="911" customFormat="false" ht="15" hidden="false" customHeight="false" outlineLevel="0" collapsed="false">
      <c r="A911" s="22"/>
      <c r="B911" s="24"/>
      <c r="C911" s="24"/>
      <c r="D911" s="24"/>
      <c r="E911" s="22"/>
      <c r="F911" s="25"/>
      <c r="G911" s="24"/>
      <c r="H911" s="24"/>
    </row>
    <row r="912" customFormat="false" ht="15" hidden="false" customHeight="false" outlineLevel="0" collapsed="false">
      <c r="A912" s="22"/>
      <c r="B912" s="24"/>
      <c r="C912" s="24"/>
      <c r="D912" s="24"/>
      <c r="E912" s="22"/>
      <c r="F912" s="25"/>
      <c r="G912" s="24"/>
      <c r="H912" s="24"/>
    </row>
    <row r="913" customFormat="false" ht="15" hidden="false" customHeight="false" outlineLevel="0" collapsed="false">
      <c r="A913" s="22"/>
      <c r="B913" s="24"/>
      <c r="C913" s="24"/>
      <c r="D913" s="24"/>
      <c r="E913" s="22"/>
      <c r="F913" s="25"/>
      <c r="G913" s="24"/>
      <c r="H913" s="24"/>
    </row>
    <row r="914" customFormat="false" ht="15" hidden="false" customHeight="false" outlineLevel="0" collapsed="false">
      <c r="A914" s="22"/>
      <c r="B914" s="24"/>
      <c r="C914" s="24"/>
      <c r="D914" s="24"/>
      <c r="E914" s="22"/>
      <c r="F914" s="25"/>
      <c r="G914" s="24"/>
      <c r="H914" s="24"/>
    </row>
    <row r="915" customFormat="false" ht="15" hidden="false" customHeight="false" outlineLevel="0" collapsed="false">
      <c r="A915" s="22"/>
      <c r="B915" s="24"/>
      <c r="C915" s="24"/>
      <c r="D915" s="24"/>
      <c r="E915" s="22"/>
      <c r="F915" s="25"/>
      <c r="G915" s="24"/>
      <c r="H915" s="24"/>
    </row>
    <row r="916" customFormat="false" ht="15" hidden="false" customHeight="false" outlineLevel="0" collapsed="false">
      <c r="A916" s="22"/>
      <c r="B916" s="24"/>
      <c r="C916" s="24"/>
      <c r="D916" s="24"/>
      <c r="E916" s="22"/>
      <c r="F916" s="25"/>
      <c r="G916" s="24"/>
      <c r="H916" s="24"/>
    </row>
    <row r="917" customFormat="false" ht="15" hidden="false" customHeight="false" outlineLevel="0" collapsed="false">
      <c r="A917" s="22"/>
      <c r="B917" s="24"/>
      <c r="C917" s="24"/>
      <c r="D917" s="24"/>
      <c r="E917" s="22"/>
      <c r="F917" s="25"/>
      <c r="G917" s="24"/>
      <c r="H917" s="24"/>
    </row>
    <row r="918" customFormat="false" ht="15" hidden="false" customHeight="false" outlineLevel="0" collapsed="false">
      <c r="A918" s="22"/>
      <c r="B918" s="24"/>
      <c r="C918" s="24"/>
      <c r="D918" s="24"/>
      <c r="E918" s="22"/>
      <c r="F918" s="25"/>
      <c r="G918" s="24"/>
      <c r="H918" s="24"/>
    </row>
    <row r="919" customFormat="false" ht="15" hidden="false" customHeight="false" outlineLevel="0" collapsed="false">
      <c r="A919" s="22"/>
      <c r="B919" s="24"/>
      <c r="C919" s="24"/>
      <c r="D919" s="24"/>
      <c r="E919" s="22"/>
      <c r="F919" s="25"/>
      <c r="G919" s="24"/>
      <c r="H919" s="24"/>
    </row>
    <row r="920" customFormat="false" ht="15" hidden="false" customHeight="false" outlineLevel="0" collapsed="false">
      <c r="A920" s="22"/>
      <c r="B920" s="24"/>
      <c r="C920" s="24"/>
      <c r="D920" s="24"/>
      <c r="E920" s="22"/>
      <c r="F920" s="25"/>
      <c r="G920" s="24"/>
      <c r="H920" s="24"/>
    </row>
    <row r="921" customFormat="false" ht="15" hidden="false" customHeight="false" outlineLevel="0" collapsed="false">
      <c r="A921" s="22"/>
      <c r="B921" s="24"/>
      <c r="C921" s="24"/>
      <c r="D921" s="24"/>
      <c r="E921" s="22"/>
      <c r="F921" s="25"/>
      <c r="G921" s="24"/>
      <c r="H921" s="24"/>
    </row>
    <row r="922" customFormat="false" ht="15" hidden="false" customHeight="false" outlineLevel="0" collapsed="false">
      <c r="A922" s="22"/>
      <c r="B922" s="24"/>
      <c r="C922" s="24"/>
      <c r="D922" s="24"/>
      <c r="E922" s="22"/>
      <c r="F922" s="25"/>
      <c r="G922" s="24"/>
      <c r="H922" s="24"/>
    </row>
    <row r="923" customFormat="false" ht="15" hidden="false" customHeight="false" outlineLevel="0" collapsed="false">
      <c r="A923" s="22"/>
      <c r="B923" s="24"/>
      <c r="C923" s="24"/>
      <c r="D923" s="24"/>
      <c r="E923" s="22"/>
      <c r="F923" s="25"/>
      <c r="G923" s="24"/>
      <c r="H923" s="24"/>
    </row>
    <row r="924" customFormat="false" ht="15" hidden="false" customHeight="false" outlineLevel="0" collapsed="false">
      <c r="A924" s="22"/>
      <c r="B924" s="24"/>
      <c r="C924" s="24"/>
      <c r="D924" s="24"/>
      <c r="E924" s="22"/>
      <c r="F924" s="25"/>
      <c r="G924" s="24"/>
      <c r="H924" s="24"/>
    </row>
    <row r="925" customFormat="false" ht="15" hidden="false" customHeight="false" outlineLevel="0" collapsed="false">
      <c r="A925" s="22"/>
      <c r="B925" s="24"/>
      <c r="C925" s="24"/>
      <c r="D925" s="24"/>
      <c r="E925" s="22"/>
      <c r="F925" s="25"/>
      <c r="G925" s="24"/>
      <c r="H925" s="24"/>
    </row>
    <row r="926" customFormat="false" ht="15" hidden="false" customHeight="false" outlineLevel="0" collapsed="false">
      <c r="A926" s="22"/>
      <c r="B926" s="24"/>
      <c r="C926" s="24"/>
      <c r="D926" s="24"/>
      <c r="E926" s="22"/>
      <c r="F926" s="25"/>
      <c r="G926" s="24"/>
      <c r="H926" s="24"/>
    </row>
    <row r="927" customFormat="false" ht="15" hidden="false" customHeight="false" outlineLevel="0" collapsed="false">
      <c r="A927" s="22"/>
      <c r="B927" s="24"/>
      <c r="C927" s="24"/>
      <c r="D927" s="24"/>
      <c r="E927" s="22"/>
      <c r="F927" s="25"/>
      <c r="G927" s="24"/>
      <c r="H927" s="24"/>
    </row>
    <row r="928" customFormat="false" ht="15" hidden="false" customHeight="false" outlineLevel="0" collapsed="false">
      <c r="A928" s="22"/>
      <c r="B928" s="24"/>
      <c r="C928" s="24"/>
      <c r="D928" s="24"/>
      <c r="E928" s="22"/>
      <c r="F928" s="25"/>
      <c r="G928" s="24"/>
      <c r="H928" s="24"/>
    </row>
    <row r="929" customFormat="false" ht="15" hidden="false" customHeight="false" outlineLevel="0" collapsed="false">
      <c r="A929" s="22"/>
      <c r="B929" s="24"/>
      <c r="C929" s="24"/>
      <c r="D929" s="24"/>
      <c r="E929" s="22"/>
      <c r="F929" s="25"/>
      <c r="G929" s="24"/>
      <c r="H929" s="24"/>
    </row>
    <row r="930" customFormat="false" ht="15" hidden="false" customHeight="false" outlineLevel="0" collapsed="false">
      <c r="A930" s="22"/>
      <c r="B930" s="24"/>
      <c r="C930" s="24"/>
      <c r="D930" s="24"/>
      <c r="E930" s="22"/>
      <c r="F930" s="25"/>
      <c r="G930" s="24"/>
      <c r="H930" s="24"/>
    </row>
    <row r="931" customFormat="false" ht="15" hidden="false" customHeight="false" outlineLevel="0" collapsed="false">
      <c r="A931" s="22"/>
      <c r="B931" s="24"/>
      <c r="C931" s="24"/>
      <c r="D931" s="24"/>
      <c r="E931" s="22"/>
      <c r="F931" s="25"/>
      <c r="G931" s="24"/>
      <c r="H931" s="24"/>
    </row>
    <row r="932" customFormat="false" ht="15" hidden="false" customHeight="false" outlineLevel="0" collapsed="false">
      <c r="A932" s="22"/>
      <c r="B932" s="24"/>
      <c r="C932" s="24"/>
      <c r="D932" s="24"/>
      <c r="E932" s="22"/>
      <c r="F932" s="25"/>
      <c r="G932" s="24"/>
      <c r="H932" s="24"/>
    </row>
    <row r="933" customFormat="false" ht="15" hidden="false" customHeight="false" outlineLevel="0" collapsed="false">
      <c r="A933" s="22"/>
      <c r="B933" s="24"/>
      <c r="C933" s="24"/>
      <c r="D933" s="24"/>
      <c r="E933" s="22"/>
      <c r="F933" s="25"/>
      <c r="G933" s="24"/>
      <c r="H933" s="24"/>
    </row>
    <row r="934" customFormat="false" ht="15" hidden="false" customHeight="false" outlineLevel="0" collapsed="false">
      <c r="A934" s="22"/>
      <c r="B934" s="24"/>
      <c r="C934" s="24"/>
      <c r="D934" s="24"/>
      <c r="E934" s="22"/>
      <c r="F934" s="25"/>
      <c r="G934" s="24"/>
      <c r="H934" s="24"/>
    </row>
    <row r="935" customFormat="false" ht="15" hidden="false" customHeight="false" outlineLevel="0" collapsed="false">
      <c r="A935" s="22"/>
      <c r="B935" s="24"/>
      <c r="C935" s="24"/>
      <c r="D935" s="24"/>
      <c r="E935" s="22"/>
      <c r="F935" s="25"/>
      <c r="G935" s="24"/>
      <c r="H935" s="24"/>
    </row>
    <row r="936" customFormat="false" ht="15" hidden="false" customHeight="false" outlineLevel="0" collapsed="false">
      <c r="A936" s="22"/>
      <c r="B936" s="24"/>
      <c r="C936" s="24"/>
      <c r="D936" s="24"/>
      <c r="E936" s="22"/>
      <c r="F936" s="25"/>
      <c r="G936" s="24"/>
      <c r="H936" s="24"/>
    </row>
    <row r="937" customFormat="false" ht="15" hidden="false" customHeight="false" outlineLevel="0" collapsed="false">
      <c r="A937" s="22"/>
      <c r="B937" s="24"/>
      <c r="C937" s="24"/>
      <c r="D937" s="24"/>
      <c r="E937" s="22"/>
      <c r="F937" s="25"/>
      <c r="G937" s="24"/>
      <c r="H937" s="24"/>
    </row>
    <row r="938" customFormat="false" ht="15" hidden="false" customHeight="false" outlineLevel="0" collapsed="false">
      <c r="A938" s="22"/>
      <c r="B938" s="24"/>
      <c r="C938" s="24"/>
      <c r="D938" s="24"/>
      <c r="E938" s="22"/>
      <c r="F938" s="25"/>
      <c r="G938" s="24"/>
      <c r="H938" s="24"/>
    </row>
    <row r="939" customFormat="false" ht="15" hidden="false" customHeight="false" outlineLevel="0" collapsed="false">
      <c r="A939" s="22"/>
      <c r="B939" s="24"/>
      <c r="C939" s="24"/>
      <c r="D939" s="24"/>
      <c r="E939" s="22"/>
      <c r="F939" s="25"/>
      <c r="G939" s="24"/>
      <c r="H939" s="24"/>
    </row>
    <row r="940" customFormat="false" ht="15" hidden="false" customHeight="false" outlineLevel="0" collapsed="false">
      <c r="A940" s="22"/>
      <c r="B940" s="24"/>
      <c r="C940" s="24"/>
      <c r="D940" s="24"/>
      <c r="E940" s="22"/>
      <c r="F940" s="25"/>
      <c r="G940" s="24"/>
      <c r="H940" s="24"/>
    </row>
    <row r="941" customFormat="false" ht="15" hidden="false" customHeight="false" outlineLevel="0" collapsed="false">
      <c r="A941" s="22"/>
      <c r="B941" s="24"/>
      <c r="C941" s="24"/>
      <c r="D941" s="24"/>
      <c r="E941" s="22"/>
      <c r="F941" s="25"/>
      <c r="G941" s="24"/>
      <c r="H941" s="24"/>
    </row>
    <row r="942" customFormat="false" ht="15" hidden="false" customHeight="false" outlineLevel="0" collapsed="false">
      <c r="A942" s="22"/>
      <c r="B942" s="24"/>
      <c r="C942" s="24"/>
      <c r="D942" s="24"/>
      <c r="E942" s="22"/>
      <c r="F942" s="25"/>
      <c r="G942" s="24"/>
      <c r="H942" s="24"/>
    </row>
    <row r="943" customFormat="false" ht="15" hidden="false" customHeight="false" outlineLevel="0" collapsed="false">
      <c r="A943" s="22"/>
      <c r="B943" s="24"/>
      <c r="C943" s="24"/>
      <c r="D943" s="24"/>
      <c r="E943" s="22"/>
      <c r="F943" s="25"/>
      <c r="G943" s="24"/>
      <c r="H943" s="24"/>
    </row>
    <row r="944" customFormat="false" ht="15" hidden="false" customHeight="false" outlineLevel="0" collapsed="false">
      <c r="A944" s="22"/>
      <c r="B944" s="24"/>
      <c r="C944" s="24"/>
      <c r="D944" s="24"/>
      <c r="E944" s="22"/>
      <c r="F944" s="25"/>
      <c r="G944" s="24"/>
      <c r="H944" s="24"/>
    </row>
    <row r="945" customFormat="false" ht="15" hidden="false" customHeight="false" outlineLevel="0" collapsed="false">
      <c r="A945" s="22"/>
      <c r="B945" s="24"/>
      <c r="C945" s="24"/>
      <c r="D945" s="24"/>
      <c r="E945" s="22"/>
      <c r="F945" s="25"/>
      <c r="G945" s="24"/>
      <c r="H945" s="24"/>
    </row>
    <row r="946" customFormat="false" ht="15" hidden="false" customHeight="false" outlineLevel="0" collapsed="false">
      <c r="A946" s="22"/>
      <c r="B946" s="24"/>
      <c r="C946" s="24"/>
      <c r="D946" s="24"/>
      <c r="E946" s="22"/>
      <c r="F946" s="25"/>
      <c r="G946" s="24"/>
      <c r="H946" s="24"/>
    </row>
    <row r="947" customFormat="false" ht="15" hidden="false" customHeight="false" outlineLevel="0" collapsed="false">
      <c r="A947" s="22"/>
      <c r="B947" s="24"/>
      <c r="C947" s="24"/>
      <c r="D947" s="24"/>
      <c r="E947" s="22"/>
      <c r="F947" s="25"/>
      <c r="G947" s="24"/>
      <c r="H947" s="24"/>
    </row>
    <row r="948" customFormat="false" ht="15" hidden="false" customHeight="false" outlineLevel="0" collapsed="false">
      <c r="A948" s="22"/>
      <c r="B948" s="24"/>
      <c r="C948" s="24"/>
      <c r="D948" s="24"/>
      <c r="E948" s="22"/>
      <c r="F948" s="25"/>
      <c r="G948" s="24"/>
      <c r="H948" s="24"/>
    </row>
    <row r="949" customFormat="false" ht="15" hidden="false" customHeight="false" outlineLevel="0" collapsed="false">
      <c r="A949" s="22"/>
      <c r="B949" s="24"/>
      <c r="C949" s="24"/>
      <c r="D949" s="24"/>
      <c r="E949" s="22"/>
      <c r="F949" s="25"/>
      <c r="G949" s="24"/>
      <c r="H949" s="24"/>
    </row>
    <row r="950" customFormat="false" ht="15" hidden="false" customHeight="false" outlineLevel="0" collapsed="false">
      <c r="A950" s="22"/>
      <c r="B950" s="24"/>
      <c r="C950" s="24"/>
      <c r="D950" s="24"/>
      <c r="E950" s="22"/>
      <c r="F950" s="25"/>
      <c r="G950" s="24"/>
      <c r="H950" s="24"/>
    </row>
    <row r="951" customFormat="false" ht="15" hidden="false" customHeight="false" outlineLevel="0" collapsed="false">
      <c r="A951" s="22"/>
      <c r="B951" s="24"/>
      <c r="C951" s="24"/>
      <c r="D951" s="24"/>
      <c r="E951" s="22"/>
      <c r="F951" s="25"/>
      <c r="G951" s="24"/>
      <c r="H951" s="24"/>
    </row>
    <row r="952" customFormat="false" ht="15" hidden="false" customHeight="false" outlineLevel="0" collapsed="false">
      <c r="A952" s="22"/>
      <c r="B952" s="24"/>
      <c r="C952" s="24"/>
      <c r="D952" s="24"/>
      <c r="E952" s="22"/>
      <c r="F952" s="25"/>
      <c r="G952" s="24"/>
      <c r="H952" s="24"/>
    </row>
    <row r="953" customFormat="false" ht="15" hidden="false" customHeight="false" outlineLevel="0" collapsed="false">
      <c r="A953" s="22"/>
      <c r="B953" s="24"/>
      <c r="C953" s="24"/>
      <c r="D953" s="24"/>
      <c r="E953" s="22"/>
      <c r="F953" s="25"/>
      <c r="G953" s="24"/>
      <c r="H953" s="24"/>
    </row>
    <row r="954" customFormat="false" ht="15" hidden="false" customHeight="false" outlineLevel="0" collapsed="false">
      <c r="A954" s="22"/>
      <c r="B954" s="24"/>
      <c r="C954" s="24"/>
      <c r="D954" s="24"/>
      <c r="E954" s="22"/>
      <c r="F954" s="25"/>
      <c r="G954" s="24"/>
      <c r="H954" s="24"/>
    </row>
    <row r="955" customFormat="false" ht="15" hidden="false" customHeight="false" outlineLevel="0" collapsed="false">
      <c r="A955" s="22"/>
      <c r="B955" s="24"/>
      <c r="C955" s="24"/>
      <c r="D955" s="24"/>
      <c r="E955" s="22"/>
      <c r="F955" s="25"/>
      <c r="G955" s="24"/>
      <c r="H955" s="24"/>
    </row>
    <row r="956" customFormat="false" ht="15" hidden="false" customHeight="false" outlineLevel="0" collapsed="false">
      <c r="A956" s="22"/>
      <c r="B956" s="24"/>
      <c r="C956" s="24"/>
      <c r="D956" s="24"/>
      <c r="E956" s="22"/>
      <c r="F956" s="25"/>
      <c r="G956" s="24"/>
      <c r="H956" s="24"/>
    </row>
    <row r="957" customFormat="false" ht="15" hidden="false" customHeight="false" outlineLevel="0" collapsed="false">
      <c r="A957" s="22"/>
      <c r="B957" s="24"/>
      <c r="C957" s="24"/>
      <c r="D957" s="24"/>
      <c r="E957" s="22"/>
      <c r="F957" s="25"/>
      <c r="G957" s="24"/>
      <c r="H957" s="24"/>
    </row>
    <row r="958" customFormat="false" ht="15" hidden="false" customHeight="false" outlineLevel="0" collapsed="false">
      <c r="A958" s="22"/>
      <c r="B958" s="24"/>
      <c r="C958" s="24"/>
      <c r="D958" s="24"/>
      <c r="E958" s="22"/>
      <c r="F958" s="25"/>
      <c r="G958" s="24"/>
      <c r="H958" s="24"/>
    </row>
    <row r="959" customFormat="false" ht="15" hidden="false" customHeight="false" outlineLevel="0" collapsed="false">
      <c r="A959" s="22"/>
      <c r="B959" s="24"/>
      <c r="C959" s="24"/>
      <c r="D959" s="24"/>
      <c r="E959" s="22"/>
      <c r="F959" s="25"/>
      <c r="G959" s="24"/>
      <c r="H959" s="24"/>
    </row>
    <row r="960" customFormat="false" ht="15" hidden="false" customHeight="false" outlineLevel="0" collapsed="false">
      <c r="A960" s="22"/>
      <c r="B960" s="24"/>
      <c r="C960" s="24"/>
      <c r="D960" s="24"/>
      <c r="E960" s="22"/>
      <c r="F960" s="25"/>
      <c r="G960" s="24"/>
      <c r="H960" s="24"/>
    </row>
    <row r="961" customFormat="false" ht="15" hidden="false" customHeight="false" outlineLevel="0" collapsed="false">
      <c r="A961" s="22"/>
      <c r="B961" s="24"/>
      <c r="C961" s="24"/>
      <c r="D961" s="24"/>
      <c r="E961" s="22"/>
      <c r="F961" s="25"/>
      <c r="G961" s="24"/>
      <c r="H961" s="24"/>
    </row>
    <row r="962" customFormat="false" ht="15" hidden="false" customHeight="false" outlineLevel="0" collapsed="false">
      <c r="A962" s="22"/>
      <c r="B962" s="24"/>
      <c r="C962" s="24"/>
      <c r="D962" s="24"/>
      <c r="E962" s="22"/>
      <c r="F962" s="25"/>
      <c r="G962" s="24"/>
      <c r="H962" s="24"/>
    </row>
    <row r="963" customFormat="false" ht="15" hidden="false" customHeight="false" outlineLevel="0" collapsed="false">
      <c r="A963" s="22"/>
      <c r="B963" s="24"/>
      <c r="C963" s="24"/>
      <c r="D963" s="24"/>
      <c r="E963" s="22"/>
      <c r="F963" s="25"/>
      <c r="G963" s="24"/>
      <c r="H963" s="24"/>
    </row>
    <row r="964" customFormat="false" ht="15" hidden="false" customHeight="false" outlineLevel="0" collapsed="false">
      <c r="A964" s="22"/>
      <c r="B964" s="24"/>
      <c r="C964" s="24"/>
      <c r="D964" s="24"/>
      <c r="E964" s="22"/>
      <c r="F964" s="25"/>
      <c r="G964" s="24"/>
      <c r="H964" s="24"/>
    </row>
    <row r="965" customFormat="false" ht="15" hidden="false" customHeight="false" outlineLevel="0" collapsed="false">
      <c r="A965" s="22"/>
      <c r="B965" s="24"/>
      <c r="C965" s="24"/>
      <c r="D965" s="24"/>
      <c r="E965" s="22"/>
      <c r="F965" s="25"/>
      <c r="G965" s="24"/>
      <c r="H965" s="24"/>
    </row>
    <row r="966" customFormat="false" ht="15" hidden="false" customHeight="false" outlineLevel="0" collapsed="false">
      <c r="A966" s="22"/>
      <c r="B966" s="24"/>
      <c r="C966" s="24"/>
      <c r="D966" s="24"/>
      <c r="E966" s="22"/>
      <c r="F966" s="25"/>
      <c r="G966" s="24"/>
      <c r="H966" s="24"/>
    </row>
    <row r="967" customFormat="false" ht="15" hidden="false" customHeight="false" outlineLevel="0" collapsed="false">
      <c r="A967" s="22"/>
      <c r="B967" s="24"/>
      <c r="C967" s="24"/>
      <c r="D967" s="24"/>
      <c r="E967" s="22"/>
      <c r="F967" s="25"/>
      <c r="G967" s="24"/>
      <c r="H967" s="24"/>
    </row>
    <row r="968" customFormat="false" ht="15" hidden="false" customHeight="false" outlineLevel="0" collapsed="false">
      <c r="A968" s="22"/>
      <c r="B968" s="24"/>
      <c r="C968" s="24"/>
      <c r="D968" s="24"/>
      <c r="E968" s="22"/>
      <c r="F968" s="25"/>
      <c r="G968" s="24"/>
      <c r="H968" s="24"/>
    </row>
    <row r="969" customFormat="false" ht="15" hidden="false" customHeight="false" outlineLevel="0" collapsed="false">
      <c r="A969" s="22"/>
      <c r="B969" s="24"/>
      <c r="C969" s="24"/>
      <c r="D969" s="24"/>
      <c r="E969" s="22"/>
      <c r="F969" s="25"/>
      <c r="G969" s="24"/>
      <c r="H969" s="24"/>
    </row>
    <row r="970" customFormat="false" ht="15" hidden="false" customHeight="false" outlineLevel="0" collapsed="false">
      <c r="A970" s="22"/>
      <c r="B970" s="24"/>
      <c r="C970" s="24"/>
      <c r="D970" s="24"/>
      <c r="E970" s="22"/>
      <c r="F970" s="25"/>
      <c r="G970" s="24"/>
      <c r="H970" s="24"/>
    </row>
    <row r="971" customFormat="false" ht="15" hidden="false" customHeight="false" outlineLevel="0" collapsed="false">
      <c r="A971" s="22"/>
      <c r="B971" s="24"/>
      <c r="C971" s="24"/>
      <c r="D971" s="24"/>
      <c r="E971" s="22"/>
      <c r="F971" s="25"/>
      <c r="G971" s="24"/>
      <c r="H971" s="24"/>
    </row>
    <row r="972" customFormat="false" ht="15" hidden="false" customHeight="false" outlineLevel="0" collapsed="false">
      <c r="A972" s="22"/>
      <c r="B972" s="24"/>
      <c r="C972" s="24"/>
      <c r="D972" s="24"/>
      <c r="E972" s="22"/>
      <c r="F972" s="25"/>
      <c r="G972" s="24"/>
      <c r="H972" s="24"/>
    </row>
    <row r="973" customFormat="false" ht="15" hidden="false" customHeight="false" outlineLevel="0" collapsed="false">
      <c r="A973" s="22"/>
      <c r="B973" s="24"/>
      <c r="C973" s="24"/>
      <c r="D973" s="24"/>
      <c r="E973" s="22"/>
      <c r="F973" s="25"/>
      <c r="G973" s="24"/>
      <c r="H973" s="24"/>
    </row>
    <row r="974" customFormat="false" ht="15" hidden="false" customHeight="false" outlineLevel="0" collapsed="false">
      <c r="A974" s="22"/>
      <c r="B974" s="24"/>
      <c r="C974" s="24"/>
      <c r="D974" s="24"/>
      <c r="E974" s="22"/>
      <c r="F974" s="25"/>
      <c r="G974" s="24"/>
      <c r="H974" s="24"/>
    </row>
    <row r="975" customFormat="false" ht="15" hidden="false" customHeight="false" outlineLevel="0" collapsed="false">
      <c r="A975" s="22"/>
      <c r="B975" s="24"/>
      <c r="C975" s="24"/>
      <c r="D975" s="24"/>
      <c r="E975" s="22"/>
      <c r="F975" s="25"/>
      <c r="G975" s="24"/>
      <c r="H975" s="24"/>
    </row>
    <row r="976" customFormat="false" ht="15" hidden="false" customHeight="false" outlineLevel="0" collapsed="false">
      <c r="A976" s="22"/>
      <c r="B976" s="24"/>
      <c r="C976" s="24"/>
      <c r="D976" s="24"/>
      <c r="E976" s="22"/>
      <c r="F976" s="25"/>
      <c r="G976" s="24"/>
      <c r="H976" s="24"/>
    </row>
    <row r="977" customFormat="false" ht="15" hidden="false" customHeight="false" outlineLevel="0" collapsed="false">
      <c r="A977" s="22"/>
      <c r="B977" s="24"/>
      <c r="C977" s="24"/>
      <c r="D977" s="24"/>
      <c r="E977" s="22"/>
      <c r="F977" s="25"/>
      <c r="G977" s="24"/>
      <c r="H977" s="24"/>
    </row>
    <row r="978" customFormat="false" ht="15" hidden="false" customHeight="false" outlineLevel="0" collapsed="false">
      <c r="A978" s="22"/>
      <c r="B978" s="24"/>
      <c r="C978" s="24"/>
      <c r="D978" s="24"/>
      <c r="E978" s="22"/>
      <c r="F978" s="25"/>
      <c r="G978" s="24"/>
      <c r="H978" s="24"/>
    </row>
    <row r="979" customFormat="false" ht="15" hidden="false" customHeight="false" outlineLevel="0" collapsed="false">
      <c r="A979" s="22"/>
      <c r="B979" s="24"/>
      <c r="C979" s="24"/>
      <c r="D979" s="24"/>
      <c r="E979" s="22"/>
      <c r="F979" s="25"/>
      <c r="G979" s="24"/>
      <c r="H979" s="24"/>
    </row>
    <row r="980" customFormat="false" ht="15" hidden="false" customHeight="false" outlineLevel="0" collapsed="false">
      <c r="A980" s="22"/>
      <c r="B980" s="24"/>
      <c r="C980" s="24"/>
      <c r="D980" s="24"/>
      <c r="E980" s="22"/>
      <c r="F980" s="25"/>
      <c r="G980" s="24"/>
      <c r="H980" s="24"/>
    </row>
    <row r="981" customFormat="false" ht="15" hidden="false" customHeight="false" outlineLevel="0" collapsed="false">
      <c r="A981" s="22"/>
      <c r="B981" s="24"/>
      <c r="C981" s="24"/>
      <c r="D981" s="24"/>
      <c r="E981" s="22"/>
      <c r="F981" s="25"/>
      <c r="G981" s="24"/>
      <c r="H981" s="24"/>
    </row>
    <row r="982" customFormat="false" ht="15" hidden="false" customHeight="false" outlineLevel="0" collapsed="false">
      <c r="A982" s="22"/>
      <c r="B982" s="24"/>
      <c r="C982" s="24"/>
      <c r="D982" s="24"/>
      <c r="E982" s="22"/>
      <c r="F982" s="25"/>
      <c r="G982" s="24"/>
      <c r="H982" s="24"/>
    </row>
    <row r="983" customFormat="false" ht="15" hidden="false" customHeight="false" outlineLevel="0" collapsed="false">
      <c r="A983" s="22"/>
      <c r="B983" s="24"/>
      <c r="C983" s="24"/>
      <c r="D983" s="24"/>
      <c r="E983" s="22"/>
      <c r="F983" s="25"/>
      <c r="G983" s="24"/>
      <c r="H983" s="24"/>
    </row>
    <row r="984" customFormat="false" ht="15" hidden="false" customHeight="false" outlineLevel="0" collapsed="false">
      <c r="A984" s="22"/>
      <c r="B984" s="24"/>
      <c r="C984" s="24"/>
      <c r="D984" s="24"/>
      <c r="E984" s="22"/>
      <c r="F984" s="25"/>
      <c r="G984" s="24"/>
      <c r="H984" s="24"/>
    </row>
    <row r="985" customFormat="false" ht="15" hidden="false" customHeight="false" outlineLevel="0" collapsed="false">
      <c r="A985" s="22"/>
      <c r="B985" s="24"/>
      <c r="C985" s="24"/>
      <c r="D985" s="24"/>
      <c r="E985" s="22"/>
      <c r="F985" s="25"/>
      <c r="G985" s="24"/>
      <c r="H985" s="24"/>
    </row>
    <row r="986" customFormat="false" ht="15" hidden="false" customHeight="false" outlineLevel="0" collapsed="false">
      <c r="A986" s="22"/>
      <c r="B986" s="24"/>
      <c r="C986" s="24"/>
      <c r="D986" s="24"/>
      <c r="E986" s="22"/>
      <c r="F986" s="25"/>
      <c r="G986" s="24"/>
      <c r="H986" s="24"/>
    </row>
    <row r="987" customFormat="false" ht="15" hidden="false" customHeight="false" outlineLevel="0" collapsed="false">
      <c r="A987" s="22"/>
      <c r="B987" s="24"/>
      <c r="C987" s="24"/>
      <c r="D987" s="24"/>
      <c r="E987" s="22"/>
      <c r="F987" s="25"/>
      <c r="G987" s="24"/>
      <c r="H987" s="24"/>
    </row>
    <row r="988" customFormat="false" ht="15" hidden="false" customHeight="false" outlineLevel="0" collapsed="false">
      <c r="A988" s="22"/>
      <c r="B988" s="24"/>
      <c r="C988" s="24"/>
      <c r="D988" s="24"/>
      <c r="E988" s="22"/>
      <c r="F988" s="25"/>
      <c r="G988" s="24"/>
      <c r="H988" s="24"/>
    </row>
    <row r="989" customFormat="false" ht="15" hidden="false" customHeight="false" outlineLevel="0" collapsed="false">
      <c r="A989" s="22"/>
      <c r="B989" s="24"/>
      <c r="C989" s="24"/>
      <c r="D989" s="24"/>
      <c r="E989" s="22"/>
      <c r="F989" s="25"/>
      <c r="G989" s="24"/>
      <c r="H989" s="24"/>
    </row>
    <row r="990" customFormat="false" ht="15" hidden="false" customHeight="false" outlineLevel="0" collapsed="false">
      <c r="A990" s="22"/>
      <c r="B990" s="24"/>
      <c r="C990" s="24"/>
      <c r="D990" s="24"/>
      <c r="E990" s="22"/>
      <c r="F990" s="25"/>
      <c r="G990" s="24"/>
      <c r="H990" s="24"/>
    </row>
    <row r="991" customFormat="false" ht="15" hidden="false" customHeight="false" outlineLevel="0" collapsed="false">
      <c r="A991" s="22"/>
      <c r="B991" s="24"/>
      <c r="C991" s="24"/>
      <c r="D991" s="24"/>
      <c r="E991" s="22"/>
      <c r="F991" s="25"/>
      <c r="G991" s="24"/>
      <c r="H991" s="24"/>
    </row>
    <row r="992" customFormat="false" ht="15" hidden="false" customHeight="false" outlineLevel="0" collapsed="false">
      <c r="A992" s="22"/>
      <c r="B992" s="24"/>
      <c r="C992" s="24"/>
      <c r="D992" s="24"/>
      <c r="E992" s="22"/>
      <c r="F992" s="25"/>
      <c r="G992" s="24"/>
      <c r="H992" s="24"/>
    </row>
    <row r="993" customFormat="false" ht="15" hidden="false" customHeight="false" outlineLevel="0" collapsed="false">
      <c r="A993" s="22"/>
      <c r="B993" s="24"/>
      <c r="C993" s="24"/>
      <c r="D993" s="24"/>
      <c r="E993" s="22"/>
      <c r="F993" s="25"/>
      <c r="G993" s="24"/>
      <c r="H993" s="24"/>
    </row>
    <row r="994" customFormat="false" ht="15" hidden="false" customHeight="false" outlineLevel="0" collapsed="false">
      <c r="A994" s="22"/>
      <c r="B994" s="24"/>
      <c r="C994" s="24"/>
      <c r="D994" s="24"/>
      <c r="E994" s="22"/>
      <c r="F994" s="25"/>
      <c r="G994" s="24"/>
      <c r="H994" s="24"/>
    </row>
    <row r="995" customFormat="false" ht="15" hidden="false" customHeight="false" outlineLevel="0" collapsed="false">
      <c r="A995" s="22"/>
      <c r="B995" s="24"/>
      <c r="C995" s="24"/>
      <c r="D995" s="24"/>
      <c r="E995" s="22"/>
      <c r="F995" s="25"/>
      <c r="G995" s="24"/>
      <c r="H995" s="24"/>
    </row>
    <row r="996" customFormat="false" ht="15" hidden="false" customHeight="false" outlineLevel="0" collapsed="false">
      <c r="A996" s="22"/>
      <c r="B996" s="24"/>
      <c r="C996" s="24"/>
      <c r="D996" s="24"/>
      <c r="E996" s="22"/>
      <c r="F996" s="25"/>
      <c r="G996" s="24"/>
      <c r="H996" s="24"/>
    </row>
    <row r="997" customFormat="false" ht="15" hidden="false" customHeight="false" outlineLevel="0" collapsed="false">
      <c r="A997" s="22"/>
      <c r="B997" s="24"/>
      <c r="C997" s="24"/>
      <c r="D997" s="24"/>
      <c r="E997" s="22"/>
      <c r="F997" s="25"/>
      <c r="G997" s="24"/>
      <c r="H997" s="24"/>
    </row>
    <row r="998" customFormat="false" ht="15" hidden="false" customHeight="false" outlineLevel="0" collapsed="false">
      <c r="A998" s="22"/>
      <c r="B998" s="24"/>
      <c r="C998" s="24"/>
      <c r="D998" s="24"/>
      <c r="E998" s="22"/>
      <c r="F998" s="25"/>
      <c r="G998" s="24"/>
      <c r="H998" s="24"/>
    </row>
    <row r="999" customFormat="false" ht="15" hidden="false" customHeight="false" outlineLevel="0" collapsed="false">
      <c r="A999" s="22"/>
      <c r="B999" s="24"/>
      <c r="C999" s="24"/>
      <c r="D999" s="24"/>
      <c r="E999" s="22"/>
      <c r="F999" s="25"/>
      <c r="G999" s="24"/>
      <c r="H999" s="24"/>
    </row>
    <row r="1000" customFormat="false" ht="15" hidden="false" customHeight="false" outlineLevel="0" collapsed="false">
      <c r="A1000" s="22"/>
      <c r="B1000" s="24"/>
      <c r="C1000" s="24"/>
      <c r="D1000" s="24"/>
      <c r="E1000" s="22"/>
      <c r="F1000" s="25"/>
      <c r="G1000" s="24"/>
      <c r="H1000" s="24"/>
    </row>
    <row r="1001" customFormat="false" ht="15" hidden="false" customHeight="false" outlineLevel="0" collapsed="false">
      <c r="A1001" s="22"/>
      <c r="B1001" s="24"/>
      <c r="C1001" s="24"/>
      <c r="D1001" s="24"/>
      <c r="E1001" s="22"/>
      <c r="F1001" s="25"/>
      <c r="G1001" s="24"/>
      <c r="H1001" s="24"/>
    </row>
  </sheetData>
  <autoFilter ref="A1:H1001"/>
  <conditionalFormatting sqref="G2:G1001">
    <cfRule type="cellIs" priority="2" operator="equal" aboveAverage="0" equalAverage="0" bottom="0" percent="0" rank="0" text="" dxfId="12">
      <formula>"Fechado"</formula>
    </cfRule>
    <cfRule type="cellIs" priority="3" operator="equal" aboveAverage="0" equalAverage="0" bottom="0" percent="0" rank="0" text="" dxfId="13">
      <formula>"Aguardando"</formula>
    </cfRule>
    <cfRule type="cellIs" priority="4" operator="equal" aboveAverage="0" equalAverage="0" bottom="0" percent="0" rank="0" text="" dxfId="14">
      <formula>"Recusado"</formula>
    </cfRule>
  </conditionalFormatting>
  <dataValidations count="3">
    <dataValidation allowBlank="true" errorStyle="stop" operator="between" showDropDown="false" showErrorMessage="false" showInputMessage="false" sqref="C2:C1001" type="list">
      <formula1>Listas!$A$2:$A$40</formula1>
      <formula2>0</formula2>
    </dataValidation>
    <dataValidation allowBlank="true" errorStyle="stop" operator="between" showDropDown="false" showErrorMessage="false" showInputMessage="false" sqref="G2:G1001" type="list">
      <formula1>Listas!$B$2:$B$40</formula1>
      <formula2>0</formula2>
    </dataValidation>
    <dataValidation allowBlank="true" errorStyle="stop" operator="between" prompt="Escolha um cliente da aba Clientes ou digite o nome." promptTitle="Dica" showDropDown="false" showErrorMessage="false" showInputMessage="true" sqref="B2:B1001" type="list">
      <formula1>Clientes!$A$2:$A$1001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2E24"/>
    <pageSetUpPr fitToPage="false"/>
  </sheetPr>
  <dimension ref="A1:H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5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30"/>
  </cols>
  <sheetData>
    <row r="1" customFormat="false" ht="33.75" hidden="false" customHeight="true" outlineLevel="0" collapsed="false">
      <c r="A1" s="10" t="s">
        <v>164</v>
      </c>
      <c r="B1" s="10" t="s">
        <v>165</v>
      </c>
      <c r="C1" s="10" t="s">
        <v>166</v>
      </c>
      <c r="D1" s="10" t="s">
        <v>167</v>
      </c>
      <c r="E1" s="10" t="s">
        <v>168</v>
      </c>
      <c r="F1" s="10" t="s">
        <v>45</v>
      </c>
      <c r="G1" s="10" t="s">
        <v>169</v>
      </c>
      <c r="H1" s="10" t="s">
        <v>86</v>
      </c>
    </row>
    <row r="2" customFormat="false" ht="15" hidden="false" customHeight="false" outlineLevel="0" collapsed="false">
      <c r="A2" s="24" t="s">
        <v>87</v>
      </c>
      <c r="B2" s="24" t="s">
        <v>170</v>
      </c>
      <c r="C2" s="24"/>
      <c r="D2" s="24" t="s">
        <v>90</v>
      </c>
      <c r="E2" s="24" t="s">
        <v>166</v>
      </c>
      <c r="F2" s="28" t="n">
        <f aca="false">IF(A2="","",COUNTIF(Trabalhos!$C$2:$C$1001,A2))</f>
        <v>1</v>
      </c>
      <c r="G2" s="26" t="n">
        <f aca="false">IF(A2="","",SUMIFS(Trabalhos!$G$2:$G$1001,Trabalhos!$C$2:$C$1001,A2))</f>
        <v>4800</v>
      </c>
      <c r="H2" s="24" t="s">
        <v>93</v>
      </c>
    </row>
    <row r="3" customFormat="false" ht="15" hidden="false" customHeight="false" outlineLevel="0" collapsed="false">
      <c r="A3" s="24" t="s">
        <v>94</v>
      </c>
      <c r="B3" s="24" t="s">
        <v>171</v>
      </c>
      <c r="C3" s="24"/>
      <c r="D3" s="24" t="s">
        <v>97</v>
      </c>
      <c r="E3" s="24" t="s">
        <v>172</v>
      </c>
      <c r="F3" s="28" t="n">
        <f aca="false">IF(A3="","",COUNTIF(Trabalhos!$C$2:$C$1001,A3))</f>
        <v>1</v>
      </c>
      <c r="G3" s="26" t="n">
        <f aca="false">IF(A3="","",SUMIFS(Trabalhos!$G$2:$G$1001,Trabalhos!$C$2:$C$1001,A3))</f>
        <v>1200</v>
      </c>
      <c r="H3" s="24" t="s">
        <v>93</v>
      </c>
    </row>
    <row r="4" customFormat="false" ht="15" hidden="false" customHeight="false" outlineLevel="0" collapsed="false">
      <c r="A4" s="24" t="s">
        <v>98</v>
      </c>
      <c r="B4" s="24" t="s">
        <v>173</v>
      </c>
      <c r="C4" s="24"/>
      <c r="D4" s="24" t="s">
        <v>90</v>
      </c>
      <c r="E4" s="24" t="s">
        <v>166</v>
      </c>
      <c r="F4" s="28" t="n">
        <f aca="false">IF(A4="","",COUNTIF(Trabalhos!$C$2:$C$1001,A4))</f>
        <v>2</v>
      </c>
      <c r="G4" s="26" t="n">
        <f aca="false">IF(A4="","",SUMIFS(Trabalhos!$G$2:$G$1001,Trabalhos!$C$2:$C$1001,A4))</f>
        <v>4460</v>
      </c>
      <c r="H4" s="24" t="s">
        <v>93</v>
      </c>
    </row>
    <row r="5" customFormat="false" ht="15" hidden="false" customHeight="false" outlineLevel="0" collapsed="false">
      <c r="A5" s="24" t="s">
        <v>103</v>
      </c>
      <c r="B5" s="24" t="s">
        <v>174</v>
      </c>
      <c r="C5" s="24"/>
      <c r="D5" s="24" t="s">
        <v>106</v>
      </c>
      <c r="E5" s="24" t="s">
        <v>175</v>
      </c>
      <c r="F5" s="28" t="n">
        <f aca="false">IF(A5="","",COUNTIF(Trabalhos!$C$2:$C$1001,A5))</f>
        <v>1</v>
      </c>
      <c r="G5" s="26" t="n">
        <f aca="false">IF(A5="","",SUMIFS(Trabalhos!$G$2:$G$1001,Trabalhos!$C$2:$C$1001,A5))</f>
        <v>900</v>
      </c>
      <c r="H5" s="24" t="s">
        <v>93</v>
      </c>
    </row>
    <row r="6" customFormat="false" ht="15" hidden="false" customHeight="false" outlineLevel="0" collapsed="false">
      <c r="A6" s="24" t="s">
        <v>107</v>
      </c>
      <c r="B6" s="24" t="s">
        <v>176</v>
      </c>
      <c r="C6" s="24"/>
      <c r="D6" s="24" t="s">
        <v>109</v>
      </c>
      <c r="E6" s="24" t="s">
        <v>172</v>
      </c>
      <c r="F6" s="28" t="n">
        <f aca="false">IF(A6="","",COUNTIF(Trabalhos!$C$2:$C$1001,A6))</f>
        <v>1</v>
      </c>
      <c r="G6" s="26" t="n">
        <f aca="false">IF(A6="","",SUMIFS(Trabalhos!$G$2:$G$1001,Trabalhos!$C$2:$C$1001,A6))</f>
        <v>5200</v>
      </c>
      <c r="H6" s="24" t="s">
        <v>93</v>
      </c>
    </row>
    <row r="7" customFormat="false" ht="15" hidden="false" customHeight="false" outlineLevel="0" collapsed="false">
      <c r="A7" s="24" t="s">
        <v>111</v>
      </c>
      <c r="B7" s="24" t="s">
        <v>177</v>
      </c>
      <c r="C7" s="24"/>
      <c r="D7" s="24" t="s">
        <v>90</v>
      </c>
      <c r="E7" s="24" t="s">
        <v>166</v>
      </c>
      <c r="F7" s="28" t="n">
        <f aca="false">IF(A7="","",COUNTIF(Trabalhos!$C$2:$C$1001,A7))</f>
        <v>1</v>
      </c>
      <c r="G7" s="26" t="n">
        <f aca="false">IF(A7="","",SUMIFS(Trabalhos!$G$2:$G$1001,Trabalhos!$C$2:$C$1001,A7))</f>
        <v>750</v>
      </c>
      <c r="H7" s="24" t="s">
        <v>93</v>
      </c>
    </row>
    <row r="8" customFormat="false" ht="15" hidden="false" customHeight="false" outlineLevel="0" collapsed="false">
      <c r="A8" s="24" t="s">
        <v>117</v>
      </c>
      <c r="B8" s="24" t="s">
        <v>178</v>
      </c>
      <c r="C8" s="24"/>
      <c r="D8" s="24" t="s">
        <v>119</v>
      </c>
      <c r="E8" s="24" t="s">
        <v>179</v>
      </c>
      <c r="F8" s="28" t="n">
        <f aca="false">IF(A8="","",COUNTIF(Trabalhos!$C$2:$C$1001,A8))</f>
        <v>1</v>
      </c>
      <c r="G8" s="26" t="n">
        <f aca="false">IF(A8="","",SUMIFS(Trabalhos!$G$2:$G$1001,Trabalhos!$C$2:$C$1001,A8))</f>
        <v>3900</v>
      </c>
      <c r="H8" s="24" t="s">
        <v>93</v>
      </c>
    </row>
    <row r="9" customFormat="false" ht="15" hidden="false" customHeight="false" outlineLevel="0" collapsed="false">
      <c r="A9" s="24" t="s">
        <v>121</v>
      </c>
      <c r="B9" s="24" t="s">
        <v>180</v>
      </c>
      <c r="C9" s="24"/>
      <c r="D9" s="24" t="s">
        <v>90</v>
      </c>
      <c r="E9" s="24" t="s">
        <v>172</v>
      </c>
      <c r="F9" s="28" t="n">
        <f aca="false">IF(A9="","",COUNTIF(Trabalhos!$C$2:$C$1001,A9))</f>
        <v>1</v>
      </c>
      <c r="G9" s="26" t="n">
        <f aca="false">IF(A9="","",SUMIFS(Trabalhos!$G$2:$G$1001,Trabalhos!$C$2:$C$1001,A9))</f>
        <v>2400</v>
      </c>
      <c r="H9" s="24" t="s">
        <v>93</v>
      </c>
    </row>
    <row r="10" customFormat="false" ht="15" hidden="false" customHeight="false" outlineLevel="0" collapsed="false">
      <c r="A10" s="24" t="s">
        <v>124</v>
      </c>
      <c r="B10" s="24" t="s">
        <v>181</v>
      </c>
      <c r="C10" s="24"/>
      <c r="D10" s="24" t="s">
        <v>126</v>
      </c>
      <c r="E10" s="24" t="s">
        <v>166</v>
      </c>
      <c r="F10" s="28" t="n">
        <f aca="false">IF(A10="","",COUNTIF(Trabalhos!$C$2:$C$1001,A10))</f>
        <v>1</v>
      </c>
      <c r="G10" s="26" t="n">
        <f aca="false">IF(A10="","",SUMIFS(Trabalhos!$G$2:$G$1001,Trabalhos!$C$2:$C$1001,A10))</f>
        <v>5600</v>
      </c>
      <c r="H10" s="24" t="s">
        <v>93</v>
      </c>
    </row>
    <row r="11" customFormat="false" ht="15" hidden="false" customHeight="false" outlineLevel="0" collapsed="false">
      <c r="A11" s="24" t="s">
        <v>128</v>
      </c>
      <c r="B11" s="24" t="s">
        <v>182</v>
      </c>
      <c r="C11" s="24"/>
      <c r="D11" s="24" t="s">
        <v>90</v>
      </c>
      <c r="E11" s="24" t="s">
        <v>172</v>
      </c>
      <c r="F11" s="28" t="n">
        <f aca="false">IF(A11="","",COUNTIF(Trabalhos!$C$2:$C$1001,A11))</f>
        <v>1</v>
      </c>
      <c r="G11" s="26" t="n">
        <f aca="false">IF(A11="","",SUMIFS(Trabalhos!$G$2:$G$1001,Trabalhos!$C$2:$C$1001,A11))</f>
        <v>1100</v>
      </c>
      <c r="H11" s="24" t="s">
        <v>93</v>
      </c>
    </row>
    <row r="12" customFormat="false" ht="15" hidden="false" customHeight="false" outlineLevel="0" collapsed="false">
      <c r="A12" s="24" t="s">
        <v>131</v>
      </c>
      <c r="B12" s="24" t="s">
        <v>183</v>
      </c>
      <c r="C12" s="24"/>
      <c r="D12" s="24" t="s">
        <v>133</v>
      </c>
      <c r="E12" s="24" t="s">
        <v>166</v>
      </c>
      <c r="F12" s="28" t="n">
        <f aca="false">IF(A12="","",COUNTIF(Trabalhos!$C$2:$C$1001,A12))</f>
        <v>1</v>
      </c>
      <c r="G12" s="26" t="n">
        <f aca="false">IF(A12="","",SUMIFS(Trabalhos!$G$2:$G$1001,Trabalhos!$C$2:$C$1001,A12))</f>
        <v>2800</v>
      </c>
      <c r="H12" s="24" t="s">
        <v>93</v>
      </c>
    </row>
    <row r="13" customFormat="false" ht="15" hidden="false" customHeight="false" outlineLevel="0" collapsed="false">
      <c r="A13" s="24" t="s">
        <v>134</v>
      </c>
      <c r="B13" s="24" t="s">
        <v>184</v>
      </c>
      <c r="C13" s="24"/>
      <c r="D13" s="24" t="s">
        <v>97</v>
      </c>
      <c r="E13" s="24" t="s">
        <v>175</v>
      </c>
      <c r="F13" s="28" t="n">
        <f aca="false">IF(A13="","",COUNTIF(Trabalhos!$C$2:$C$1001,A13))</f>
        <v>1</v>
      </c>
      <c r="G13" s="26" t="n">
        <f aca="false">IF(A13="","",SUMIFS(Trabalhos!$G$2:$G$1001,Trabalhos!$C$2:$C$1001,A13))</f>
        <v>1300</v>
      </c>
      <c r="H13" s="24" t="s">
        <v>93</v>
      </c>
    </row>
    <row r="14" customFormat="false" ht="15" hidden="false" customHeight="false" outlineLevel="0" collapsed="false">
      <c r="A14" s="24" t="s">
        <v>136</v>
      </c>
      <c r="B14" s="24" t="s">
        <v>185</v>
      </c>
      <c r="C14" s="24"/>
      <c r="D14" s="24" t="s">
        <v>90</v>
      </c>
      <c r="E14" s="24" t="s">
        <v>172</v>
      </c>
      <c r="F14" s="28" t="n">
        <f aca="false">IF(A14="","",COUNTIF(Trabalhos!$C$2:$C$1001,A14))</f>
        <v>1</v>
      </c>
      <c r="G14" s="26" t="n">
        <f aca="false">IF(A14="","",SUMIFS(Trabalhos!$G$2:$G$1001,Trabalhos!$C$2:$C$1001,A14))</f>
        <v>6200</v>
      </c>
      <c r="H14" s="24" t="s">
        <v>93</v>
      </c>
    </row>
    <row r="15" customFormat="false" ht="15" hidden="false" customHeight="false" outlineLevel="0" collapsed="false">
      <c r="A15" s="24" t="s">
        <v>138</v>
      </c>
      <c r="B15" s="24" t="s">
        <v>186</v>
      </c>
      <c r="C15" s="24"/>
      <c r="D15" s="24" t="s">
        <v>140</v>
      </c>
      <c r="E15" s="24" t="s">
        <v>165</v>
      </c>
      <c r="F15" s="28" t="n">
        <f aca="false">IF(A15="","",COUNTIF(Trabalhos!$C$2:$C$1001,A15))</f>
        <v>1</v>
      </c>
      <c r="G15" s="26" t="n">
        <f aca="false">IF(A15="","",SUMIFS(Trabalhos!$G$2:$G$1001,Trabalhos!$C$2:$C$1001,A15))</f>
        <v>1100</v>
      </c>
      <c r="H15" s="24" t="s">
        <v>93</v>
      </c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8" t="str">
        <f aca="false">IF(A16="","",COUNTIF(Trabalhos!$C$2:$C$1001,A16))</f>
        <v/>
      </c>
      <c r="G16" s="26" t="str">
        <f aca="false">IF(A16="","",SUMIFS(Trabalhos!$G$2:$G$1001,Trabalhos!$C$2:$C$1001,A16))</f>
        <v/>
      </c>
      <c r="H16" s="24"/>
    </row>
    <row r="17" customFormat="false" ht="15" hidden="false" customHeight="false" outlineLevel="0" collapsed="false">
      <c r="A17" s="24"/>
      <c r="B17" s="24"/>
      <c r="C17" s="24"/>
      <c r="D17" s="24"/>
      <c r="E17" s="24"/>
      <c r="F17" s="28" t="str">
        <f aca="false">IF(A17="","",COUNTIF(Trabalhos!$C$2:$C$1001,A17))</f>
        <v/>
      </c>
      <c r="G17" s="26" t="str">
        <f aca="false">IF(A17="","",SUMIFS(Trabalhos!$G$2:$G$1001,Trabalhos!$C$2:$C$1001,A17))</f>
        <v/>
      </c>
      <c r="H17" s="24"/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8" t="str">
        <f aca="false">IF(A18="","",COUNTIF(Trabalhos!$C$2:$C$1001,A18))</f>
        <v/>
      </c>
      <c r="G18" s="26" t="str">
        <f aca="false">IF(A18="","",SUMIFS(Trabalhos!$G$2:$G$1001,Trabalhos!$C$2:$C$1001,A18))</f>
        <v/>
      </c>
      <c r="H18" s="24"/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8" t="str">
        <f aca="false">IF(A19="","",COUNTIF(Trabalhos!$C$2:$C$1001,A19))</f>
        <v/>
      </c>
      <c r="G19" s="26" t="str">
        <f aca="false">IF(A19="","",SUMIFS(Trabalhos!$G$2:$G$1001,Trabalhos!$C$2:$C$1001,A19))</f>
        <v/>
      </c>
      <c r="H19" s="24"/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8" t="str">
        <f aca="false">IF(A20="","",COUNTIF(Trabalhos!$C$2:$C$1001,A20))</f>
        <v/>
      </c>
      <c r="G20" s="26" t="str">
        <f aca="false">IF(A20="","",SUMIFS(Trabalhos!$G$2:$G$1001,Trabalhos!$C$2:$C$1001,A20))</f>
        <v/>
      </c>
      <c r="H20" s="24"/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8" t="str">
        <f aca="false">IF(A21="","",COUNTIF(Trabalhos!$C$2:$C$1001,A21))</f>
        <v/>
      </c>
      <c r="G21" s="26" t="str">
        <f aca="false">IF(A21="","",SUMIFS(Trabalhos!$G$2:$G$1001,Trabalhos!$C$2:$C$1001,A21))</f>
        <v/>
      </c>
      <c r="H21" s="24"/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8" t="str">
        <f aca="false">IF(A22="","",COUNTIF(Trabalhos!$C$2:$C$1001,A22))</f>
        <v/>
      </c>
      <c r="G22" s="26" t="str">
        <f aca="false">IF(A22="","",SUMIFS(Trabalhos!$G$2:$G$1001,Trabalhos!$C$2:$C$1001,A22))</f>
        <v/>
      </c>
      <c r="H22" s="24"/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8" t="str">
        <f aca="false">IF(A23="","",COUNTIF(Trabalhos!$C$2:$C$1001,A23))</f>
        <v/>
      </c>
      <c r="G23" s="26" t="str">
        <f aca="false">IF(A23="","",SUMIFS(Trabalhos!$G$2:$G$1001,Trabalhos!$C$2:$C$1001,A23))</f>
        <v/>
      </c>
      <c r="H23" s="24"/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8" t="str">
        <f aca="false">IF(A24="","",COUNTIF(Trabalhos!$C$2:$C$1001,A24))</f>
        <v/>
      </c>
      <c r="G24" s="26" t="str">
        <f aca="false">IF(A24="","",SUMIFS(Trabalhos!$G$2:$G$1001,Trabalhos!$C$2:$C$1001,A24))</f>
        <v/>
      </c>
      <c r="H24" s="24"/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8" t="str">
        <f aca="false">IF(A25="","",COUNTIF(Trabalhos!$C$2:$C$1001,A25))</f>
        <v/>
      </c>
      <c r="G25" s="26" t="str">
        <f aca="false">IF(A25="","",SUMIFS(Trabalhos!$G$2:$G$1001,Trabalhos!$C$2:$C$1001,A25))</f>
        <v/>
      </c>
      <c r="H25" s="24"/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8" t="str">
        <f aca="false">IF(A26="","",COUNTIF(Trabalhos!$C$2:$C$1001,A26))</f>
        <v/>
      </c>
      <c r="G26" s="26" t="str">
        <f aca="false">IF(A26="","",SUMIFS(Trabalhos!$G$2:$G$1001,Trabalhos!$C$2:$C$1001,A26))</f>
        <v/>
      </c>
      <c r="H26" s="24"/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8" t="str">
        <f aca="false">IF(A27="","",COUNTIF(Trabalhos!$C$2:$C$1001,A27))</f>
        <v/>
      </c>
      <c r="G27" s="26" t="str">
        <f aca="false">IF(A27="","",SUMIFS(Trabalhos!$G$2:$G$1001,Trabalhos!$C$2:$C$1001,A27))</f>
        <v/>
      </c>
      <c r="H27" s="24"/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8" t="str">
        <f aca="false">IF(A28="","",COUNTIF(Trabalhos!$C$2:$C$1001,A28))</f>
        <v/>
      </c>
      <c r="G28" s="26" t="str">
        <f aca="false">IF(A28="","",SUMIFS(Trabalhos!$G$2:$G$1001,Trabalhos!$C$2:$C$1001,A28))</f>
        <v/>
      </c>
      <c r="H28" s="24"/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8" t="str">
        <f aca="false">IF(A29="","",COUNTIF(Trabalhos!$C$2:$C$1001,A29))</f>
        <v/>
      </c>
      <c r="G29" s="26" t="str">
        <f aca="false">IF(A29="","",SUMIFS(Trabalhos!$G$2:$G$1001,Trabalhos!$C$2:$C$1001,A29))</f>
        <v/>
      </c>
      <c r="H29" s="24"/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8" t="str">
        <f aca="false">IF(A30="","",COUNTIF(Trabalhos!$C$2:$C$1001,A30))</f>
        <v/>
      </c>
      <c r="G30" s="26" t="str">
        <f aca="false">IF(A30="","",SUMIFS(Trabalhos!$G$2:$G$1001,Trabalhos!$C$2:$C$1001,A30))</f>
        <v/>
      </c>
      <c r="H30" s="24"/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28" t="str">
        <f aca="false">IF(A31="","",COUNTIF(Trabalhos!$C$2:$C$1001,A31))</f>
        <v/>
      </c>
      <c r="G31" s="26" t="str">
        <f aca="false">IF(A31="","",SUMIFS(Trabalhos!$G$2:$G$1001,Trabalhos!$C$2:$C$1001,A31))</f>
        <v/>
      </c>
      <c r="H31" s="24"/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8" t="str">
        <f aca="false">IF(A32="","",COUNTIF(Trabalhos!$C$2:$C$1001,A32))</f>
        <v/>
      </c>
      <c r="G32" s="26" t="str">
        <f aca="false">IF(A32="","",SUMIFS(Trabalhos!$G$2:$G$1001,Trabalhos!$C$2:$C$1001,A32))</f>
        <v/>
      </c>
      <c r="H32" s="24"/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8" t="str">
        <f aca="false">IF(A33="","",COUNTIF(Trabalhos!$C$2:$C$1001,A33))</f>
        <v/>
      </c>
      <c r="G33" s="26" t="str">
        <f aca="false">IF(A33="","",SUMIFS(Trabalhos!$G$2:$G$1001,Trabalhos!$C$2:$C$1001,A33))</f>
        <v/>
      </c>
      <c r="H33" s="24"/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8" t="str">
        <f aca="false">IF(A34="","",COUNTIF(Trabalhos!$C$2:$C$1001,A34))</f>
        <v/>
      </c>
      <c r="G34" s="26" t="str">
        <f aca="false">IF(A34="","",SUMIFS(Trabalhos!$G$2:$G$1001,Trabalhos!$C$2:$C$1001,A34))</f>
        <v/>
      </c>
      <c r="H34" s="24"/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8" t="str">
        <f aca="false">IF(A35="","",COUNTIF(Trabalhos!$C$2:$C$1001,A35))</f>
        <v/>
      </c>
      <c r="G35" s="26" t="str">
        <f aca="false">IF(A35="","",SUMIFS(Trabalhos!$G$2:$G$1001,Trabalhos!$C$2:$C$1001,A35))</f>
        <v/>
      </c>
      <c r="H35" s="24"/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8" t="str">
        <f aca="false">IF(A36="","",COUNTIF(Trabalhos!$C$2:$C$1001,A36))</f>
        <v/>
      </c>
      <c r="G36" s="26" t="str">
        <f aca="false">IF(A36="","",SUMIFS(Trabalhos!$G$2:$G$1001,Trabalhos!$C$2:$C$1001,A36))</f>
        <v/>
      </c>
      <c r="H36" s="24"/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8" t="str">
        <f aca="false">IF(A37="","",COUNTIF(Trabalhos!$C$2:$C$1001,A37))</f>
        <v/>
      </c>
      <c r="G37" s="26" t="str">
        <f aca="false">IF(A37="","",SUMIFS(Trabalhos!$G$2:$G$1001,Trabalhos!$C$2:$C$1001,A37))</f>
        <v/>
      </c>
      <c r="H37" s="24"/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8" t="str">
        <f aca="false">IF(A38="","",COUNTIF(Trabalhos!$C$2:$C$1001,A38))</f>
        <v/>
      </c>
      <c r="G38" s="26" t="str">
        <f aca="false">IF(A38="","",SUMIFS(Trabalhos!$G$2:$G$1001,Trabalhos!$C$2:$C$1001,A38))</f>
        <v/>
      </c>
      <c r="H38" s="24"/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8" t="str">
        <f aca="false">IF(A39="","",COUNTIF(Trabalhos!$C$2:$C$1001,A39))</f>
        <v/>
      </c>
      <c r="G39" s="26" t="str">
        <f aca="false">IF(A39="","",SUMIFS(Trabalhos!$G$2:$G$1001,Trabalhos!$C$2:$C$1001,A39))</f>
        <v/>
      </c>
      <c r="H39" s="24"/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8" t="str">
        <f aca="false">IF(A40="","",COUNTIF(Trabalhos!$C$2:$C$1001,A40))</f>
        <v/>
      </c>
      <c r="G40" s="26" t="str">
        <f aca="false">IF(A40="","",SUMIFS(Trabalhos!$G$2:$G$1001,Trabalhos!$C$2:$C$1001,A40))</f>
        <v/>
      </c>
      <c r="H40" s="24"/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8" t="str">
        <f aca="false">IF(A41="","",COUNTIF(Trabalhos!$C$2:$C$1001,A41))</f>
        <v/>
      </c>
      <c r="G41" s="26" t="str">
        <f aca="false">IF(A41="","",SUMIFS(Trabalhos!$G$2:$G$1001,Trabalhos!$C$2:$C$1001,A41))</f>
        <v/>
      </c>
      <c r="H41" s="24"/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8" t="str">
        <f aca="false">IF(A42="","",COUNTIF(Trabalhos!$C$2:$C$1001,A42))</f>
        <v/>
      </c>
      <c r="G42" s="26" t="str">
        <f aca="false">IF(A42="","",SUMIFS(Trabalhos!$G$2:$G$1001,Trabalhos!$C$2:$C$1001,A42))</f>
        <v/>
      </c>
      <c r="H42" s="24"/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8" t="str">
        <f aca="false">IF(A43="","",COUNTIF(Trabalhos!$C$2:$C$1001,A43))</f>
        <v/>
      </c>
      <c r="G43" s="26" t="str">
        <f aca="false">IF(A43="","",SUMIFS(Trabalhos!$G$2:$G$1001,Trabalhos!$C$2:$C$1001,A43))</f>
        <v/>
      </c>
      <c r="H43" s="24"/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8" t="str">
        <f aca="false">IF(A44="","",COUNTIF(Trabalhos!$C$2:$C$1001,A44))</f>
        <v/>
      </c>
      <c r="G44" s="26" t="str">
        <f aca="false">IF(A44="","",SUMIFS(Trabalhos!$G$2:$G$1001,Trabalhos!$C$2:$C$1001,A44))</f>
        <v/>
      </c>
      <c r="H44" s="24"/>
    </row>
    <row r="45" customFormat="false" ht="15" hidden="false" customHeight="false" outlineLevel="0" collapsed="false">
      <c r="A45" s="24"/>
      <c r="B45" s="24"/>
      <c r="C45" s="24"/>
      <c r="D45" s="24"/>
      <c r="E45" s="24"/>
      <c r="F45" s="28" t="str">
        <f aca="false">IF(A45="","",COUNTIF(Trabalhos!$C$2:$C$1001,A45))</f>
        <v/>
      </c>
      <c r="G45" s="26" t="str">
        <f aca="false">IF(A45="","",SUMIFS(Trabalhos!$G$2:$G$1001,Trabalhos!$C$2:$C$1001,A45))</f>
        <v/>
      </c>
      <c r="H45" s="24"/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8" t="str">
        <f aca="false">IF(A46="","",COUNTIF(Trabalhos!$C$2:$C$1001,A46))</f>
        <v/>
      </c>
      <c r="G46" s="26" t="str">
        <f aca="false">IF(A46="","",SUMIFS(Trabalhos!$G$2:$G$1001,Trabalhos!$C$2:$C$1001,A46))</f>
        <v/>
      </c>
      <c r="H46" s="24"/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8" t="str">
        <f aca="false">IF(A47="","",COUNTIF(Trabalhos!$C$2:$C$1001,A47))</f>
        <v/>
      </c>
      <c r="G47" s="26" t="str">
        <f aca="false">IF(A47="","",SUMIFS(Trabalhos!$G$2:$G$1001,Trabalhos!$C$2:$C$1001,A47))</f>
        <v/>
      </c>
      <c r="H47" s="24"/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8" t="str">
        <f aca="false">IF(A48="","",COUNTIF(Trabalhos!$C$2:$C$1001,A48))</f>
        <v/>
      </c>
      <c r="G48" s="26" t="str">
        <f aca="false">IF(A48="","",SUMIFS(Trabalhos!$G$2:$G$1001,Trabalhos!$C$2:$C$1001,A48))</f>
        <v/>
      </c>
      <c r="H48" s="24"/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8" t="str">
        <f aca="false">IF(A49="","",COUNTIF(Trabalhos!$C$2:$C$1001,A49))</f>
        <v/>
      </c>
      <c r="G49" s="26" t="str">
        <f aca="false">IF(A49="","",SUMIFS(Trabalhos!$G$2:$G$1001,Trabalhos!$C$2:$C$1001,A49))</f>
        <v/>
      </c>
      <c r="H49" s="24"/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8" t="str">
        <f aca="false">IF(A50="","",COUNTIF(Trabalhos!$C$2:$C$1001,A50))</f>
        <v/>
      </c>
      <c r="G50" s="26" t="str">
        <f aca="false">IF(A50="","",SUMIFS(Trabalhos!$G$2:$G$1001,Trabalhos!$C$2:$C$1001,A50))</f>
        <v/>
      </c>
      <c r="H50" s="24"/>
    </row>
    <row r="51" customFormat="false" ht="15" hidden="false" customHeight="false" outlineLevel="0" collapsed="false">
      <c r="A51" s="24"/>
      <c r="B51" s="24"/>
      <c r="C51" s="24"/>
      <c r="D51" s="24"/>
      <c r="E51" s="24"/>
      <c r="F51" s="28" t="str">
        <f aca="false">IF(A51="","",COUNTIF(Trabalhos!$C$2:$C$1001,A51))</f>
        <v/>
      </c>
      <c r="G51" s="26" t="str">
        <f aca="false">IF(A51="","",SUMIFS(Trabalhos!$G$2:$G$1001,Trabalhos!$C$2:$C$1001,A51))</f>
        <v/>
      </c>
      <c r="H51" s="24"/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8" t="str">
        <f aca="false">IF(A52="","",COUNTIF(Trabalhos!$C$2:$C$1001,A52))</f>
        <v/>
      </c>
      <c r="G52" s="26" t="str">
        <f aca="false">IF(A52="","",SUMIFS(Trabalhos!$G$2:$G$1001,Trabalhos!$C$2:$C$1001,A52))</f>
        <v/>
      </c>
      <c r="H52" s="24"/>
    </row>
    <row r="53" customFormat="false" ht="15" hidden="false" customHeight="false" outlineLevel="0" collapsed="false">
      <c r="A53" s="24"/>
      <c r="B53" s="24"/>
      <c r="C53" s="24"/>
      <c r="D53" s="24"/>
      <c r="E53" s="24"/>
      <c r="F53" s="28" t="str">
        <f aca="false">IF(A53="","",COUNTIF(Trabalhos!$C$2:$C$1001,A53))</f>
        <v/>
      </c>
      <c r="G53" s="26" t="str">
        <f aca="false">IF(A53="","",SUMIFS(Trabalhos!$G$2:$G$1001,Trabalhos!$C$2:$C$1001,A53))</f>
        <v/>
      </c>
      <c r="H53" s="24"/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8" t="str">
        <f aca="false">IF(A54="","",COUNTIF(Trabalhos!$C$2:$C$1001,A54))</f>
        <v/>
      </c>
      <c r="G54" s="26" t="str">
        <f aca="false">IF(A54="","",SUMIFS(Trabalhos!$G$2:$G$1001,Trabalhos!$C$2:$C$1001,A54))</f>
        <v/>
      </c>
      <c r="H54" s="24"/>
    </row>
    <row r="55" customFormat="false" ht="15" hidden="false" customHeight="false" outlineLevel="0" collapsed="false">
      <c r="A55" s="24"/>
      <c r="B55" s="24"/>
      <c r="C55" s="24"/>
      <c r="D55" s="24"/>
      <c r="E55" s="24"/>
      <c r="F55" s="28" t="str">
        <f aca="false">IF(A55="","",COUNTIF(Trabalhos!$C$2:$C$1001,A55))</f>
        <v/>
      </c>
      <c r="G55" s="26" t="str">
        <f aca="false">IF(A55="","",SUMIFS(Trabalhos!$G$2:$G$1001,Trabalhos!$C$2:$C$1001,A55))</f>
        <v/>
      </c>
      <c r="H55" s="24"/>
    </row>
    <row r="56" customFormat="false" ht="15" hidden="false" customHeight="false" outlineLevel="0" collapsed="false">
      <c r="A56" s="24"/>
      <c r="B56" s="24"/>
      <c r="C56" s="24"/>
      <c r="D56" s="24"/>
      <c r="E56" s="24"/>
      <c r="F56" s="28" t="str">
        <f aca="false">IF(A56="","",COUNTIF(Trabalhos!$C$2:$C$1001,A56))</f>
        <v/>
      </c>
      <c r="G56" s="26" t="str">
        <f aca="false">IF(A56="","",SUMIFS(Trabalhos!$G$2:$G$1001,Trabalhos!$C$2:$C$1001,A56))</f>
        <v/>
      </c>
      <c r="H56" s="24"/>
    </row>
    <row r="57" customFormat="false" ht="15" hidden="false" customHeight="false" outlineLevel="0" collapsed="false">
      <c r="A57" s="24"/>
      <c r="B57" s="24"/>
      <c r="C57" s="24"/>
      <c r="D57" s="24"/>
      <c r="E57" s="24"/>
      <c r="F57" s="28" t="str">
        <f aca="false">IF(A57="","",COUNTIF(Trabalhos!$C$2:$C$1001,A57))</f>
        <v/>
      </c>
      <c r="G57" s="26" t="str">
        <f aca="false">IF(A57="","",SUMIFS(Trabalhos!$G$2:$G$1001,Trabalhos!$C$2:$C$1001,A57))</f>
        <v/>
      </c>
      <c r="H57" s="24"/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8" t="str">
        <f aca="false">IF(A58="","",COUNTIF(Trabalhos!$C$2:$C$1001,A58))</f>
        <v/>
      </c>
      <c r="G58" s="26" t="str">
        <f aca="false">IF(A58="","",SUMIFS(Trabalhos!$G$2:$G$1001,Trabalhos!$C$2:$C$1001,A58))</f>
        <v/>
      </c>
      <c r="H58" s="24"/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8" t="str">
        <f aca="false">IF(A59="","",COUNTIF(Trabalhos!$C$2:$C$1001,A59))</f>
        <v/>
      </c>
      <c r="G59" s="26" t="str">
        <f aca="false">IF(A59="","",SUMIFS(Trabalhos!$G$2:$G$1001,Trabalhos!$C$2:$C$1001,A59))</f>
        <v/>
      </c>
      <c r="H59" s="24"/>
    </row>
    <row r="60" customFormat="false" ht="15" hidden="false" customHeight="false" outlineLevel="0" collapsed="false">
      <c r="A60" s="24"/>
      <c r="B60" s="24"/>
      <c r="C60" s="24"/>
      <c r="D60" s="24"/>
      <c r="E60" s="24"/>
      <c r="F60" s="28" t="str">
        <f aca="false">IF(A60="","",COUNTIF(Trabalhos!$C$2:$C$1001,A60))</f>
        <v/>
      </c>
      <c r="G60" s="26" t="str">
        <f aca="false">IF(A60="","",SUMIFS(Trabalhos!$G$2:$G$1001,Trabalhos!$C$2:$C$1001,A60))</f>
        <v/>
      </c>
      <c r="H60" s="24"/>
    </row>
    <row r="61" customFormat="false" ht="15" hidden="false" customHeight="false" outlineLevel="0" collapsed="false">
      <c r="A61" s="24"/>
      <c r="B61" s="24"/>
      <c r="C61" s="24"/>
      <c r="D61" s="24"/>
      <c r="E61" s="24"/>
      <c r="F61" s="28" t="str">
        <f aca="false">IF(A61="","",COUNTIF(Trabalhos!$C$2:$C$1001,A61))</f>
        <v/>
      </c>
      <c r="G61" s="26" t="str">
        <f aca="false">IF(A61="","",SUMIFS(Trabalhos!$G$2:$G$1001,Trabalhos!$C$2:$C$1001,A61))</f>
        <v/>
      </c>
      <c r="H61" s="24"/>
    </row>
    <row r="62" customFormat="false" ht="15" hidden="false" customHeight="false" outlineLevel="0" collapsed="false">
      <c r="A62" s="24"/>
      <c r="B62" s="24"/>
      <c r="C62" s="24"/>
      <c r="D62" s="24"/>
      <c r="E62" s="24"/>
      <c r="F62" s="28" t="str">
        <f aca="false">IF(A62="","",COUNTIF(Trabalhos!$C$2:$C$1001,A62))</f>
        <v/>
      </c>
      <c r="G62" s="26" t="str">
        <f aca="false">IF(A62="","",SUMIFS(Trabalhos!$G$2:$G$1001,Trabalhos!$C$2:$C$1001,A62))</f>
        <v/>
      </c>
      <c r="H62" s="24"/>
    </row>
    <row r="63" customFormat="false" ht="15" hidden="false" customHeight="false" outlineLevel="0" collapsed="false">
      <c r="A63" s="24"/>
      <c r="B63" s="24"/>
      <c r="C63" s="24"/>
      <c r="D63" s="24"/>
      <c r="E63" s="24"/>
      <c r="F63" s="28" t="str">
        <f aca="false">IF(A63="","",COUNTIF(Trabalhos!$C$2:$C$1001,A63))</f>
        <v/>
      </c>
      <c r="G63" s="26" t="str">
        <f aca="false">IF(A63="","",SUMIFS(Trabalhos!$G$2:$G$1001,Trabalhos!$C$2:$C$1001,A63))</f>
        <v/>
      </c>
      <c r="H63" s="24"/>
    </row>
    <row r="64" customFormat="false" ht="15" hidden="false" customHeight="false" outlineLevel="0" collapsed="false">
      <c r="A64" s="24"/>
      <c r="B64" s="24"/>
      <c r="C64" s="24"/>
      <c r="D64" s="24"/>
      <c r="E64" s="24"/>
      <c r="F64" s="28" t="str">
        <f aca="false">IF(A64="","",COUNTIF(Trabalhos!$C$2:$C$1001,A64))</f>
        <v/>
      </c>
      <c r="G64" s="26" t="str">
        <f aca="false">IF(A64="","",SUMIFS(Trabalhos!$G$2:$G$1001,Trabalhos!$C$2:$C$1001,A64))</f>
        <v/>
      </c>
      <c r="H64" s="24"/>
    </row>
    <row r="65" customFormat="false" ht="15" hidden="false" customHeight="false" outlineLevel="0" collapsed="false">
      <c r="A65" s="24"/>
      <c r="B65" s="24"/>
      <c r="C65" s="24"/>
      <c r="D65" s="24"/>
      <c r="E65" s="24"/>
      <c r="F65" s="28" t="str">
        <f aca="false">IF(A65="","",COUNTIF(Trabalhos!$C$2:$C$1001,A65))</f>
        <v/>
      </c>
      <c r="G65" s="26" t="str">
        <f aca="false">IF(A65="","",SUMIFS(Trabalhos!$G$2:$G$1001,Trabalhos!$C$2:$C$1001,A65))</f>
        <v/>
      </c>
      <c r="H65" s="24"/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8" t="str">
        <f aca="false">IF(A66="","",COUNTIF(Trabalhos!$C$2:$C$1001,A66))</f>
        <v/>
      </c>
      <c r="G66" s="26" t="str">
        <f aca="false">IF(A66="","",SUMIFS(Trabalhos!$G$2:$G$1001,Trabalhos!$C$2:$C$1001,A66))</f>
        <v/>
      </c>
      <c r="H66" s="24"/>
    </row>
    <row r="67" customFormat="false" ht="15" hidden="false" customHeight="false" outlineLevel="0" collapsed="false">
      <c r="A67" s="24"/>
      <c r="B67" s="24"/>
      <c r="C67" s="24"/>
      <c r="D67" s="24"/>
      <c r="E67" s="24"/>
      <c r="F67" s="28" t="str">
        <f aca="false">IF(A67="","",COUNTIF(Trabalhos!$C$2:$C$1001,A67))</f>
        <v/>
      </c>
      <c r="G67" s="26" t="str">
        <f aca="false">IF(A67="","",SUMIFS(Trabalhos!$G$2:$G$1001,Trabalhos!$C$2:$C$1001,A67))</f>
        <v/>
      </c>
      <c r="H67" s="24"/>
    </row>
    <row r="68" customFormat="false" ht="15" hidden="false" customHeight="false" outlineLevel="0" collapsed="false">
      <c r="A68" s="24"/>
      <c r="B68" s="24"/>
      <c r="C68" s="24"/>
      <c r="D68" s="24"/>
      <c r="E68" s="24"/>
      <c r="F68" s="28" t="str">
        <f aca="false">IF(A68="","",COUNTIF(Trabalhos!$C$2:$C$1001,A68))</f>
        <v/>
      </c>
      <c r="G68" s="26" t="str">
        <f aca="false">IF(A68="","",SUMIFS(Trabalhos!$G$2:$G$1001,Trabalhos!$C$2:$C$1001,A68))</f>
        <v/>
      </c>
      <c r="H68" s="24"/>
    </row>
    <row r="69" customFormat="false" ht="15" hidden="false" customHeight="false" outlineLevel="0" collapsed="false">
      <c r="A69" s="24"/>
      <c r="B69" s="24"/>
      <c r="C69" s="24"/>
      <c r="D69" s="24"/>
      <c r="E69" s="24"/>
      <c r="F69" s="28" t="str">
        <f aca="false">IF(A69="","",COUNTIF(Trabalhos!$C$2:$C$1001,A69))</f>
        <v/>
      </c>
      <c r="G69" s="26" t="str">
        <f aca="false">IF(A69="","",SUMIFS(Trabalhos!$G$2:$G$1001,Trabalhos!$C$2:$C$1001,A69))</f>
        <v/>
      </c>
      <c r="H69" s="24"/>
    </row>
    <row r="70" customFormat="false" ht="15" hidden="false" customHeight="false" outlineLevel="0" collapsed="false">
      <c r="A70" s="24"/>
      <c r="B70" s="24"/>
      <c r="C70" s="24"/>
      <c r="D70" s="24"/>
      <c r="E70" s="24"/>
      <c r="F70" s="28" t="str">
        <f aca="false">IF(A70="","",COUNTIF(Trabalhos!$C$2:$C$1001,A70))</f>
        <v/>
      </c>
      <c r="G70" s="26" t="str">
        <f aca="false">IF(A70="","",SUMIFS(Trabalhos!$G$2:$G$1001,Trabalhos!$C$2:$C$1001,A70))</f>
        <v/>
      </c>
      <c r="H70" s="24"/>
    </row>
    <row r="71" customFormat="false" ht="15" hidden="false" customHeight="false" outlineLevel="0" collapsed="false">
      <c r="A71" s="24"/>
      <c r="B71" s="24"/>
      <c r="C71" s="24"/>
      <c r="D71" s="24"/>
      <c r="E71" s="24"/>
      <c r="F71" s="28" t="str">
        <f aca="false">IF(A71="","",COUNTIF(Trabalhos!$C$2:$C$1001,A71))</f>
        <v/>
      </c>
      <c r="G71" s="26" t="str">
        <f aca="false">IF(A71="","",SUMIFS(Trabalhos!$G$2:$G$1001,Trabalhos!$C$2:$C$1001,A71))</f>
        <v/>
      </c>
      <c r="H71" s="24"/>
    </row>
    <row r="72" customFormat="false" ht="15" hidden="false" customHeight="false" outlineLevel="0" collapsed="false">
      <c r="A72" s="24"/>
      <c r="B72" s="24"/>
      <c r="C72" s="24"/>
      <c r="D72" s="24"/>
      <c r="E72" s="24"/>
      <c r="F72" s="28" t="str">
        <f aca="false">IF(A72="","",COUNTIF(Trabalhos!$C$2:$C$1001,A72))</f>
        <v/>
      </c>
      <c r="G72" s="26" t="str">
        <f aca="false">IF(A72="","",SUMIFS(Trabalhos!$G$2:$G$1001,Trabalhos!$C$2:$C$1001,A72))</f>
        <v/>
      </c>
      <c r="H72" s="24"/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8" t="str">
        <f aca="false">IF(A73="","",COUNTIF(Trabalhos!$C$2:$C$1001,A73))</f>
        <v/>
      </c>
      <c r="G73" s="26" t="str">
        <f aca="false">IF(A73="","",SUMIFS(Trabalhos!$G$2:$G$1001,Trabalhos!$C$2:$C$1001,A73))</f>
        <v/>
      </c>
      <c r="H73" s="24"/>
    </row>
    <row r="74" customFormat="false" ht="15" hidden="false" customHeight="false" outlineLevel="0" collapsed="false">
      <c r="A74" s="24"/>
      <c r="B74" s="24"/>
      <c r="C74" s="24"/>
      <c r="D74" s="24"/>
      <c r="E74" s="24"/>
      <c r="F74" s="28" t="str">
        <f aca="false">IF(A74="","",COUNTIF(Trabalhos!$C$2:$C$1001,A74))</f>
        <v/>
      </c>
      <c r="G74" s="26" t="str">
        <f aca="false">IF(A74="","",SUMIFS(Trabalhos!$G$2:$G$1001,Trabalhos!$C$2:$C$1001,A74))</f>
        <v/>
      </c>
      <c r="H74" s="24"/>
    </row>
    <row r="75" customFormat="false" ht="15" hidden="false" customHeight="false" outlineLevel="0" collapsed="false">
      <c r="A75" s="24"/>
      <c r="B75" s="24"/>
      <c r="C75" s="24"/>
      <c r="D75" s="24"/>
      <c r="E75" s="24"/>
      <c r="F75" s="28" t="str">
        <f aca="false">IF(A75="","",COUNTIF(Trabalhos!$C$2:$C$1001,A75))</f>
        <v/>
      </c>
      <c r="G75" s="26" t="str">
        <f aca="false">IF(A75="","",SUMIFS(Trabalhos!$G$2:$G$1001,Trabalhos!$C$2:$C$1001,A75))</f>
        <v/>
      </c>
      <c r="H75" s="24"/>
    </row>
    <row r="76" customFormat="false" ht="15" hidden="false" customHeight="false" outlineLevel="0" collapsed="false">
      <c r="A76" s="24"/>
      <c r="B76" s="24"/>
      <c r="C76" s="24"/>
      <c r="D76" s="24"/>
      <c r="E76" s="24"/>
      <c r="F76" s="28" t="str">
        <f aca="false">IF(A76="","",COUNTIF(Trabalhos!$C$2:$C$1001,A76))</f>
        <v/>
      </c>
      <c r="G76" s="26" t="str">
        <f aca="false">IF(A76="","",SUMIFS(Trabalhos!$G$2:$G$1001,Trabalhos!$C$2:$C$1001,A76))</f>
        <v/>
      </c>
      <c r="H76" s="24"/>
    </row>
    <row r="77" customFormat="false" ht="15" hidden="false" customHeight="false" outlineLevel="0" collapsed="false">
      <c r="A77" s="24"/>
      <c r="B77" s="24"/>
      <c r="C77" s="24"/>
      <c r="D77" s="24"/>
      <c r="E77" s="24"/>
      <c r="F77" s="28" t="str">
        <f aca="false">IF(A77="","",COUNTIF(Trabalhos!$C$2:$C$1001,A77))</f>
        <v/>
      </c>
      <c r="G77" s="26" t="str">
        <f aca="false">IF(A77="","",SUMIFS(Trabalhos!$G$2:$G$1001,Trabalhos!$C$2:$C$1001,A77))</f>
        <v/>
      </c>
      <c r="H77" s="24"/>
    </row>
    <row r="78" customFormat="false" ht="15" hidden="false" customHeight="false" outlineLevel="0" collapsed="false">
      <c r="A78" s="24"/>
      <c r="B78" s="24"/>
      <c r="C78" s="24"/>
      <c r="D78" s="24"/>
      <c r="E78" s="24"/>
      <c r="F78" s="28" t="str">
        <f aca="false">IF(A78="","",COUNTIF(Trabalhos!$C$2:$C$1001,A78))</f>
        <v/>
      </c>
      <c r="G78" s="26" t="str">
        <f aca="false">IF(A78="","",SUMIFS(Trabalhos!$G$2:$G$1001,Trabalhos!$C$2:$C$1001,A78))</f>
        <v/>
      </c>
      <c r="H78" s="24"/>
    </row>
    <row r="79" customFormat="false" ht="15" hidden="false" customHeight="false" outlineLevel="0" collapsed="false">
      <c r="A79" s="24"/>
      <c r="B79" s="24"/>
      <c r="C79" s="24"/>
      <c r="D79" s="24"/>
      <c r="E79" s="24"/>
      <c r="F79" s="28" t="str">
        <f aca="false">IF(A79="","",COUNTIF(Trabalhos!$C$2:$C$1001,A79))</f>
        <v/>
      </c>
      <c r="G79" s="26" t="str">
        <f aca="false">IF(A79="","",SUMIFS(Trabalhos!$G$2:$G$1001,Trabalhos!$C$2:$C$1001,A79))</f>
        <v/>
      </c>
      <c r="H79" s="24"/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8" t="str">
        <f aca="false">IF(A80="","",COUNTIF(Trabalhos!$C$2:$C$1001,A80))</f>
        <v/>
      </c>
      <c r="G80" s="26" t="str">
        <f aca="false">IF(A80="","",SUMIFS(Trabalhos!$G$2:$G$1001,Trabalhos!$C$2:$C$1001,A80))</f>
        <v/>
      </c>
      <c r="H80" s="24"/>
    </row>
    <row r="81" customFormat="false" ht="15" hidden="false" customHeight="false" outlineLevel="0" collapsed="false">
      <c r="A81" s="24"/>
      <c r="B81" s="24"/>
      <c r="C81" s="24"/>
      <c r="D81" s="24"/>
      <c r="E81" s="24"/>
      <c r="F81" s="28" t="str">
        <f aca="false">IF(A81="","",COUNTIF(Trabalhos!$C$2:$C$1001,A81))</f>
        <v/>
      </c>
      <c r="G81" s="26" t="str">
        <f aca="false">IF(A81="","",SUMIFS(Trabalhos!$G$2:$G$1001,Trabalhos!$C$2:$C$1001,A81))</f>
        <v/>
      </c>
      <c r="H81" s="24"/>
    </row>
    <row r="82" customFormat="false" ht="15" hidden="false" customHeight="false" outlineLevel="0" collapsed="false">
      <c r="A82" s="24"/>
      <c r="B82" s="24"/>
      <c r="C82" s="24"/>
      <c r="D82" s="24"/>
      <c r="E82" s="24"/>
      <c r="F82" s="28" t="str">
        <f aca="false">IF(A82="","",COUNTIF(Trabalhos!$C$2:$C$1001,A82))</f>
        <v/>
      </c>
      <c r="G82" s="26" t="str">
        <f aca="false">IF(A82="","",SUMIFS(Trabalhos!$G$2:$G$1001,Trabalhos!$C$2:$C$1001,A82))</f>
        <v/>
      </c>
      <c r="H82" s="24"/>
    </row>
    <row r="83" customFormat="false" ht="15" hidden="false" customHeight="false" outlineLevel="0" collapsed="false">
      <c r="A83" s="24"/>
      <c r="B83" s="24"/>
      <c r="C83" s="24"/>
      <c r="D83" s="24"/>
      <c r="E83" s="24"/>
      <c r="F83" s="28" t="str">
        <f aca="false">IF(A83="","",COUNTIF(Trabalhos!$C$2:$C$1001,A83))</f>
        <v/>
      </c>
      <c r="G83" s="26" t="str">
        <f aca="false">IF(A83="","",SUMIFS(Trabalhos!$G$2:$G$1001,Trabalhos!$C$2:$C$1001,A83))</f>
        <v/>
      </c>
      <c r="H83" s="24"/>
    </row>
    <row r="84" customFormat="false" ht="15" hidden="false" customHeight="false" outlineLevel="0" collapsed="false">
      <c r="A84" s="24"/>
      <c r="B84" s="24"/>
      <c r="C84" s="24"/>
      <c r="D84" s="24"/>
      <c r="E84" s="24"/>
      <c r="F84" s="28" t="str">
        <f aca="false">IF(A84="","",COUNTIF(Trabalhos!$C$2:$C$1001,A84))</f>
        <v/>
      </c>
      <c r="G84" s="26" t="str">
        <f aca="false">IF(A84="","",SUMIFS(Trabalhos!$G$2:$G$1001,Trabalhos!$C$2:$C$1001,A84))</f>
        <v/>
      </c>
      <c r="H84" s="24"/>
    </row>
    <row r="85" customFormat="false" ht="15" hidden="false" customHeight="false" outlineLevel="0" collapsed="false">
      <c r="A85" s="24"/>
      <c r="B85" s="24"/>
      <c r="C85" s="24"/>
      <c r="D85" s="24"/>
      <c r="E85" s="24"/>
      <c r="F85" s="28" t="str">
        <f aca="false">IF(A85="","",COUNTIF(Trabalhos!$C$2:$C$1001,A85))</f>
        <v/>
      </c>
      <c r="G85" s="26" t="str">
        <f aca="false">IF(A85="","",SUMIFS(Trabalhos!$G$2:$G$1001,Trabalhos!$C$2:$C$1001,A85))</f>
        <v/>
      </c>
      <c r="H85" s="24"/>
    </row>
    <row r="86" customFormat="false" ht="15" hidden="false" customHeight="false" outlineLevel="0" collapsed="false">
      <c r="A86" s="24"/>
      <c r="B86" s="24"/>
      <c r="C86" s="24"/>
      <c r="D86" s="24"/>
      <c r="E86" s="24"/>
      <c r="F86" s="28" t="str">
        <f aca="false">IF(A86="","",COUNTIF(Trabalhos!$C$2:$C$1001,A86))</f>
        <v/>
      </c>
      <c r="G86" s="26" t="str">
        <f aca="false">IF(A86="","",SUMIFS(Trabalhos!$G$2:$G$1001,Trabalhos!$C$2:$C$1001,A86))</f>
        <v/>
      </c>
      <c r="H86" s="24"/>
    </row>
    <row r="87" customFormat="false" ht="15" hidden="false" customHeight="false" outlineLevel="0" collapsed="false">
      <c r="A87" s="24"/>
      <c r="B87" s="24"/>
      <c r="C87" s="24"/>
      <c r="D87" s="24"/>
      <c r="E87" s="24"/>
      <c r="F87" s="28" t="str">
        <f aca="false">IF(A87="","",COUNTIF(Trabalhos!$C$2:$C$1001,A87))</f>
        <v/>
      </c>
      <c r="G87" s="26" t="str">
        <f aca="false">IF(A87="","",SUMIFS(Trabalhos!$G$2:$G$1001,Trabalhos!$C$2:$C$1001,A87))</f>
        <v/>
      </c>
      <c r="H87" s="24"/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8" t="str">
        <f aca="false">IF(A88="","",COUNTIF(Trabalhos!$C$2:$C$1001,A88))</f>
        <v/>
      </c>
      <c r="G88" s="26" t="str">
        <f aca="false">IF(A88="","",SUMIFS(Trabalhos!$G$2:$G$1001,Trabalhos!$C$2:$C$1001,A88))</f>
        <v/>
      </c>
      <c r="H88" s="24"/>
    </row>
    <row r="89" customFormat="false" ht="15" hidden="false" customHeight="false" outlineLevel="0" collapsed="false">
      <c r="A89" s="24"/>
      <c r="B89" s="24"/>
      <c r="C89" s="24"/>
      <c r="D89" s="24"/>
      <c r="E89" s="24"/>
      <c r="F89" s="28" t="str">
        <f aca="false">IF(A89="","",COUNTIF(Trabalhos!$C$2:$C$1001,A89))</f>
        <v/>
      </c>
      <c r="G89" s="26" t="str">
        <f aca="false">IF(A89="","",SUMIFS(Trabalhos!$G$2:$G$1001,Trabalhos!$C$2:$C$1001,A89))</f>
        <v/>
      </c>
      <c r="H89" s="24"/>
    </row>
    <row r="90" customFormat="false" ht="15" hidden="false" customHeight="false" outlineLevel="0" collapsed="false">
      <c r="A90" s="24"/>
      <c r="B90" s="24"/>
      <c r="C90" s="24"/>
      <c r="D90" s="24"/>
      <c r="E90" s="24"/>
      <c r="F90" s="28" t="str">
        <f aca="false">IF(A90="","",COUNTIF(Trabalhos!$C$2:$C$1001,A90))</f>
        <v/>
      </c>
      <c r="G90" s="26" t="str">
        <f aca="false">IF(A90="","",SUMIFS(Trabalhos!$G$2:$G$1001,Trabalhos!$C$2:$C$1001,A90))</f>
        <v/>
      </c>
      <c r="H90" s="24"/>
    </row>
    <row r="91" customFormat="false" ht="15" hidden="false" customHeight="false" outlineLevel="0" collapsed="false">
      <c r="A91" s="24"/>
      <c r="B91" s="24"/>
      <c r="C91" s="24"/>
      <c r="D91" s="24"/>
      <c r="E91" s="24"/>
      <c r="F91" s="28" t="str">
        <f aca="false">IF(A91="","",COUNTIF(Trabalhos!$C$2:$C$1001,A91))</f>
        <v/>
      </c>
      <c r="G91" s="26" t="str">
        <f aca="false">IF(A91="","",SUMIFS(Trabalhos!$G$2:$G$1001,Trabalhos!$C$2:$C$1001,A91))</f>
        <v/>
      </c>
      <c r="H91" s="24"/>
    </row>
    <row r="92" customFormat="false" ht="15" hidden="false" customHeight="false" outlineLevel="0" collapsed="false">
      <c r="A92" s="24"/>
      <c r="B92" s="24"/>
      <c r="C92" s="24"/>
      <c r="D92" s="24"/>
      <c r="E92" s="24"/>
      <c r="F92" s="28" t="str">
        <f aca="false">IF(A92="","",COUNTIF(Trabalhos!$C$2:$C$1001,A92))</f>
        <v/>
      </c>
      <c r="G92" s="26" t="str">
        <f aca="false">IF(A92="","",SUMIFS(Trabalhos!$G$2:$G$1001,Trabalhos!$C$2:$C$1001,A92))</f>
        <v/>
      </c>
      <c r="H92" s="24"/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8" t="str">
        <f aca="false">IF(A93="","",COUNTIF(Trabalhos!$C$2:$C$1001,A93))</f>
        <v/>
      </c>
      <c r="G93" s="26" t="str">
        <f aca="false">IF(A93="","",SUMIFS(Trabalhos!$G$2:$G$1001,Trabalhos!$C$2:$C$1001,A93))</f>
        <v/>
      </c>
      <c r="H93" s="24"/>
    </row>
    <row r="94" customFormat="false" ht="15" hidden="false" customHeight="false" outlineLevel="0" collapsed="false">
      <c r="A94" s="24"/>
      <c r="B94" s="24"/>
      <c r="C94" s="24"/>
      <c r="D94" s="24"/>
      <c r="E94" s="24"/>
      <c r="F94" s="28" t="str">
        <f aca="false">IF(A94="","",COUNTIF(Trabalhos!$C$2:$C$1001,A94))</f>
        <v/>
      </c>
      <c r="G94" s="26" t="str">
        <f aca="false">IF(A94="","",SUMIFS(Trabalhos!$G$2:$G$1001,Trabalhos!$C$2:$C$1001,A94))</f>
        <v/>
      </c>
      <c r="H94" s="24"/>
    </row>
    <row r="95" customFormat="false" ht="15" hidden="false" customHeight="false" outlineLevel="0" collapsed="false">
      <c r="A95" s="24"/>
      <c r="B95" s="24"/>
      <c r="C95" s="24"/>
      <c r="D95" s="24"/>
      <c r="E95" s="24"/>
      <c r="F95" s="28" t="str">
        <f aca="false">IF(A95="","",COUNTIF(Trabalhos!$C$2:$C$1001,A95))</f>
        <v/>
      </c>
      <c r="G95" s="26" t="str">
        <f aca="false">IF(A95="","",SUMIFS(Trabalhos!$G$2:$G$1001,Trabalhos!$C$2:$C$1001,A95))</f>
        <v/>
      </c>
      <c r="H95" s="24"/>
    </row>
    <row r="96" customFormat="false" ht="15" hidden="false" customHeight="false" outlineLevel="0" collapsed="false">
      <c r="A96" s="24"/>
      <c r="B96" s="24"/>
      <c r="C96" s="24"/>
      <c r="D96" s="24"/>
      <c r="E96" s="24"/>
      <c r="F96" s="28" t="str">
        <f aca="false">IF(A96="","",COUNTIF(Trabalhos!$C$2:$C$1001,A96))</f>
        <v/>
      </c>
      <c r="G96" s="26" t="str">
        <f aca="false">IF(A96="","",SUMIFS(Trabalhos!$G$2:$G$1001,Trabalhos!$C$2:$C$1001,A96))</f>
        <v/>
      </c>
      <c r="H96" s="24"/>
    </row>
    <row r="97" customFormat="false" ht="15" hidden="false" customHeight="false" outlineLevel="0" collapsed="false">
      <c r="A97" s="24"/>
      <c r="B97" s="24"/>
      <c r="C97" s="24"/>
      <c r="D97" s="24"/>
      <c r="E97" s="24"/>
      <c r="F97" s="28" t="str">
        <f aca="false">IF(A97="","",COUNTIF(Trabalhos!$C$2:$C$1001,A97))</f>
        <v/>
      </c>
      <c r="G97" s="26" t="str">
        <f aca="false">IF(A97="","",SUMIFS(Trabalhos!$G$2:$G$1001,Trabalhos!$C$2:$C$1001,A97))</f>
        <v/>
      </c>
      <c r="H97" s="24"/>
    </row>
    <row r="98" customFormat="false" ht="15" hidden="false" customHeight="false" outlineLevel="0" collapsed="false">
      <c r="A98" s="24"/>
      <c r="B98" s="24"/>
      <c r="C98" s="24"/>
      <c r="D98" s="24"/>
      <c r="E98" s="24"/>
      <c r="F98" s="28" t="str">
        <f aca="false">IF(A98="","",COUNTIF(Trabalhos!$C$2:$C$1001,A98))</f>
        <v/>
      </c>
      <c r="G98" s="26" t="str">
        <f aca="false">IF(A98="","",SUMIFS(Trabalhos!$G$2:$G$1001,Trabalhos!$C$2:$C$1001,A98))</f>
        <v/>
      </c>
      <c r="H98" s="24"/>
    </row>
    <row r="99" customFormat="false" ht="15" hidden="false" customHeight="false" outlineLevel="0" collapsed="false">
      <c r="A99" s="24"/>
      <c r="B99" s="24"/>
      <c r="C99" s="24"/>
      <c r="D99" s="24"/>
      <c r="E99" s="24"/>
      <c r="F99" s="28" t="str">
        <f aca="false">IF(A99="","",COUNTIF(Trabalhos!$C$2:$C$1001,A99))</f>
        <v/>
      </c>
      <c r="G99" s="26" t="str">
        <f aca="false">IF(A99="","",SUMIFS(Trabalhos!$G$2:$G$1001,Trabalhos!$C$2:$C$1001,A99))</f>
        <v/>
      </c>
      <c r="H99" s="24"/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8" t="str">
        <f aca="false">IF(A100="","",COUNTIF(Trabalhos!$C$2:$C$1001,A100))</f>
        <v/>
      </c>
      <c r="G100" s="26" t="str">
        <f aca="false">IF(A100="","",SUMIFS(Trabalhos!$G$2:$G$1001,Trabalhos!$C$2:$C$1001,A100))</f>
        <v/>
      </c>
      <c r="H100" s="24"/>
    </row>
    <row r="101" customFormat="false" ht="15" hidden="false" customHeight="false" outlineLevel="0" collapsed="false">
      <c r="A101" s="24"/>
      <c r="B101" s="24"/>
      <c r="C101" s="24"/>
      <c r="D101" s="24"/>
      <c r="E101" s="24"/>
      <c r="F101" s="28" t="str">
        <f aca="false">IF(A101="","",COUNTIF(Trabalhos!$C$2:$C$1001,A101))</f>
        <v/>
      </c>
      <c r="G101" s="26" t="str">
        <f aca="false">IF(A101="","",SUMIFS(Trabalhos!$G$2:$G$1001,Trabalhos!$C$2:$C$1001,A101))</f>
        <v/>
      </c>
      <c r="H101" s="24"/>
    </row>
    <row r="102" customFormat="false" ht="15" hidden="false" customHeight="false" outlineLevel="0" collapsed="false">
      <c r="A102" s="24"/>
      <c r="B102" s="24"/>
      <c r="C102" s="24"/>
      <c r="D102" s="24"/>
      <c r="E102" s="24"/>
      <c r="F102" s="28" t="str">
        <f aca="false">IF(A102="","",COUNTIF(Trabalhos!$C$2:$C$1001,A102))</f>
        <v/>
      </c>
      <c r="G102" s="26" t="str">
        <f aca="false">IF(A102="","",SUMIFS(Trabalhos!$G$2:$G$1001,Trabalhos!$C$2:$C$1001,A102))</f>
        <v/>
      </c>
      <c r="H102" s="24"/>
    </row>
    <row r="103" customFormat="false" ht="15" hidden="false" customHeight="false" outlineLevel="0" collapsed="false">
      <c r="A103" s="24"/>
      <c r="B103" s="24"/>
      <c r="C103" s="24"/>
      <c r="D103" s="24"/>
      <c r="E103" s="24"/>
      <c r="F103" s="28" t="str">
        <f aca="false">IF(A103="","",COUNTIF(Trabalhos!$C$2:$C$1001,A103))</f>
        <v/>
      </c>
      <c r="G103" s="26" t="str">
        <f aca="false">IF(A103="","",SUMIFS(Trabalhos!$G$2:$G$1001,Trabalhos!$C$2:$C$1001,A103))</f>
        <v/>
      </c>
      <c r="H103" s="24"/>
    </row>
    <row r="104" customFormat="false" ht="15" hidden="false" customHeight="false" outlineLevel="0" collapsed="false">
      <c r="A104" s="24"/>
      <c r="B104" s="24"/>
      <c r="C104" s="24"/>
      <c r="D104" s="24"/>
      <c r="E104" s="24"/>
      <c r="F104" s="28" t="str">
        <f aca="false">IF(A104="","",COUNTIF(Trabalhos!$C$2:$C$1001,A104))</f>
        <v/>
      </c>
      <c r="G104" s="26" t="str">
        <f aca="false">IF(A104="","",SUMIFS(Trabalhos!$G$2:$G$1001,Trabalhos!$C$2:$C$1001,A104))</f>
        <v/>
      </c>
      <c r="H104" s="24"/>
    </row>
    <row r="105" customFormat="false" ht="15" hidden="false" customHeight="false" outlineLevel="0" collapsed="false">
      <c r="A105" s="24"/>
      <c r="B105" s="24"/>
      <c r="C105" s="24"/>
      <c r="D105" s="24"/>
      <c r="E105" s="24"/>
      <c r="F105" s="28" t="str">
        <f aca="false">IF(A105="","",COUNTIF(Trabalhos!$C$2:$C$1001,A105))</f>
        <v/>
      </c>
      <c r="G105" s="26" t="str">
        <f aca="false">IF(A105="","",SUMIFS(Trabalhos!$G$2:$G$1001,Trabalhos!$C$2:$C$1001,A105))</f>
        <v/>
      </c>
      <c r="H105" s="24"/>
    </row>
    <row r="106" customFormat="false" ht="15" hidden="false" customHeight="false" outlineLevel="0" collapsed="false">
      <c r="A106" s="24"/>
      <c r="B106" s="24"/>
      <c r="C106" s="24"/>
      <c r="D106" s="24"/>
      <c r="E106" s="24"/>
      <c r="F106" s="28" t="str">
        <f aca="false">IF(A106="","",COUNTIF(Trabalhos!$C$2:$C$1001,A106))</f>
        <v/>
      </c>
      <c r="G106" s="26" t="str">
        <f aca="false">IF(A106="","",SUMIFS(Trabalhos!$G$2:$G$1001,Trabalhos!$C$2:$C$1001,A106))</f>
        <v/>
      </c>
      <c r="H106" s="24"/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8" t="str">
        <f aca="false">IF(A107="","",COUNTIF(Trabalhos!$C$2:$C$1001,A107))</f>
        <v/>
      </c>
      <c r="G107" s="26" t="str">
        <f aca="false">IF(A107="","",SUMIFS(Trabalhos!$G$2:$G$1001,Trabalhos!$C$2:$C$1001,A107))</f>
        <v/>
      </c>
      <c r="H107" s="24"/>
    </row>
    <row r="108" customFormat="false" ht="15" hidden="false" customHeight="false" outlineLevel="0" collapsed="false">
      <c r="A108" s="24"/>
      <c r="B108" s="24"/>
      <c r="C108" s="24"/>
      <c r="D108" s="24"/>
      <c r="E108" s="24"/>
      <c r="F108" s="28" t="str">
        <f aca="false">IF(A108="","",COUNTIF(Trabalhos!$C$2:$C$1001,A108))</f>
        <v/>
      </c>
      <c r="G108" s="26" t="str">
        <f aca="false">IF(A108="","",SUMIFS(Trabalhos!$G$2:$G$1001,Trabalhos!$C$2:$C$1001,A108))</f>
        <v/>
      </c>
      <c r="H108" s="24"/>
    </row>
    <row r="109" customFormat="false" ht="15" hidden="false" customHeight="false" outlineLevel="0" collapsed="false">
      <c r="A109" s="24"/>
      <c r="B109" s="24"/>
      <c r="C109" s="24"/>
      <c r="D109" s="24"/>
      <c r="E109" s="24"/>
      <c r="F109" s="28" t="str">
        <f aca="false">IF(A109="","",COUNTIF(Trabalhos!$C$2:$C$1001,A109))</f>
        <v/>
      </c>
      <c r="G109" s="26" t="str">
        <f aca="false">IF(A109="","",SUMIFS(Trabalhos!$G$2:$G$1001,Trabalhos!$C$2:$C$1001,A109))</f>
        <v/>
      </c>
      <c r="H109" s="24"/>
    </row>
    <row r="110" customFormat="false" ht="15" hidden="false" customHeight="false" outlineLevel="0" collapsed="false">
      <c r="A110" s="24"/>
      <c r="B110" s="24"/>
      <c r="C110" s="24"/>
      <c r="D110" s="24"/>
      <c r="E110" s="24"/>
      <c r="F110" s="28" t="str">
        <f aca="false">IF(A110="","",COUNTIF(Trabalhos!$C$2:$C$1001,A110))</f>
        <v/>
      </c>
      <c r="G110" s="26" t="str">
        <f aca="false">IF(A110="","",SUMIFS(Trabalhos!$G$2:$G$1001,Trabalhos!$C$2:$C$1001,A110))</f>
        <v/>
      </c>
      <c r="H110" s="24"/>
    </row>
    <row r="111" customFormat="false" ht="15" hidden="false" customHeight="false" outlineLevel="0" collapsed="false">
      <c r="A111" s="24"/>
      <c r="B111" s="24"/>
      <c r="C111" s="24"/>
      <c r="D111" s="24"/>
      <c r="E111" s="24"/>
      <c r="F111" s="28" t="str">
        <f aca="false">IF(A111="","",COUNTIF(Trabalhos!$C$2:$C$1001,A111))</f>
        <v/>
      </c>
      <c r="G111" s="26" t="str">
        <f aca="false">IF(A111="","",SUMIFS(Trabalhos!$G$2:$G$1001,Trabalhos!$C$2:$C$1001,A111))</f>
        <v/>
      </c>
      <c r="H111" s="24"/>
    </row>
    <row r="112" customFormat="false" ht="15" hidden="false" customHeight="false" outlineLevel="0" collapsed="false">
      <c r="A112" s="24"/>
      <c r="B112" s="24"/>
      <c r="C112" s="24"/>
      <c r="D112" s="24"/>
      <c r="E112" s="24"/>
      <c r="F112" s="28" t="str">
        <f aca="false">IF(A112="","",COUNTIF(Trabalhos!$C$2:$C$1001,A112))</f>
        <v/>
      </c>
      <c r="G112" s="26" t="str">
        <f aca="false">IF(A112="","",SUMIFS(Trabalhos!$G$2:$G$1001,Trabalhos!$C$2:$C$1001,A112))</f>
        <v/>
      </c>
      <c r="H112" s="24"/>
    </row>
    <row r="113" customFormat="false" ht="15" hidden="false" customHeight="false" outlineLevel="0" collapsed="false">
      <c r="A113" s="24"/>
      <c r="B113" s="24"/>
      <c r="C113" s="24"/>
      <c r="D113" s="24"/>
      <c r="E113" s="24"/>
      <c r="F113" s="28" t="str">
        <f aca="false">IF(A113="","",COUNTIF(Trabalhos!$C$2:$C$1001,A113))</f>
        <v/>
      </c>
      <c r="G113" s="26" t="str">
        <f aca="false">IF(A113="","",SUMIFS(Trabalhos!$G$2:$G$1001,Trabalhos!$C$2:$C$1001,A113))</f>
        <v/>
      </c>
      <c r="H113" s="24"/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8" t="str">
        <f aca="false">IF(A114="","",COUNTIF(Trabalhos!$C$2:$C$1001,A114))</f>
        <v/>
      </c>
      <c r="G114" s="26" t="str">
        <f aca="false">IF(A114="","",SUMIFS(Trabalhos!$G$2:$G$1001,Trabalhos!$C$2:$C$1001,A114))</f>
        <v/>
      </c>
      <c r="H114" s="24"/>
    </row>
    <row r="115" customFormat="false" ht="15" hidden="false" customHeight="false" outlineLevel="0" collapsed="false">
      <c r="A115" s="24"/>
      <c r="B115" s="24"/>
      <c r="C115" s="24"/>
      <c r="D115" s="24"/>
      <c r="E115" s="24"/>
      <c r="F115" s="28" t="str">
        <f aca="false">IF(A115="","",COUNTIF(Trabalhos!$C$2:$C$1001,A115))</f>
        <v/>
      </c>
      <c r="G115" s="26" t="str">
        <f aca="false">IF(A115="","",SUMIFS(Trabalhos!$G$2:$G$1001,Trabalhos!$C$2:$C$1001,A115))</f>
        <v/>
      </c>
      <c r="H115" s="24"/>
    </row>
    <row r="116" customFormat="false" ht="15" hidden="false" customHeight="false" outlineLevel="0" collapsed="false">
      <c r="A116" s="24"/>
      <c r="B116" s="24"/>
      <c r="C116" s="24"/>
      <c r="D116" s="24"/>
      <c r="E116" s="24"/>
      <c r="F116" s="28" t="str">
        <f aca="false">IF(A116="","",COUNTIF(Trabalhos!$C$2:$C$1001,A116))</f>
        <v/>
      </c>
      <c r="G116" s="26" t="str">
        <f aca="false">IF(A116="","",SUMIFS(Trabalhos!$G$2:$G$1001,Trabalhos!$C$2:$C$1001,A116))</f>
        <v/>
      </c>
      <c r="H116" s="24"/>
    </row>
    <row r="117" customFormat="false" ht="15" hidden="false" customHeight="false" outlineLevel="0" collapsed="false">
      <c r="A117" s="24"/>
      <c r="B117" s="24"/>
      <c r="C117" s="24"/>
      <c r="D117" s="24"/>
      <c r="E117" s="24"/>
      <c r="F117" s="28" t="str">
        <f aca="false">IF(A117="","",COUNTIF(Trabalhos!$C$2:$C$1001,A117))</f>
        <v/>
      </c>
      <c r="G117" s="26" t="str">
        <f aca="false">IF(A117="","",SUMIFS(Trabalhos!$G$2:$G$1001,Trabalhos!$C$2:$C$1001,A117))</f>
        <v/>
      </c>
      <c r="H117" s="24"/>
    </row>
    <row r="118" customFormat="false" ht="15" hidden="false" customHeight="false" outlineLevel="0" collapsed="false">
      <c r="A118" s="24"/>
      <c r="B118" s="24"/>
      <c r="C118" s="24"/>
      <c r="D118" s="24"/>
      <c r="E118" s="24"/>
      <c r="F118" s="28" t="str">
        <f aca="false">IF(A118="","",COUNTIF(Trabalhos!$C$2:$C$1001,A118))</f>
        <v/>
      </c>
      <c r="G118" s="26" t="str">
        <f aca="false">IF(A118="","",SUMIFS(Trabalhos!$G$2:$G$1001,Trabalhos!$C$2:$C$1001,A118))</f>
        <v/>
      </c>
      <c r="H118" s="24"/>
    </row>
    <row r="119" customFormat="false" ht="15" hidden="false" customHeight="false" outlineLevel="0" collapsed="false">
      <c r="A119" s="24"/>
      <c r="B119" s="24"/>
      <c r="C119" s="24"/>
      <c r="D119" s="24"/>
      <c r="E119" s="24"/>
      <c r="F119" s="28" t="str">
        <f aca="false">IF(A119="","",COUNTIF(Trabalhos!$C$2:$C$1001,A119))</f>
        <v/>
      </c>
      <c r="G119" s="26" t="str">
        <f aca="false">IF(A119="","",SUMIFS(Trabalhos!$G$2:$G$1001,Trabalhos!$C$2:$C$1001,A119))</f>
        <v/>
      </c>
      <c r="H119" s="24"/>
    </row>
    <row r="120" customFormat="false" ht="15" hidden="false" customHeight="false" outlineLevel="0" collapsed="false">
      <c r="A120" s="24"/>
      <c r="B120" s="24"/>
      <c r="C120" s="24"/>
      <c r="D120" s="24"/>
      <c r="E120" s="24"/>
      <c r="F120" s="28" t="str">
        <f aca="false">IF(A120="","",COUNTIF(Trabalhos!$C$2:$C$1001,A120))</f>
        <v/>
      </c>
      <c r="G120" s="26" t="str">
        <f aca="false">IF(A120="","",SUMIFS(Trabalhos!$G$2:$G$1001,Trabalhos!$C$2:$C$1001,A120))</f>
        <v/>
      </c>
      <c r="H120" s="24"/>
    </row>
    <row r="121" customFormat="false" ht="15" hidden="false" customHeight="false" outlineLevel="0" collapsed="false">
      <c r="A121" s="24"/>
      <c r="B121" s="24"/>
      <c r="C121" s="24"/>
      <c r="D121" s="24"/>
      <c r="E121" s="24"/>
      <c r="F121" s="28" t="str">
        <f aca="false">IF(A121="","",COUNTIF(Trabalhos!$C$2:$C$1001,A121))</f>
        <v/>
      </c>
      <c r="G121" s="26" t="str">
        <f aca="false">IF(A121="","",SUMIFS(Trabalhos!$G$2:$G$1001,Trabalhos!$C$2:$C$1001,A121))</f>
        <v/>
      </c>
      <c r="H121" s="24"/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8" t="str">
        <f aca="false">IF(A122="","",COUNTIF(Trabalhos!$C$2:$C$1001,A122))</f>
        <v/>
      </c>
      <c r="G122" s="26" t="str">
        <f aca="false">IF(A122="","",SUMIFS(Trabalhos!$G$2:$G$1001,Trabalhos!$C$2:$C$1001,A122))</f>
        <v/>
      </c>
      <c r="H122" s="24"/>
    </row>
    <row r="123" customFormat="false" ht="15" hidden="false" customHeight="false" outlineLevel="0" collapsed="false">
      <c r="A123" s="24"/>
      <c r="B123" s="24"/>
      <c r="C123" s="24"/>
      <c r="D123" s="24"/>
      <c r="E123" s="24"/>
      <c r="F123" s="28" t="str">
        <f aca="false">IF(A123="","",COUNTIF(Trabalhos!$C$2:$C$1001,A123))</f>
        <v/>
      </c>
      <c r="G123" s="26" t="str">
        <f aca="false">IF(A123="","",SUMIFS(Trabalhos!$G$2:$G$1001,Trabalhos!$C$2:$C$1001,A123))</f>
        <v/>
      </c>
      <c r="H123" s="24"/>
    </row>
    <row r="124" customFormat="false" ht="15" hidden="false" customHeight="false" outlineLevel="0" collapsed="false">
      <c r="A124" s="24"/>
      <c r="B124" s="24"/>
      <c r="C124" s="24"/>
      <c r="D124" s="24"/>
      <c r="E124" s="24"/>
      <c r="F124" s="28" t="str">
        <f aca="false">IF(A124="","",COUNTIF(Trabalhos!$C$2:$C$1001,A124))</f>
        <v/>
      </c>
      <c r="G124" s="26" t="str">
        <f aca="false">IF(A124="","",SUMIFS(Trabalhos!$G$2:$G$1001,Trabalhos!$C$2:$C$1001,A124))</f>
        <v/>
      </c>
      <c r="H124" s="24"/>
    </row>
    <row r="125" customFormat="false" ht="15" hidden="false" customHeight="false" outlineLevel="0" collapsed="false">
      <c r="A125" s="24"/>
      <c r="B125" s="24"/>
      <c r="C125" s="24"/>
      <c r="D125" s="24"/>
      <c r="E125" s="24"/>
      <c r="F125" s="28" t="str">
        <f aca="false">IF(A125="","",COUNTIF(Trabalhos!$C$2:$C$1001,A125))</f>
        <v/>
      </c>
      <c r="G125" s="26" t="str">
        <f aca="false">IF(A125="","",SUMIFS(Trabalhos!$G$2:$G$1001,Trabalhos!$C$2:$C$1001,A125))</f>
        <v/>
      </c>
      <c r="H125" s="24"/>
    </row>
    <row r="126" customFormat="false" ht="15" hidden="false" customHeight="false" outlineLevel="0" collapsed="false">
      <c r="A126" s="24"/>
      <c r="B126" s="24"/>
      <c r="C126" s="24"/>
      <c r="D126" s="24"/>
      <c r="E126" s="24"/>
      <c r="F126" s="28" t="str">
        <f aca="false">IF(A126="","",COUNTIF(Trabalhos!$C$2:$C$1001,A126))</f>
        <v/>
      </c>
      <c r="G126" s="26" t="str">
        <f aca="false">IF(A126="","",SUMIFS(Trabalhos!$G$2:$G$1001,Trabalhos!$C$2:$C$1001,A126))</f>
        <v/>
      </c>
      <c r="H126" s="24"/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8" t="str">
        <f aca="false">IF(A127="","",COUNTIF(Trabalhos!$C$2:$C$1001,A127))</f>
        <v/>
      </c>
      <c r="G127" s="26" t="str">
        <f aca="false">IF(A127="","",SUMIFS(Trabalhos!$G$2:$G$1001,Trabalhos!$C$2:$C$1001,A127))</f>
        <v/>
      </c>
      <c r="H127" s="24"/>
    </row>
    <row r="128" customFormat="false" ht="15" hidden="false" customHeight="false" outlineLevel="0" collapsed="false">
      <c r="A128" s="24"/>
      <c r="B128" s="24"/>
      <c r="C128" s="24"/>
      <c r="D128" s="24"/>
      <c r="E128" s="24"/>
      <c r="F128" s="28" t="str">
        <f aca="false">IF(A128="","",COUNTIF(Trabalhos!$C$2:$C$1001,A128))</f>
        <v/>
      </c>
      <c r="G128" s="26" t="str">
        <f aca="false">IF(A128="","",SUMIFS(Trabalhos!$G$2:$G$1001,Trabalhos!$C$2:$C$1001,A128))</f>
        <v/>
      </c>
      <c r="H128" s="24"/>
    </row>
    <row r="129" customFormat="false" ht="15" hidden="false" customHeight="false" outlineLevel="0" collapsed="false">
      <c r="A129" s="24"/>
      <c r="B129" s="24"/>
      <c r="C129" s="24"/>
      <c r="D129" s="24"/>
      <c r="E129" s="24"/>
      <c r="F129" s="28" t="str">
        <f aca="false">IF(A129="","",COUNTIF(Trabalhos!$C$2:$C$1001,A129))</f>
        <v/>
      </c>
      <c r="G129" s="26" t="str">
        <f aca="false">IF(A129="","",SUMIFS(Trabalhos!$G$2:$G$1001,Trabalhos!$C$2:$C$1001,A129))</f>
        <v/>
      </c>
      <c r="H129" s="24"/>
    </row>
    <row r="130" customFormat="false" ht="15" hidden="false" customHeight="false" outlineLevel="0" collapsed="false">
      <c r="A130" s="24"/>
      <c r="B130" s="24"/>
      <c r="C130" s="24"/>
      <c r="D130" s="24"/>
      <c r="E130" s="24"/>
      <c r="F130" s="28" t="str">
        <f aca="false">IF(A130="","",COUNTIF(Trabalhos!$C$2:$C$1001,A130))</f>
        <v/>
      </c>
      <c r="G130" s="26" t="str">
        <f aca="false">IF(A130="","",SUMIFS(Trabalhos!$G$2:$G$1001,Trabalhos!$C$2:$C$1001,A130))</f>
        <v/>
      </c>
      <c r="H130" s="24"/>
    </row>
    <row r="131" customFormat="false" ht="15" hidden="false" customHeight="false" outlineLevel="0" collapsed="false">
      <c r="A131" s="24"/>
      <c r="B131" s="24"/>
      <c r="C131" s="24"/>
      <c r="D131" s="24"/>
      <c r="E131" s="24"/>
      <c r="F131" s="28" t="str">
        <f aca="false">IF(A131="","",COUNTIF(Trabalhos!$C$2:$C$1001,A131))</f>
        <v/>
      </c>
      <c r="G131" s="26" t="str">
        <f aca="false">IF(A131="","",SUMIFS(Trabalhos!$G$2:$G$1001,Trabalhos!$C$2:$C$1001,A131))</f>
        <v/>
      </c>
      <c r="H131" s="24"/>
    </row>
    <row r="132" customFormat="false" ht="15" hidden="false" customHeight="false" outlineLevel="0" collapsed="false">
      <c r="A132" s="24"/>
      <c r="B132" s="24"/>
      <c r="C132" s="24"/>
      <c r="D132" s="24"/>
      <c r="E132" s="24"/>
      <c r="F132" s="28" t="str">
        <f aca="false">IF(A132="","",COUNTIF(Trabalhos!$C$2:$C$1001,A132))</f>
        <v/>
      </c>
      <c r="G132" s="26" t="str">
        <f aca="false">IF(A132="","",SUMIFS(Trabalhos!$G$2:$G$1001,Trabalhos!$C$2:$C$1001,A132))</f>
        <v/>
      </c>
      <c r="H132" s="24"/>
    </row>
    <row r="133" customFormat="false" ht="15" hidden="false" customHeight="false" outlineLevel="0" collapsed="false">
      <c r="A133" s="24"/>
      <c r="B133" s="24"/>
      <c r="C133" s="24"/>
      <c r="D133" s="24"/>
      <c r="E133" s="24"/>
      <c r="F133" s="28" t="str">
        <f aca="false">IF(A133="","",COUNTIF(Trabalhos!$C$2:$C$1001,A133))</f>
        <v/>
      </c>
      <c r="G133" s="26" t="str">
        <f aca="false">IF(A133="","",SUMIFS(Trabalhos!$G$2:$G$1001,Trabalhos!$C$2:$C$1001,A133))</f>
        <v/>
      </c>
      <c r="H133" s="24"/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8" t="str">
        <f aca="false">IF(A134="","",COUNTIF(Trabalhos!$C$2:$C$1001,A134))</f>
        <v/>
      </c>
      <c r="G134" s="26" t="str">
        <f aca="false">IF(A134="","",SUMIFS(Trabalhos!$G$2:$G$1001,Trabalhos!$C$2:$C$1001,A134))</f>
        <v/>
      </c>
      <c r="H134" s="24"/>
    </row>
    <row r="135" customFormat="false" ht="15" hidden="false" customHeight="false" outlineLevel="0" collapsed="false">
      <c r="A135" s="24"/>
      <c r="B135" s="24"/>
      <c r="C135" s="24"/>
      <c r="D135" s="24"/>
      <c r="E135" s="24"/>
      <c r="F135" s="28" t="str">
        <f aca="false">IF(A135="","",COUNTIF(Trabalhos!$C$2:$C$1001,A135))</f>
        <v/>
      </c>
      <c r="G135" s="26" t="str">
        <f aca="false">IF(A135="","",SUMIFS(Trabalhos!$G$2:$G$1001,Trabalhos!$C$2:$C$1001,A135))</f>
        <v/>
      </c>
      <c r="H135" s="24"/>
    </row>
    <row r="136" customFormat="false" ht="15" hidden="false" customHeight="false" outlineLevel="0" collapsed="false">
      <c r="A136" s="24"/>
      <c r="B136" s="24"/>
      <c r="C136" s="24"/>
      <c r="D136" s="24"/>
      <c r="E136" s="24"/>
      <c r="F136" s="28" t="str">
        <f aca="false">IF(A136="","",COUNTIF(Trabalhos!$C$2:$C$1001,A136))</f>
        <v/>
      </c>
      <c r="G136" s="26" t="str">
        <f aca="false">IF(A136="","",SUMIFS(Trabalhos!$G$2:$G$1001,Trabalhos!$C$2:$C$1001,A136))</f>
        <v/>
      </c>
      <c r="H136" s="24"/>
    </row>
    <row r="137" customFormat="false" ht="15" hidden="false" customHeight="false" outlineLevel="0" collapsed="false">
      <c r="A137" s="24"/>
      <c r="B137" s="24"/>
      <c r="C137" s="24"/>
      <c r="D137" s="24"/>
      <c r="E137" s="24"/>
      <c r="F137" s="28" t="str">
        <f aca="false">IF(A137="","",COUNTIF(Trabalhos!$C$2:$C$1001,A137))</f>
        <v/>
      </c>
      <c r="G137" s="26" t="str">
        <f aca="false">IF(A137="","",SUMIFS(Trabalhos!$G$2:$G$1001,Trabalhos!$C$2:$C$1001,A137))</f>
        <v/>
      </c>
      <c r="H137" s="24"/>
    </row>
    <row r="138" customFormat="false" ht="15" hidden="false" customHeight="false" outlineLevel="0" collapsed="false">
      <c r="A138" s="24"/>
      <c r="B138" s="24"/>
      <c r="C138" s="24"/>
      <c r="D138" s="24"/>
      <c r="E138" s="24"/>
      <c r="F138" s="28" t="str">
        <f aca="false">IF(A138="","",COUNTIF(Trabalhos!$C$2:$C$1001,A138))</f>
        <v/>
      </c>
      <c r="G138" s="26" t="str">
        <f aca="false">IF(A138="","",SUMIFS(Trabalhos!$G$2:$G$1001,Trabalhos!$C$2:$C$1001,A138))</f>
        <v/>
      </c>
      <c r="H138" s="24"/>
    </row>
    <row r="139" customFormat="false" ht="15" hidden="false" customHeight="false" outlineLevel="0" collapsed="false">
      <c r="A139" s="24"/>
      <c r="B139" s="24"/>
      <c r="C139" s="24"/>
      <c r="D139" s="24"/>
      <c r="E139" s="24"/>
      <c r="F139" s="28" t="str">
        <f aca="false">IF(A139="","",COUNTIF(Trabalhos!$C$2:$C$1001,A139))</f>
        <v/>
      </c>
      <c r="G139" s="26" t="str">
        <f aca="false">IF(A139="","",SUMIFS(Trabalhos!$G$2:$G$1001,Trabalhos!$C$2:$C$1001,A139))</f>
        <v/>
      </c>
      <c r="H139" s="24"/>
    </row>
    <row r="140" customFormat="false" ht="15" hidden="false" customHeight="false" outlineLevel="0" collapsed="false">
      <c r="A140" s="24"/>
      <c r="B140" s="24"/>
      <c r="C140" s="24"/>
      <c r="D140" s="24"/>
      <c r="E140" s="24"/>
      <c r="F140" s="28" t="str">
        <f aca="false">IF(A140="","",COUNTIF(Trabalhos!$C$2:$C$1001,A140))</f>
        <v/>
      </c>
      <c r="G140" s="26" t="str">
        <f aca="false">IF(A140="","",SUMIFS(Trabalhos!$G$2:$G$1001,Trabalhos!$C$2:$C$1001,A140))</f>
        <v/>
      </c>
      <c r="H140" s="24"/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8" t="str">
        <f aca="false">IF(A141="","",COUNTIF(Trabalhos!$C$2:$C$1001,A141))</f>
        <v/>
      </c>
      <c r="G141" s="26" t="str">
        <f aca="false">IF(A141="","",SUMIFS(Trabalhos!$G$2:$G$1001,Trabalhos!$C$2:$C$1001,A141))</f>
        <v/>
      </c>
      <c r="H141" s="24"/>
    </row>
    <row r="142" customFormat="false" ht="15" hidden="false" customHeight="false" outlineLevel="0" collapsed="false">
      <c r="A142" s="24"/>
      <c r="B142" s="24"/>
      <c r="C142" s="24"/>
      <c r="D142" s="24"/>
      <c r="E142" s="24"/>
      <c r="F142" s="28" t="str">
        <f aca="false">IF(A142="","",COUNTIF(Trabalhos!$C$2:$C$1001,A142))</f>
        <v/>
      </c>
      <c r="G142" s="26" t="str">
        <f aca="false">IF(A142="","",SUMIFS(Trabalhos!$G$2:$G$1001,Trabalhos!$C$2:$C$1001,A142))</f>
        <v/>
      </c>
      <c r="H142" s="24"/>
    </row>
    <row r="143" customFormat="false" ht="15" hidden="false" customHeight="false" outlineLevel="0" collapsed="false">
      <c r="A143" s="24"/>
      <c r="B143" s="24"/>
      <c r="C143" s="24"/>
      <c r="D143" s="24"/>
      <c r="E143" s="24"/>
      <c r="F143" s="28" t="str">
        <f aca="false">IF(A143="","",COUNTIF(Trabalhos!$C$2:$C$1001,A143))</f>
        <v/>
      </c>
      <c r="G143" s="26" t="str">
        <f aca="false">IF(A143="","",SUMIFS(Trabalhos!$G$2:$G$1001,Trabalhos!$C$2:$C$1001,A143))</f>
        <v/>
      </c>
      <c r="H143" s="24"/>
    </row>
    <row r="144" customFormat="false" ht="15" hidden="false" customHeight="false" outlineLevel="0" collapsed="false">
      <c r="A144" s="24"/>
      <c r="B144" s="24"/>
      <c r="C144" s="24"/>
      <c r="D144" s="24"/>
      <c r="E144" s="24"/>
      <c r="F144" s="28" t="str">
        <f aca="false">IF(A144="","",COUNTIF(Trabalhos!$C$2:$C$1001,A144))</f>
        <v/>
      </c>
      <c r="G144" s="26" t="str">
        <f aca="false">IF(A144="","",SUMIFS(Trabalhos!$G$2:$G$1001,Trabalhos!$C$2:$C$1001,A144))</f>
        <v/>
      </c>
      <c r="H144" s="24"/>
    </row>
    <row r="145" customFormat="false" ht="15" hidden="false" customHeight="false" outlineLevel="0" collapsed="false">
      <c r="A145" s="24"/>
      <c r="B145" s="24"/>
      <c r="C145" s="24"/>
      <c r="D145" s="24"/>
      <c r="E145" s="24"/>
      <c r="F145" s="28" t="str">
        <f aca="false">IF(A145="","",COUNTIF(Trabalhos!$C$2:$C$1001,A145))</f>
        <v/>
      </c>
      <c r="G145" s="26" t="str">
        <f aca="false">IF(A145="","",SUMIFS(Trabalhos!$G$2:$G$1001,Trabalhos!$C$2:$C$1001,A145))</f>
        <v/>
      </c>
      <c r="H145" s="24"/>
    </row>
    <row r="146" customFormat="false" ht="15" hidden="false" customHeight="false" outlineLevel="0" collapsed="false">
      <c r="A146" s="24"/>
      <c r="B146" s="24"/>
      <c r="C146" s="24"/>
      <c r="D146" s="24"/>
      <c r="E146" s="24"/>
      <c r="F146" s="28" t="str">
        <f aca="false">IF(A146="","",COUNTIF(Trabalhos!$C$2:$C$1001,A146))</f>
        <v/>
      </c>
      <c r="G146" s="26" t="str">
        <f aca="false">IF(A146="","",SUMIFS(Trabalhos!$G$2:$G$1001,Trabalhos!$C$2:$C$1001,A146))</f>
        <v/>
      </c>
      <c r="H146" s="24"/>
    </row>
    <row r="147" customFormat="false" ht="15" hidden="false" customHeight="false" outlineLevel="0" collapsed="false">
      <c r="A147" s="24"/>
      <c r="B147" s="24"/>
      <c r="C147" s="24"/>
      <c r="D147" s="24"/>
      <c r="E147" s="24"/>
      <c r="F147" s="28" t="str">
        <f aca="false">IF(A147="","",COUNTIF(Trabalhos!$C$2:$C$1001,A147))</f>
        <v/>
      </c>
      <c r="G147" s="26" t="str">
        <f aca="false">IF(A147="","",SUMIFS(Trabalhos!$G$2:$G$1001,Trabalhos!$C$2:$C$1001,A147))</f>
        <v/>
      </c>
      <c r="H147" s="24"/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8" t="str">
        <f aca="false">IF(A148="","",COUNTIF(Trabalhos!$C$2:$C$1001,A148))</f>
        <v/>
      </c>
      <c r="G148" s="26" t="str">
        <f aca="false">IF(A148="","",SUMIFS(Trabalhos!$G$2:$G$1001,Trabalhos!$C$2:$C$1001,A148))</f>
        <v/>
      </c>
      <c r="H148" s="24"/>
    </row>
    <row r="149" customFormat="false" ht="15" hidden="false" customHeight="false" outlineLevel="0" collapsed="false">
      <c r="A149" s="24"/>
      <c r="B149" s="24"/>
      <c r="C149" s="24"/>
      <c r="D149" s="24"/>
      <c r="E149" s="24"/>
      <c r="F149" s="28" t="str">
        <f aca="false">IF(A149="","",COUNTIF(Trabalhos!$C$2:$C$1001,A149))</f>
        <v/>
      </c>
      <c r="G149" s="26" t="str">
        <f aca="false">IF(A149="","",SUMIFS(Trabalhos!$G$2:$G$1001,Trabalhos!$C$2:$C$1001,A149))</f>
        <v/>
      </c>
      <c r="H149" s="24"/>
    </row>
    <row r="150" customFormat="false" ht="15" hidden="false" customHeight="false" outlineLevel="0" collapsed="false">
      <c r="A150" s="24"/>
      <c r="B150" s="24"/>
      <c r="C150" s="24"/>
      <c r="D150" s="24"/>
      <c r="E150" s="24"/>
      <c r="F150" s="28" t="str">
        <f aca="false">IF(A150="","",COUNTIF(Trabalhos!$C$2:$C$1001,A150))</f>
        <v/>
      </c>
      <c r="G150" s="26" t="str">
        <f aca="false">IF(A150="","",SUMIFS(Trabalhos!$G$2:$G$1001,Trabalhos!$C$2:$C$1001,A150))</f>
        <v/>
      </c>
      <c r="H150" s="24"/>
    </row>
    <row r="151" customFormat="false" ht="15" hidden="false" customHeight="false" outlineLevel="0" collapsed="false">
      <c r="A151" s="24"/>
      <c r="B151" s="24"/>
      <c r="C151" s="24"/>
      <c r="D151" s="24"/>
      <c r="E151" s="24"/>
      <c r="F151" s="28" t="str">
        <f aca="false">IF(A151="","",COUNTIF(Trabalhos!$C$2:$C$1001,A151))</f>
        <v/>
      </c>
      <c r="G151" s="26" t="str">
        <f aca="false">IF(A151="","",SUMIFS(Trabalhos!$G$2:$G$1001,Trabalhos!$C$2:$C$1001,A151))</f>
        <v/>
      </c>
      <c r="H151" s="24"/>
    </row>
    <row r="152" customFormat="false" ht="15" hidden="false" customHeight="false" outlineLevel="0" collapsed="false">
      <c r="A152" s="24"/>
      <c r="B152" s="24"/>
      <c r="C152" s="24"/>
      <c r="D152" s="24"/>
      <c r="E152" s="24"/>
      <c r="F152" s="28" t="str">
        <f aca="false">IF(A152="","",COUNTIF(Trabalhos!$C$2:$C$1001,A152))</f>
        <v/>
      </c>
      <c r="G152" s="26" t="str">
        <f aca="false">IF(A152="","",SUMIFS(Trabalhos!$G$2:$G$1001,Trabalhos!$C$2:$C$1001,A152))</f>
        <v/>
      </c>
      <c r="H152" s="24"/>
    </row>
    <row r="153" customFormat="false" ht="15" hidden="false" customHeight="false" outlineLevel="0" collapsed="false">
      <c r="A153" s="24"/>
      <c r="B153" s="24"/>
      <c r="C153" s="24"/>
      <c r="D153" s="24"/>
      <c r="E153" s="24"/>
      <c r="F153" s="28" t="str">
        <f aca="false">IF(A153="","",COUNTIF(Trabalhos!$C$2:$C$1001,A153))</f>
        <v/>
      </c>
      <c r="G153" s="26" t="str">
        <f aca="false">IF(A153="","",SUMIFS(Trabalhos!$G$2:$G$1001,Trabalhos!$C$2:$C$1001,A153))</f>
        <v/>
      </c>
      <c r="H153" s="24"/>
    </row>
    <row r="154" customFormat="false" ht="15" hidden="false" customHeight="false" outlineLevel="0" collapsed="false">
      <c r="A154" s="24"/>
      <c r="B154" s="24"/>
      <c r="C154" s="24"/>
      <c r="D154" s="24"/>
      <c r="E154" s="24"/>
      <c r="F154" s="28" t="str">
        <f aca="false">IF(A154="","",COUNTIF(Trabalhos!$C$2:$C$1001,A154))</f>
        <v/>
      </c>
      <c r="G154" s="26" t="str">
        <f aca="false">IF(A154="","",SUMIFS(Trabalhos!$G$2:$G$1001,Trabalhos!$C$2:$C$1001,A154))</f>
        <v/>
      </c>
      <c r="H154" s="24"/>
    </row>
    <row r="155" customFormat="false" ht="15" hidden="false" customHeight="false" outlineLevel="0" collapsed="false">
      <c r="A155" s="24"/>
      <c r="B155" s="24"/>
      <c r="C155" s="24"/>
      <c r="D155" s="24"/>
      <c r="E155" s="24"/>
      <c r="F155" s="28" t="str">
        <f aca="false">IF(A155="","",COUNTIF(Trabalhos!$C$2:$C$1001,A155))</f>
        <v/>
      </c>
      <c r="G155" s="26" t="str">
        <f aca="false">IF(A155="","",SUMIFS(Trabalhos!$G$2:$G$1001,Trabalhos!$C$2:$C$1001,A155))</f>
        <v/>
      </c>
      <c r="H155" s="24"/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8" t="str">
        <f aca="false">IF(A156="","",COUNTIF(Trabalhos!$C$2:$C$1001,A156))</f>
        <v/>
      </c>
      <c r="G156" s="26" t="str">
        <f aca="false">IF(A156="","",SUMIFS(Trabalhos!$G$2:$G$1001,Trabalhos!$C$2:$C$1001,A156))</f>
        <v/>
      </c>
      <c r="H156" s="24"/>
    </row>
    <row r="157" customFormat="false" ht="15" hidden="false" customHeight="false" outlineLevel="0" collapsed="false">
      <c r="A157" s="24"/>
      <c r="B157" s="24"/>
      <c r="C157" s="24"/>
      <c r="D157" s="24"/>
      <c r="E157" s="24"/>
      <c r="F157" s="28" t="str">
        <f aca="false">IF(A157="","",COUNTIF(Trabalhos!$C$2:$C$1001,A157))</f>
        <v/>
      </c>
      <c r="G157" s="26" t="str">
        <f aca="false">IF(A157="","",SUMIFS(Trabalhos!$G$2:$G$1001,Trabalhos!$C$2:$C$1001,A157))</f>
        <v/>
      </c>
      <c r="H157" s="24"/>
    </row>
    <row r="158" customFormat="false" ht="15" hidden="false" customHeight="false" outlineLevel="0" collapsed="false">
      <c r="A158" s="24"/>
      <c r="B158" s="24"/>
      <c r="C158" s="24"/>
      <c r="D158" s="24"/>
      <c r="E158" s="24"/>
      <c r="F158" s="28" t="str">
        <f aca="false">IF(A158="","",COUNTIF(Trabalhos!$C$2:$C$1001,A158))</f>
        <v/>
      </c>
      <c r="G158" s="26" t="str">
        <f aca="false">IF(A158="","",SUMIFS(Trabalhos!$G$2:$G$1001,Trabalhos!$C$2:$C$1001,A158))</f>
        <v/>
      </c>
      <c r="H158" s="24"/>
    </row>
    <row r="159" customFormat="false" ht="15" hidden="false" customHeight="false" outlineLevel="0" collapsed="false">
      <c r="A159" s="24"/>
      <c r="B159" s="24"/>
      <c r="C159" s="24"/>
      <c r="D159" s="24"/>
      <c r="E159" s="24"/>
      <c r="F159" s="28" t="str">
        <f aca="false">IF(A159="","",COUNTIF(Trabalhos!$C$2:$C$1001,A159))</f>
        <v/>
      </c>
      <c r="G159" s="26" t="str">
        <f aca="false">IF(A159="","",SUMIFS(Trabalhos!$G$2:$G$1001,Trabalhos!$C$2:$C$1001,A159))</f>
        <v/>
      </c>
      <c r="H159" s="24"/>
    </row>
    <row r="160" customFormat="false" ht="15" hidden="false" customHeight="false" outlineLevel="0" collapsed="false">
      <c r="A160" s="24"/>
      <c r="B160" s="24"/>
      <c r="C160" s="24"/>
      <c r="D160" s="24"/>
      <c r="E160" s="24"/>
      <c r="F160" s="28" t="str">
        <f aca="false">IF(A160="","",COUNTIF(Trabalhos!$C$2:$C$1001,A160))</f>
        <v/>
      </c>
      <c r="G160" s="26" t="str">
        <f aca="false">IF(A160="","",SUMIFS(Trabalhos!$G$2:$G$1001,Trabalhos!$C$2:$C$1001,A160))</f>
        <v/>
      </c>
      <c r="H160" s="24"/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8" t="str">
        <f aca="false">IF(A161="","",COUNTIF(Trabalhos!$C$2:$C$1001,A161))</f>
        <v/>
      </c>
      <c r="G161" s="26" t="str">
        <f aca="false">IF(A161="","",SUMIFS(Trabalhos!$G$2:$G$1001,Trabalhos!$C$2:$C$1001,A161))</f>
        <v/>
      </c>
      <c r="H161" s="24"/>
    </row>
    <row r="162" customFormat="false" ht="15" hidden="false" customHeight="false" outlineLevel="0" collapsed="false">
      <c r="A162" s="24"/>
      <c r="B162" s="24"/>
      <c r="C162" s="24"/>
      <c r="D162" s="24"/>
      <c r="E162" s="24"/>
      <c r="F162" s="28" t="str">
        <f aca="false">IF(A162="","",COUNTIF(Trabalhos!$C$2:$C$1001,A162))</f>
        <v/>
      </c>
      <c r="G162" s="26" t="str">
        <f aca="false">IF(A162="","",SUMIFS(Trabalhos!$G$2:$G$1001,Trabalhos!$C$2:$C$1001,A162))</f>
        <v/>
      </c>
      <c r="H162" s="24"/>
    </row>
    <row r="163" customFormat="false" ht="15" hidden="false" customHeight="false" outlineLevel="0" collapsed="false">
      <c r="A163" s="24"/>
      <c r="B163" s="24"/>
      <c r="C163" s="24"/>
      <c r="D163" s="24"/>
      <c r="E163" s="24"/>
      <c r="F163" s="28" t="str">
        <f aca="false">IF(A163="","",COUNTIF(Trabalhos!$C$2:$C$1001,A163))</f>
        <v/>
      </c>
      <c r="G163" s="26" t="str">
        <f aca="false">IF(A163="","",SUMIFS(Trabalhos!$G$2:$G$1001,Trabalhos!$C$2:$C$1001,A163))</f>
        <v/>
      </c>
      <c r="H163" s="24"/>
    </row>
    <row r="164" customFormat="false" ht="15" hidden="false" customHeight="false" outlineLevel="0" collapsed="false">
      <c r="A164" s="24"/>
      <c r="B164" s="24"/>
      <c r="C164" s="24"/>
      <c r="D164" s="24"/>
      <c r="E164" s="24"/>
      <c r="F164" s="28" t="str">
        <f aca="false">IF(A164="","",COUNTIF(Trabalhos!$C$2:$C$1001,A164))</f>
        <v/>
      </c>
      <c r="G164" s="26" t="str">
        <f aca="false">IF(A164="","",SUMIFS(Trabalhos!$G$2:$G$1001,Trabalhos!$C$2:$C$1001,A164))</f>
        <v/>
      </c>
      <c r="H164" s="24"/>
    </row>
    <row r="165" customFormat="false" ht="15" hidden="false" customHeight="false" outlineLevel="0" collapsed="false">
      <c r="A165" s="24"/>
      <c r="B165" s="24"/>
      <c r="C165" s="24"/>
      <c r="D165" s="24"/>
      <c r="E165" s="24"/>
      <c r="F165" s="28" t="str">
        <f aca="false">IF(A165="","",COUNTIF(Trabalhos!$C$2:$C$1001,A165))</f>
        <v/>
      </c>
      <c r="G165" s="26" t="str">
        <f aca="false">IF(A165="","",SUMIFS(Trabalhos!$G$2:$G$1001,Trabalhos!$C$2:$C$1001,A165))</f>
        <v/>
      </c>
      <c r="H165" s="24"/>
    </row>
    <row r="166" customFormat="false" ht="15" hidden="false" customHeight="false" outlineLevel="0" collapsed="false">
      <c r="A166" s="24"/>
      <c r="B166" s="24"/>
      <c r="C166" s="24"/>
      <c r="D166" s="24"/>
      <c r="E166" s="24"/>
      <c r="F166" s="28" t="str">
        <f aca="false">IF(A166="","",COUNTIF(Trabalhos!$C$2:$C$1001,A166))</f>
        <v/>
      </c>
      <c r="G166" s="26" t="str">
        <f aca="false">IF(A166="","",SUMIFS(Trabalhos!$G$2:$G$1001,Trabalhos!$C$2:$C$1001,A166))</f>
        <v/>
      </c>
      <c r="H166" s="24"/>
    </row>
    <row r="167" customFormat="false" ht="15" hidden="false" customHeight="false" outlineLevel="0" collapsed="false">
      <c r="A167" s="24"/>
      <c r="B167" s="24"/>
      <c r="C167" s="24"/>
      <c r="D167" s="24"/>
      <c r="E167" s="24"/>
      <c r="F167" s="28" t="str">
        <f aca="false">IF(A167="","",COUNTIF(Trabalhos!$C$2:$C$1001,A167))</f>
        <v/>
      </c>
      <c r="G167" s="26" t="str">
        <f aca="false">IF(A167="","",SUMIFS(Trabalhos!$G$2:$G$1001,Trabalhos!$C$2:$C$1001,A167))</f>
        <v/>
      </c>
      <c r="H167" s="24"/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8" t="str">
        <f aca="false">IF(A168="","",COUNTIF(Trabalhos!$C$2:$C$1001,A168))</f>
        <v/>
      </c>
      <c r="G168" s="26" t="str">
        <f aca="false">IF(A168="","",SUMIFS(Trabalhos!$G$2:$G$1001,Trabalhos!$C$2:$C$1001,A168))</f>
        <v/>
      </c>
      <c r="H168" s="24"/>
    </row>
    <row r="169" customFormat="false" ht="15" hidden="false" customHeight="false" outlineLevel="0" collapsed="false">
      <c r="A169" s="24"/>
      <c r="B169" s="24"/>
      <c r="C169" s="24"/>
      <c r="D169" s="24"/>
      <c r="E169" s="24"/>
      <c r="F169" s="28" t="str">
        <f aca="false">IF(A169="","",COUNTIF(Trabalhos!$C$2:$C$1001,A169))</f>
        <v/>
      </c>
      <c r="G169" s="26" t="str">
        <f aca="false">IF(A169="","",SUMIFS(Trabalhos!$G$2:$G$1001,Trabalhos!$C$2:$C$1001,A169))</f>
        <v/>
      </c>
      <c r="H169" s="24"/>
    </row>
    <row r="170" customFormat="false" ht="15" hidden="false" customHeight="false" outlineLevel="0" collapsed="false">
      <c r="A170" s="24"/>
      <c r="B170" s="24"/>
      <c r="C170" s="24"/>
      <c r="D170" s="24"/>
      <c r="E170" s="24"/>
      <c r="F170" s="28" t="str">
        <f aca="false">IF(A170="","",COUNTIF(Trabalhos!$C$2:$C$1001,A170))</f>
        <v/>
      </c>
      <c r="G170" s="26" t="str">
        <f aca="false">IF(A170="","",SUMIFS(Trabalhos!$G$2:$G$1001,Trabalhos!$C$2:$C$1001,A170))</f>
        <v/>
      </c>
      <c r="H170" s="24"/>
    </row>
    <row r="171" customFormat="false" ht="15" hidden="false" customHeight="false" outlineLevel="0" collapsed="false">
      <c r="A171" s="24"/>
      <c r="B171" s="24"/>
      <c r="C171" s="24"/>
      <c r="D171" s="24"/>
      <c r="E171" s="24"/>
      <c r="F171" s="28" t="str">
        <f aca="false">IF(A171="","",COUNTIF(Trabalhos!$C$2:$C$1001,A171))</f>
        <v/>
      </c>
      <c r="G171" s="26" t="str">
        <f aca="false">IF(A171="","",SUMIFS(Trabalhos!$G$2:$G$1001,Trabalhos!$C$2:$C$1001,A171))</f>
        <v/>
      </c>
      <c r="H171" s="24"/>
    </row>
    <row r="172" customFormat="false" ht="15" hidden="false" customHeight="false" outlineLevel="0" collapsed="false">
      <c r="A172" s="24"/>
      <c r="B172" s="24"/>
      <c r="C172" s="24"/>
      <c r="D172" s="24"/>
      <c r="E172" s="24"/>
      <c r="F172" s="28" t="str">
        <f aca="false">IF(A172="","",COUNTIF(Trabalhos!$C$2:$C$1001,A172))</f>
        <v/>
      </c>
      <c r="G172" s="26" t="str">
        <f aca="false">IF(A172="","",SUMIFS(Trabalhos!$G$2:$G$1001,Trabalhos!$C$2:$C$1001,A172))</f>
        <v/>
      </c>
      <c r="H172" s="24"/>
    </row>
    <row r="173" customFormat="false" ht="15" hidden="false" customHeight="false" outlineLevel="0" collapsed="false">
      <c r="A173" s="24"/>
      <c r="B173" s="24"/>
      <c r="C173" s="24"/>
      <c r="D173" s="24"/>
      <c r="E173" s="24"/>
      <c r="F173" s="28" t="str">
        <f aca="false">IF(A173="","",COUNTIF(Trabalhos!$C$2:$C$1001,A173))</f>
        <v/>
      </c>
      <c r="G173" s="26" t="str">
        <f aca="false">IF(A173="","",SUMIFS(Trabalhos!$G$2:$G$1001,Trabalhos!$C$2:$C$1001,A173))</f>
        <v/>
      </c>
      <c r="H173" s="24"/>
    </row>
    <row r="174" customFormat="false" ht="15" hidden="false" customHeight="false" outlineLevel="0" collapsed="false">
      <c r="A174" s="24"/>
      <c r="B174" s="24"/>
      <c r="C174" s="24"/>
      <c r="D174" s="24"/>
      <c r="E174" s="24"/>
      <c r="F174" s="28" t="str">
        <f aca="false">IF(A174="","",COUNTIF(Trabalhos!$C$2:$C$1001,A174))</f>
        <v/>
      </c>
      <c r="G174" s="26" t="str">
        <f aca="false">IF(A174="","",SUMIFS(Trabalhos!$G$2:$G$1001,Trabalhos!$C$2:$C$1001,A174))</f>
        <v/>
      </c>
      <c r="H174" s="24"/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8" t="str">
        <f aca="false">IF(A175="","",COUNTIF(Trabalhos!$C$2:$C$1001,A175))</f>
        <v/>
      </c>
      <c r="G175" s="26" t="str">
        <f aca="false">IF(A175="","",SUMIFS(Trabalhos!$G$2:$G$1001,Trabalhos!$C$2:$C$1001,A175))</f>
        <v/>
      </c>
      <c r="H175" s="24"/>
    </row>
    <row r="176" customFormat="false" ht="15" hidden="false" customHeight="false" outlineLevel="0" collapsed="false">
      <c r="A176" s="24"/>
      <c r="B176" s="24"/>
      <c r="C176" s="24"/>
      <c r="D176" s="24"/>
      <c r="E176" s="24"/>
      <c r="F176" s="28" t="str">
        <f aca="false">IF(A176="","",COUNTIF(Trabalhos!$C$2:$C$1001,A176))</f>
        <v/>
      </c>
      <c r="G176" s="26" t="str">
        <f aca="false">IF(A176="","",SUMIFS(Trabalhos!$G$2:$G$1001,Trabalhos!$C$2:$C$1001,A176))</f>
        <v/>
      </c>
      <c r="H176" s="24"/>
    </row>
    <row r="177" customFormat="false" ht="15" hidden="false" customHeight="false" outlineLevel="0" collapsed="false">
      <c r="A177" s="24"/>
      <c r="B177" s="24"/>
      <c r="C177" s="24"/>
      <c r="D177" s="24"/>
      <c r="E177" s="24"/>
      <c r="F177" s="28" t="str">
        <f aca="false">IF(A177="","",COUNTIF(Trabalhos!$C$2:$C$1001,A177))</f>
        <v/>
      </c>
      <c r="G177" s="26" t="str">
        <f aca="false">IF(A177="","",SUMIFS(Trabalhos!$G$2:$G$1001,Trabalhos!$C$2:$C$1001,A177))</f>
        <v/>
      </c>
      <c r="H177" s="24"/>
    </row>
    <row r="178" customFormat="false" ht="15" hidden="false" customHeight="false" outlineLevel="0" collapsed="false">
      <c r="A178" s="24"/>
      <c r="B178" s="24"/>
      <c r="C178" s="24"/>
      <c r="D178" s="24"/>
      <c r="E178" s="24"/>
      <c r="F178" s="28" t="str">
        <f aca="false">IF(A178="","",COUNTIF(Trabalhos!$C$2:$C$1001,A178))</f>
        <v/>
      </c>
      <c r="G178" s="26" t="str">
        <f aca="false">IF(A178="","",SUMIFS(Trabalhos!$G$2:$G$1001,Trabalhos!$C$2:$C$1001,A178))</f>
        <v/>
      </c>
      <c r="H178" s="24"/>
    </row>
    <row r="179" customFormat="false" ht="15" hidden="false" customHeight="false" outlineLevel="0" collapsed="false">
      <c r="A179" s="24"/>
      <c r="B179" s="24"/>
      <c r="C179" s="24"/>
      <c r="D179" s="24"/>
      <c r="E179" s="24"/>
      <c r="F179" s="28" t="str">
        <f aca="false">IF(A179="","",COUNTIF(Trabalhos!$C$2:$C$1001,A179))</f>
        <v/>
      </c>
      <c r="G179" s="26" t="str">
        <f aca="false">IF(A179="","",SUMIFS(Trabalhos!$G$2:$G$1001,Trabalhos!$C$2:$C$1001,A179))</f>
        <v/>
      </c>
      <c r="H179" s="24"/>
    </row>
    <row r="180" customFormat="false" ht="15" hidden="false" customHeight="false" outlineLevel="0" collapsed="false">
      <c r="A180" s="24"/>
      <c r="B180" s="24"/>
      <c r="C180" s="24"/>
      <c r="D180" s="24"/>
      <c r="E180" s="24"/>
      <c r="F180" s="28" t="str">
        <f aca="false">IF(A180="","",COUNTIF(Trabalhos!$C$2:$C$1001,A180))</f>
        <v/>
      </c>
      <c r="G180" s="26" t="str">
        <f aca="false">IF(A180="","",SUMIFS(Trabalhos!$G$2:$G$1001,Trabalhos!$C$2:$C$1001,A180))</f>
        <v/>
      </c>
      <c r="H180" s="24"/>
    </row>
    <row r="181" customFormat="false" ht="15" hidden="false" customHeight="false" outlineLevel="0" collapsed="false">
      <c r="A181" s="24"/>
      <c r="B181" s="24"/>
      <c r="C181" s="24"/>
      <c r="D181" s="24"/>
      <c r="E181" s="24"/>
      <c r="F181" s="28" t="str">
        <f aca="false">IF(A181="","",COUNTIF(Trabalhos!$C$2:$C$1001,A181))</f>
        <v/>
      </c>
      <c r="G181" s="26" t="str">
        <f aca="false">IF(A181="","",SUMIFS(Trabalhos!$G$2:$G$1001,Trabalhos!$C$2:$C$1001,A181))</f>
        <v/>
      </c>
      <c r="H181" s="24"/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8" t="str">
        <f aca="false">IF(A182="","",COUNTIF(Trabalhos!$C$2:$C$1001,A182))</f>
        <v/>
      </c>
      <c r="G182" s="26" t="str">
        <f aca="false">IF(A182="","",SUMIFS(Trabalhos!$G$2:$G$1001,Trabalhos!$C$2:$C$1001,A182))</f>
        <v/>
      </c>
      <c r="H182" s="24"/>
    </row>
    <row r="183" customFormat="false" ht="15" hidden="false" customHeight="false" outlineLevel="0" collapsed="false">
      <c r="A183" s="24"/>
      <c r="B183" s="24"/>
      <c r="C183" s="24"/>
      <c r="D183" s="24"/>
      <c r="E183" s="24"/>
      <c r="F183" s="28" t="str">
        <f aca="false">IF(A183="","",COUNTIF(Trabalhos!$C$2:$C$1001,A183))</f>
        <v/>
      </c>
      <c r="G183" s="26" t="str">
        <f aca="false">IF(A183="","",SUMIFS(Trabalhos!$G$2:$G$1001,Trabalhos!$C$2:$C$1001,A183))</f>
        <v/>
      </c>
      <c r="H183" s="24"/>
    </row>
    <row r="184" customFormat="false" ht="15" hidden="false" customHeight="false" outlineLevel="0" collapsed="false">
      <c r="A184" s="24"/>
      <c r="B184" s="24"/>
      <c r="C184" s="24"/>
      <c r="D184" s="24"/>
      <c r="E184" s="24"/>
      <c r="F184" s="28" t="str">
        <f aca="false">IF(A184="","",COUNTIF(Trabalhos!$C$2:$C$1001,A184))</f>
        <v/>
      </c>
      <c r="G184" s="26" t="str">
        <f aca="false">IF(A184="","",SUMIFS(Trabalhos!$G$2:$G$1001,Trabalhos!$C$2:$C$1001,A184))</f>
        <v/>
      </c>
      <c r="H184" s="24"/>
    </row>
    <row r="185" customFormat="false" ht="15" hidden="false" customHeight="false" outlineLevel="0" collapsed="false">
      <c r="A185" s="24"/>
      <c r="B185" s="24"/>
      <c r="C185" s="24"/>
      <c r="D185" s="24"/>
      <c r="E185" s="24"/>
      <c r="F185" s="28" t="str">
        <f aca="false">IF(A185="","",COUNTIF(Trabalhos!$C$2:$C$1001,A185))</f>
        <v/>
      </c>
      <c r="G185" s="26" t="str">
        <f aca="false">IF(A185="","",SUMIFS(Trabalhos!$G$2:$G$1001,Trabalhos!$C$2:$C$1001,A185))</f>
        <v/>
      </c>
      <c r="H185" s="24"/>
    </row>
    <row r="186" customFormat="false" ht="15" hidden="false" customHeight="false" outlineLevel="0" collapsed="false">
      <c r="A186" s="24"/>
      <c r="B186" s="24"/>
      <c r="C186" s="24"/>
      <c r="D186" s="24"/>
      <c r="E186" s="24"/>
      <c r="F186" s="28" t="str">
        <f aca="false">IF(A186="","",COUNTIF(Trabalhos!$C$2:$C$1001,A186))</f>
        <v/>
      </c>
      <c r="G186" s="26" t="str">
        <f aca="false">IF(A186="","",SUMIFS(Trabalhos!$G$2:$G$1001,Trabalhos!$C$2:$C$1001,A186))</f>
        <v/>
      </c>
      <c r="H186" s="24"/>
    </row>
    <row r="187" customFormat="false" ht="15" hidden="false" customHeight="false" outlineLevel="0" collapsed="false">
      <c r="A187" s="24"/>
      <c r="B187" s="24"/>
      <c r="C187" s="24"/>
      <c r="D187" s="24"/>
      <c r="E187" s="24"/>
      <c r="F187" s="28" t="str">
        <f aca="false">IF(A187="","",COUNTIF(Trabalhos!$C$2:$C$1001,A187))</f>
        <v/>
      </c>
      <c r="G187" s="26" t="str">
        <f aca="false">IF(A187="","",SUMIFS(Trabalhos!$G$2:$G$1001,Trabalhos!$C$2:$C$1001,A187))</f>
        <v/>
      </c>
      <c r="H187" s="24"/>
    </row>
    <row r="188" customFormat="false" ht="15" hidden="false" customHeight="false" outlineLevel="0" collapsed="false">
      <c r="A188" s="24"/>
      <c r="B188" s="24"/>
      <c r="C188" s="24"/>
      <c r="D188" s="24"/>
      <c r="E188" s="24"/>
      <c r="F188" s="28" t="str">
        <f aca="false">IF(A188="","",COUNTIF(Trabalhos!$C$2:$C$1001,A188))</f>
        <v/>
      </c>
      <c r="G188" s="26" t="str">
        <f aca="false">IF(A188="","",SUMIFS(Trabalhos!$G$2:$G$1001,Trabalhos!$C$2:$C$1001,A188))</f>
        <v/>
      </c>
      <c r="H188" s="24"/>
    </row>
    <row r="189" customFormat="false" ht="15" hidden="false" customHeight="false" outlineLevel="0" collapsed="false">
      <c r="A189" s="24"/>
      <c r="B189" s="24"/>
      <c r="C189" s="24"/>
      <c r="D189" s="24"/>
      <c r="E189" s="24"/>
      <c r="F189" s="28" t="str">
        <f aca="false">IF(A189="","",COUNTIF(Trabalhos!$C$2:$C$1001,A189))</f>
        <v/>
      </c>
      <c r="G189" s="26" t="str">
        <f aca="false">IF(A189="","",SUMIFS(Trabalhos!$G$2:$G$1001,Trabalhos!$C$2:$C$1001,A189))</f>
        <v/>
      </c>
      <c r="H189" s="24"/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8" t="str">
        <f aca="false">IF(A190="","",COUNTIF(Trabalhos!$C$2:$C$1001,A190))</f>
        <v/>
      </c>
      <c r="G190" s="26" t="str">
        <f aca="false">IF(A190="","",SUMIFS(Trabalhos!$G$2:$G$1001,Trabalhos!$C$2:$C$1001,A190))</f>
        <v/>
      </c>
      <c r="H190" s="24"/>
    </row>
    <row r="191" customFormat="false" ht="15" hidden="false" customHeight="false" outlineLevel="0" collapsed="false">
      <c r="A191" s="24"/>
      <c r="B191" s="24"/>
      <c r="C191" s="24"/>
      <c r="D191" s="24"/>
      <c r="E191" s="24"/>
      <c r="F191" s="28" t="str">
        <f aca="false">IF(A191="","",COUNTIF(Trabalhos!$C$2:$C$1001,A191))</f>
        <v/>
      </c>
      <c r="G191" s="26" t="str">
        <f aca="false">IF(A191="","",SUMIFS(Trabalhos!$G$2:$G$1001,Trabalhos!$C$2:$C$1001,A191))</f>
        <v/>
      </c>
      <c r="H191" s="24"/>
    </row>
    <row r="192" customFormat="false" ht="15" hidden="false" customHeight="false" outlineLevel="0" collapsed="false">
      <c r="A192" s="24"/>
      <c r="B192" s="24"/>
      <c r="C192" s="24"/>
      <c r="D192" s="24"/>
      <c r="E192" s="24"/>
      <c r="F192" s="28" t="str">
        <f aca="false">IF(A192="","",COUNTIF(Trabalhos!$C$2:$C$1001,A192))</f>
        <v/>
      </c>
      <c r="G192" s="26" t="str">
        <f aca="false">IF(A192="","",SUMIFS(Trabalhos!$G$2:$G$1001,Trabalhos!$C$2:$C$1001,A192))</f>
        <v/>
      </c>
      <c r="H192" s="24"/>
    </row>
    <row r="193" customFormat="false" ht="15" hidden="false" customHeight="false" outlineLevel="0" collapsed="false">
      <c r="A193" s="24"/>
      <c r="B193" s="24"/>
      <c r="C193" s="24"/>
      <c r="D193" s="24"/>
      <c r="E193" s="24"/>
      <c r="F193" s="28" t="str">
        <f aca="false">IF(A193="","",COUNTIF(Trabalhos!$C$2:$C$1001,A193))</f>
        <v/>
      </c>
      <c r="G193" s="26" t="str">
        <f aca="false">IF(A193="","",SUMIFS(Trabalhos!$G$2:$G$1001,Trabalhos!$C$2:$C$1001,A193))</f>
        <v/>
      </c>
      <c r="H193" s="24"/>
    </row>
    <row r="194" customFormat="false" ht="15" hidden="false" customHeight="false" outlineLevel="0" collapsed="false">
      <c r="A194" s="24"/>
      <c r="B194" s="24"/>
      <c r="C194" s="24"/>
      <c r="D194" s="24"/>
      <c r="E194" s="24"/>
      <c r="F194" s="28" t="str">
        <f aca="false">IF(A194="","",COUNTIF(Trabalhos!$C$2:$C$1001,A194))</f>
        <v/>
      </c>
      <c r="G194" s="26" t="str">
        <f aca="false">IF(A194="","",SUMIFS(Trabalhos!$G$2:$G$1001,Trabalhos!$C$2:$C$1001,A194))</f>
        <v/>
      </c>
      <c r="H194" s="24"/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8" t="str">
        <f aca="false">IF(A195="","",COUNTIF(Trabalhos!$C$2:$C$1001,A195))</f>
        <v/>
      </c>
      <c r="G195" s="26" t="str">
        <f aca="false">IF(A195="","",SUMIFS(Trabalhos!$G$2:$G$1001,Trabalhos!$C$2:$C$1001,A195))</f>
        <v/>
      </c>
      <c r="H195" s="24"/>
    </row>
    <row r="196" customFormat="false" ht="15" hidden="false" customHeight="false" outlineLevel="0" collapsed="false">
      <c r="A196" s="24"/>
      <c r="B196" s="24"/>
      <c r="C196" s="24"/>
      <c r="D196" s="24"/>
      <c r="E196" s="24"/>
      <c r="F196" s="28" t="str">
        <f aca="false">IF(A196="","",COUNTIF(Trabalhos!$C$2:$C$1001,A196))</f>
        <v/>
      </c>
      <c r="G196" s="26" t="str">
        <f aca="false">IF(A196="","",SUMIFS(Trabalhos!$G$2:$G$1001,Trabalhos!$C$2:$C$1001,A196))</f>
        <v/>
      </c>
      <c r="H196" s="24"/>
    </row>
    <row r="197" customFormat="false" ht="15" hidden="false" customHeight="false" outlineLevel="0" collapsed="false">
      <c r="A197" s="24"/>
      <c r="B197" s="24"/>
      <c r="C197" s="24"/>
      <c r="D197" s="24"/>
      <c r="E197" s="24"/>
      <c r="F197" s="28" t="str">
        <f aca="false">IF(A197="","",COUNTIF(Trabalhos!$C$2:$C$1001,A197))</f>
        <v/>
      </c>
      <c r="G197" s="26" t="str">
        <f aca="false">IF(A197="","",SUMIFS(Trabalhos!$G$2:$G$1001,Trabalhos!$C$2:$C$1001,A197))</f>
        <v/>
      </c>
      <c r="H197" s="24"/>
    </row>
    <row r="198" customFormat="false" ht="15" hidden="false" customHeight="false" outlineLevel="0" collapsed="false">
      <c r="A198" s="24"/>
      <c r="B198" s="24"/>
      <c r="C198" s="24"/>
      <c r="D198" s="24"/>
      <c r="E198" s="24"/>
      <c r="F198" s="28" t="str">
        <f aca="false">IF(A198="","",COUNTIF(Trabalhos!$C$2:$C$1001,A198))</f>
        <v/>
      </c>
      <c r="G198" s="26" t="str">
        <f aca="false">IF(A198="","",SUMIFS(Trabalhos!$G$2:$G$1001,Trabalhos!$C$2:$C$1001,A198))</f>
        <v/>
      </c>
      <c r="H198" s="24"/>
    </row>
    <row r="199" customFormat="false" ht="15" hidden="false" customHeight="false" outlineLevel="0" collapsed="false">
      <c r="A199" s="24"/>
      <c r="B199" s="24"/>
      <c r="C199" s="24"/>
      <c r="D199" s="24"/>
      <c r="E199" s="24"/>
      <c r="F199" s="28" t="str">
        <f aca="false">IF(A199="","",COUNTIF(Trabalhos!$C$2:$C$1001,A199))</f>
        <v/>
      </c>
      <c r="G199" s="26" t="str">
        <f aca="false">IF(A199="","",SUMIFS(Trabalhos!$G$2:$G$1001,Trabalhos!$C$2:$C$1001,A199))</f>
        <v/>
      </c>
      <c r="H199" s="24"/>
    </row>
    <row r="200" customFormat="false" ht="15" hidden="false" customHeight="false" outlineLevel="0" collapsed="false">
      <c r="A200" s="24"/>
      <c r="B200" s="24"/>
      <c r="C200" s="24"/>
      <c r="D200" s="24"/>
      <c r="E200" s="24"/>
      <c r="F200" s="28" t="str">
        <f aca="false">IF(A200="","",COUNTIF(Trabalhos!$C$2:$C$1001,A200))</f>
        <v/>
      </c>
      <c r="G200" s="26" t="str">
        <f aca="false">IF(A200="","",SUMIFS(Trabalhos!$G$2:$G$1001,Trabalhos!$C$2:$C$1001,A200))</f>
        <v/>
      </c>
      <c r="H200" s="24"/>
    </row>
    <row r="201" customFormat="false" ht="15" hidden="false" customHeight="false" outlineLevel="0" collapsed="false">
      <c r="A201" s="24"/>
      <c r="B201" s="24"/>
      <c r="C201" s="24"/>
      <c r="D201" s="24"/>
      <c r="E201" s="24"/>
      <c r="F201" s="28" t="str">
        <f aca="false">IF(A201="","",COUNTIF(Trabalhos!$C$2:$C$1001,A201))</f>
        <v/>
      </c>
      <c r="G201" s="26" t="str">
        <f aca="false">IF(A201="","",SUMIFS(Trabalhos!$G$2:$G$1001,Trabalhos!$C$2:$C$1001,A201))</f>
        <v/>
      </c>
      <c r="H201" s="24"/>
    </row>
    <row r="202" customFormat="false" ht="15" hidden="false" customHeight="false" outlineLevel="0" collapsed="false">
      <c r="A202" s="24"/>
      <c r="B202" s="24"/>
      <c r="C202" s="24"/>
      <c r="D202" s="24"/>
      <c r="E202" s="24"/>
      <c r="F202" s="28" t="str">
        <f aca="false">IF(A202="","",COUNTIF(Trabalhos!$C$2:$C$1001,A202))</f>
        <v/>
      </c>
      <c r="G202" s="26" t="str">
        <f aca="false">IF(A202="","",SUMIFS(Trabalhos!$G$2:$G$1001,Trabalhos!$C$2:$C$1001,A202))</f>
        <v/>
      </c>
      <c r="H202" s="24"/>
    </row>
    <row r="203" customFormat="false" ht="15" hidden="false" customHeight="false" outlineLevel="0" collapsed="false">
      <c r="A203" s="24"/>
      <c r="B203" s="24"/>
      <c r="C203" s="24"/>
      <c r="D203" s="24"/>
      <c r="E203" s="24"/>
      <c r="F203" s="28" t="str">
        <f aca="false">IF(A203="","",COUNTIF(Trabalhos!$C$2:$C$1001,A203))</f>
        <v/>
      </c>
      <c r="G203" s="26" t="str">
        <f aca="false">IF(A203="","",SUMIFS(Trabalhos!$G$2:$G$1001,Trabalhos!$C$2:$C$1001,A203))</f>
        <v/>
      </c>
      <c r="H203" s="24"/>
    </row>
    <row r="204" customFormat="false" ht="15" hidden="false" customHeight="false" outlineLevel="0" collapsed="false">
      <c r="A204" s="24"/>
      <c r="B204" s="24"/>
      <c r="C204" s="24"/>
      <c r="D204" s="24"/>
      <c r="E204" s="24"/>
      <c r="F204" s="28" t="str">
        <f aca="false">IF(A204="","",COUNTIF(Trabalhos!$C$2:$C$1001,A204))</f>
        <v/>
      </c>
      <c r="G204" s="26" t="str">
        <f aca="false">IF(A204="","",SUMIFS(Trabalhos!$G$2:$G$1001,Trabalhos!$C$2:$C$1001,A204))</f>
        <v/>
      </c>
      <c r="H204" s="24"/>
    </row>
    <row r="205" customFormat="false" ht="15" hidden="false" customHeight="false" outlineLevel="0" collapsed="false">
      <c r="A205" s="24"/>
      <c r="B205" s="24"/>
      <c r="C205" s="24"/>
      <c r="D205" s="24"/>
      <c r="E205" s="24"/>
      <c r="F205" s="28" t="str">
        <f aca="false">IF(A205="","",COUNTIF(Trabalhos!$C$2:$C$1001,A205))</f>
        <v/>
      </c>
      <c r="G205" s="26" t="str">
        <f aca="false">IF(A205="","",SUMIFS(Trabalhos!$G$2:$G$1001,Trabalhos!$C$2:$C$1001,A205))</f>
        <v/>
      </c>
      <c r="H205" s="24"/>
    </row>
    <row r="206" customFormat="false" ht="15" hidden="false" customHeight="false" outlineLevel="0" collapsed="false">
      <c r="A206" s="24"/>
      <c r="B206" s="24"/>
      <c r="C206" s="24"/>
      <c r="D206" s="24"/>
      <c r="E206" s="24"/>
      <c r="F206" s="28" t="str">
        <f aca="false">IF(A206="","",COUNTIF(Trabalhos!$C$2:$C$1001,A206))</f>
        <v/>
      </c>
      <c r="G206" s="26" t="str">
        <f aca="false">IF(A206="","",SUMIFS(Trabalhos!$G$2:$G$1001,Trabalhos!$C$2:$C$1001,A206))</f>
        <v/>
      </c>
      <c r="H206" s="24"/>
    </row>
    <row r="207" customFormat="false" ht="15" hidden="false" customHeight="false" outlineLevel="0" collapsed="false">
      <c r="A207" s="24"/>
      <c r="B207" s="24"/>
      <c r="C207" s="24"/>
      <c r="D207" s="24"/>
      <c r="E207" s="24"/>
      <c r="F207" s="28" t="str">
        <f aca="false">IF(A207="","",COUNTIF(Trabalhos!$C$2:$C$1001,A207))</f>
        <v/>
      </c>
      <c r="G207" s="26" t="str">
        <f aca="false">IF(A207="","",SUMIFS(Trabalhos!$G$2:$G$1001,Trabalhos!$C$2:$C$1001,A207))</f>
        <v/>
      </c>
      <c r="H207" s="24"/>
    </row>
    <row r="208" customFormat="false" ht="15" hidden="false" customHeight="false" outlineLevel="0" collapsed="false">
      <c r="A208" s="24"/>
      <c r="B208" s="24"/>
      <c r="C208" s="24"/>
      <c r="D208" s="24"/>
      <c r="E208" s="24"/>
      <c r="F208" s="28" t="str">
        <f aca="false">IF(A208="","",COUNTIF(Trabalhos!$C$2:$C$1001,A208))</f>
        <v/>
      </c>
      <c r="G208" s="26" t="str">
        <f aca="false">IF(A208="","",SUMIFS(Trabalhos!$G$2:$G$1001,Trabalhos!$C$2:$C$1001,A208))</f>
        <v/>
      </c>
      <c r="H208" s="24"/>
    </row>
    <row r="209" customFormat="false" ht="15" hidden="false" customHeight="false" outlineLevel="0" collapsed="false">
      <c r="A209" s="24"/>
      <c r="B209" s="24"/>
      <c r="C209" s="24"/>
      <c r="D209" s="24"/>
      <c r="E209" s="24"/>
      <c r="F209" s="28" t="str">
        <f aca="false">IF(A209="","",COUNTIF(Trabalhos!$C$2:$C$1001,A209))</f>
        <v/>
      </c>
      <c r="G209" s="26" t="str">
        <f aca="false">IF(A209="","",SUMIFS(Trabalhos!$G$2:$G$1001,Trabalhos!$C$2:$C$1001,A209))</f>
        <v/>
      </c>
      <c r="H209" s="24"/>
    </row>
    <row r="210" customFormat="false" ht="15" hidden="false" customHeight="false" outlineLevel="0" collapsed="false">
      <c r="A210" s="24"/>
      <c r="B210" s="24"/>
      <c r="C210" s="24"/>
      <c r="D210" s="24"/>
      <c r="E210" s="24"/>
      <c r="F210" s="28" t="str">
        <f aca="false">IF(A210="","",COUNTIF(Trabalhos!$C$2:$C$1001,A210))</f>
        <v/>
      </c>
      <c r="G210" s="26" t="str">
        <f aca="false">IF(A210="","",SUMIFS(Trabalhos!$G$2:$G$1001,Trabalhos!$C$2:$C$1001,A210))</f>
        <v/>
      </c>
      <c r="H210" s="24"/>
    </row>
    <row r="211" customFormat="false" ht="15" hidden="false" customHeight="false" outlineLevel="0" collapsed="false">
      <c r="A211" s="24"/>
      <c r="B211" s="24"/>
      <c r="C211" s="24"/>
      <c r="D211" s="24"/>
      <c r="E211" s="24"/>
      <c r="F211" s="28" t="str">
        <f aca="false">IF(A211="","",COUNTIF(Trabalhos!$C$2:$C$1001,A211))</f>
        <v/>
      </c>
      <c r="G211" s="26" t="str">
        <f aca="false">IF(A211="","",SUMIFS(Trabalhos!$G$2:$G$1001,Trabalhos!$C$2:$C$1001,A211))</f>
        <v/>
      </c>
      <c r="H211" s="24"/>
    </row>
    <row r="212" customFormat="false" ht="15" hidden="false" customHeight="false" outlineLevel="0" collapsed="false">
      <c r="A212" s="24"/>
      <c r="B212" s="24"/>
      <c r="C212" s="24"/>
      <c r="D212" s="24"/>
      <c r="E212" s="24"/>
      <c r="F212" s="28" t="str">
        <f aca="false">IF(A212="","",COUNTIF(Trabalhos!$C$2:$C$1001,A212))</f>
        <v/>
      </c>
      <c r="G212" s="26" t="str">
        <f aca="false">IF(A212="","",SUMIFS(Trabalhos!$G$2:$G$1001,Trabalhos!$C$2:$C$1001,A212))</f>
        <v/>
      </c>
      <c r="H212" s="24"/>
    </row>
    <row r="213" customFormat="false" ht="15" hidden="false" customHeight="false" outlineLevel="0" collapsed="false">
      <c r="A213" s="24"/>
      <c r="B213" s="24"/>
      <c r="C213" s="24"/>
      <c r="D213" s="24"/>
      <c r="E213" s="24"/>
      <c r="F213" s="28" t="str">
        <f aca="false">IF(A213="","",COUNTIF(Trabalhos!$C$2:$C$1001,A213))</f>
        <v/>
      </c>
      <c r="G213" s="26" t="str">
        <f aca="false">IF(A213="","",SUMIFS(Trabalhos!$G$2:$G$1001,Trabalhos!$C$2:$C$1001,A213))</f>
        <v/>
      </c>
      <c r="H213" s="24"/>
    </row>
    <row r="214" customFormat="false" ht="15" hidden="false" customHeight="false" outlineLevel="0" collapsed="false">
      <c r="A214" s="24"/>
      <c r="B214" s="24"/>
      <c r="C214" s="24"/>
      <c r="D214" s="24"/>
      <c r="E214" s="24"/>
      <c r="F214" s="28" t="str">
        <f aca="false">IF(A214="","",COUNTIF(Trabalhos!$C$2:$C$1001,A214))</f>
        <v/>
      </c>
      <c r="G214" s="26" t="str">
        <f aca="false">IF(A214="","",SUMIFS(Trabalhos!$G$2:$G$1001,Trabalhos!$C$2:$C$1001,A214))</f>
        <v/>
      </c>
      <c r="H214" s="24"/>
    </row>
    <row r="215" customFormat="false" ht="15" hidden="false" customHeight="false" outlineLevel="0" collapsed="false">
      <c r="A215" s="24"/>
      <c r="B215" s="24"/>
      <c r="C215" s="24"/>
      <c r="D215" s="24"/>
      <c r="E215" s="24"/>
      <c r="F215" s="28" t="str">
        <f aca="false">IF(A215="","",COUNTIF(Trabalhos!$C$2:$C$1001,A215))</f>
        <v/>
      </c>
      <c r="G215" s="26" t="str">
        <f aca="false">IF(A215="","",SUMIFS(Trabalhos!$G$2:$G$1001,Trabalhos!$C$2:$C$1001,A215))</f>
        <v/>
      </c>
      <c r="H215" s="24"/>
    </row>
    <row r="216" customFormat="false" ht="15" hidden="false" customHeight="false" outlineLevel="0" collapsed="false">
      <c r="A216" s="24"/>
      <c r="B216" s="24"/>
      <c r="C216" s="24"/>
      <c r="D216" s="24"/>
      <c r="E216" s="24"/>
      <c r="F216" s="28" t="str">
        <f aca="false">IF(A216="","",COUNTIF(Trabalhos!$C$2:$C$1001,A216))</f>
        <v/>
      </c>
      <c r="G216" s="26" t="str">
        <f aca="false">IF(A216="","",SUMIFS(Trabalhos!$G$2:$G$1001,Trabalhos!$C$2:$C$1001,A216))</f>
        <v/>
      </c>
      <c r="H216" s="24"/>
    </row>
    <row r="217" customFormat="false" ht="15" hidden="false" customHeight="false" outlineLevel="0" collapsed="false">
      <c r="A217" s="24"/>
      <c r="B217" s="24"/>
      <c r="C217" s="24"/>
      <c r="D217" s="24"/>
      <c r="E217" s="24"/>
      <c r="F217" s="28" t="str">
        <f aca="false">IF(A217="","",COUNTIF(Trabalhos!$C$2:$C$1001,A217))</f>
        <v/>
      </c>
      <c r="G217" s="26" t="str">
        <f aca="false">IF(A217="","",SUMIFS(Trabalhos!$G$2:$G$1001,Trabalhos!$C$2:$C$1001,A217))</f>
        <v/>
      </c>
      <c r="H217" s="24"/>
    </row>
    <row r="218" customFormat="false" ht="15" hidden="false" customHeight="false" outlineLevel="0" collapsed="false">
      <c r="A218" s="24"/>
      <c r="B218" s="24"/>
      <c r="C218" s="24"/>
      <c r="D218" s="24"/>
      <c r="E218" s="24"/>
      <c r="F218" s="28" t="str">
        <f aca="false">IF(A218="","",COUNTIF(Trabalhos!$C$2:$C$1001,A218))</f>
        <v/>
      </c>
      <c r="G218" s="26" t="str">
        <f aca="false">IF(A218="","",SUMIFS(Trabalhos!$G$2:$G$1001,Trabalhos!$C$2:$C$1001,A218))</f>
        <v/>
      </c>
      <c r="H218" s="24"/>
    </row>
    <row r="219" customFormat="false" ht="15" hidden="false" customHeight="false" outlineLevel="0" collapsed="false">
      <c r="A219" s="24"/>
      <c r="B219" s="24"/>
      <c r="C219" s="24"/>
      <c r="D219" s="24"/>
      <c r="E219" s="24"/>
      <c r="F219" s="28" t="str">
        <f aca="false">IF(A219="","",COUNTIF(Trabalhos!$C$2:$C$1001,A219))</f>
        <v/>
      </c>
      <c r="G219" s="26" t="str">
        <f aca="false">IF(A219="","",SUMIFS(Trabalhos!$G$2:$G$1001,Trabalhos!$C$2:$C$1001,A219))</f>
        <v/>
      </c>
      <c r="H219" s="24"/>
    </row>
    <row r="220" customFormat="false" ht="15" hidden="false" customHeight="false" outlineLevel="0" collapsed="false">
      <c r="A220" s="24"/>
      <c r="B220" s="24"/>
      <c r="C220" s="24"/>
      <c r="D220" s="24"/>
      <c r="E220" s="24"/>
      <c r="F220" s="28" t="str">
        <f aca="false">IF(A220="","",COUNTIF(Trabalhos!$C$2:$C$1001,A220))</f>
        <v/>
      </c>
      <c r="G220" s="26" t="str">
        <f aca="false">IF(A220="","",SUMIFS(Trabalhos!$G$2:$G$1001,Trabalhos!$C$2:$C$1001,A220))</f>
        <v/>
      </c>
      <c r="H220" s="24"/>
    </row>
    <row r="221" customFormat="false" ht="15" hidden="false" customHeight="false" outlineLevel="0" collapsed="false">
      <c r="A221" s="24"/>
      <c r="B221" s="24"/>
      <c r="C221" s="24"/>
      <c r="D221" s="24"/>
      <c r="E221" s="24"/>
      <c r="F221" s="28" t="str">
        <f aca="false">IF(A221="","",COUNTIF(Trabalhos!$C$2:$C$1001,A221))</f>
        <v/>
      </c>
      <c r="G221" s="26" t="str">
        <f aca="false">IF(A221="","",SUMIFS(Trabalhos!$G$2:$G$1001,Trabalhos!$C$2:$C$1001,A221))</f>
        <v/>
      </c>
      <c r="H221" s="24"/>
    </row>
    <row r="222" customFormat="false" ht="15" hidden="false" customHeight="false" outlineLevel="0" collapsed="false">
      <c r="A222" s="24"/>
      <c r="B222" s="24"/>
      <c r="C222" s="24"/>
      <c r="D222" s="24"/>
      <c r="E222" s="24"/>
      <c r="F222" s="28" t="str">
        <f aca="false">IF(A222="","",COUNTIF(Trabalhos!$C$2:$C$1001,A222))</f>
        <v/>
      </c>
      <c r="G222" s="26" t="str">
        <f aca="false">IF(A222="","",SUMIFS(Trabalhos!$G$2:$G$1001,Trabalhos!$C$2:$C$1001,A222))</f>
        <v/>
      </c>
      <c r="H222" s="24"/>
    </row>
    <row r="223" customFormat="false" ht="15" hidden="false" customHeight="false" outlineLevel="0" collapsed="false">
      <c r="A223" s="24"/>
      <c r="B223" s="24"/>
      <c r="C223" s="24"/>
      <c r="D223" s="24"/>
      <c r="E223" s="24"/>
      <c r="F223" s="28" t="str">
        <f aca="false">IF(A223="","",COUNTIF(Trabalhos!$C$2:$C$1001,A223))</f>
        <v/>
      </c>
      <c r="G223" s="26" t="str">
        <f aca="false">IF(A223="","",SUMIFS(Trabalhos!$G$2:$G$1001,Trabalhos!$C$2:$C$1001,A223))</f>
        <v/>
      </c>
      <c r="H223" s="24"/>
    </row>
    <row r="224" customFormat="false" ht="15" hidden="false" customHeight="false" outlineLevel="0" collapsed="false">
      <c r="A224" s="24"/>
      <c r="B224" s="24"/>
      <c r="C224" s="24"/>
      <c r="D224" s="24"/>
      <c r="E224" s="24"/>
      <c r="F224" s="28" t="str">
        <f aca="false">IF(A224="","",COUNTIF(Trabalhos!$C$2:$C$1001,A224))</f>
        <v/>
      </c>
      <c r="G224" s="26" t="str">
        <f aca="false">IF(A224="","",SUMIFS(Trabalhos!$G$2:$G$1001,Trabalhos!$C$2:$C$1001,A224))</f>
        <v/>
      </c>
      <c r="H224" s="24"/>
    </row>
    <row r="225" customFormat="false" ht="15" hidden="false" customHeight="false" outlineLevel="0" collapsed="false">
      <c r="A225" s="24"/>
      <c r="B225" s="24"/>
      <c r="C225" s="24"/>
      <c r="D225" s="24"/>
      <c r="E225" s="24"/>
      <c r="F225" s="28" t="str">
        <f aca="false">IF(A225="","",COUNTIF(Trabalhos!$C$2:$C$1001,A225))</f>
        <v/>
      </c>
      <c r="G225" s="26" t="str">
        <f aca="false">IF(A225="","",SUMIFS(Trabalhos!$G$2:$G$1001,Trabalhos!$C$2:$C$1001,A225))</f>
        <v/>
      </c>
      <c r="H225" s="24"/>
    </row>
    <row r="226" customFormat="false" ht="15" hidden="false" customHeight="false" outlineLevel="0" collapsed="false">
      <c r="A226" s="24"/>
      <c r="B226" s="24"/>
      <c r="C226" s="24"/>
      <c r="D226" s="24"/>
      <c r="E226" s="24"/>
      <c r="F226" s="28" t="str">
        <f aca="false">IF(A226="","",COUNTIF(Trabalhos!$C$2:$C$1001,A226))</f>
        <v/>
      </c>
      <c r="G226" s="26" t="str">
        <f aca="false">IF(A226="","",SUMIFS(Trabalhos!$G$2:$G$1001,Trabalhos!$C$2:$C$1001,A226))</f>
        <v/>
      </c>
      <c r="H226" s="24"/>
    </row>
    <row r="227" customFormat="false" ht="15" hidden="false" customHeight="false" outlineLevel="0" collapsed="false">
      <c r="A227" s="24"/>
      <c r="B227" s="24"/>
      <c r="C227" s="24"/>
      <c r="D227" s="24"/>
      <c r="E227" s="24"/>
      <c r="F227" s="28" t="str">
        <f aca="false">IF(A227="","",COUNTIF(Trabalhos!$C$2:$C$1001,A227))</f>
        <v/>
      </c>
      <c r="G227" s="26" t="str">
        <f aca="false">IF(A227="","",SUMIFS(Trabalhos!$G$2:$G$1001,Trabalhos!$C$2:$C$1001,A227))</f>
        <v/>
      </c>
      <c r="H227" s="24"/>
    </row>
    <row r="228" customFormat="false" ht="15" hidden="false" customHeight="false" outlineLevel="0" collapsed="false">
      <c r="A228" s="24"/>
      <c r="B228" s="24"/>
      <c r="C228" s="24"/>
      <c r="D228" s="24"/>
      <c r="E228" s="24"/>
      <c r="F228" s="28" t="str">
        <f aca="false">IF(A228="","",COUNTIF(Trabalhos!$C$2:$C$1001,A228))</f>
        <v/>
      </c>
      <c r="G228" s="26" t="str">
        <f aca="false">IF(A228="","",SUMIFS(Trabalhos!$G$2:$G$1001,Trabalhos!$C$2:$C$1001,A228))</f>
        <v/>
      </c>
      <c r="H228" s="24"/>
    </row>
    <row r="229" customFormat="false" ht="15" hidden="false" customHeight="false" outlineLevel="0" collapsed="false">
      <c r="A229" s="24"/>
      <c r="B229" s="24"/>
      <c r="C229" s="24"/>
      <c r="D229" s="24"/>
      <c r="E229" s="24"/>
      <c r="F229" s="28" t="str">
        <f aca="false">IF(A229="","",COUNTIF(Trabalhos!$C$2:$C$1001,A229))</f>
        <v/>
      </c>
      <c r="G229" s="26" t="str">
        <f aca="false">IF(A229="","",SUMIFS(Trabalhos!$G$2:$G$1001,Trabalhos!$C$2:$C$1001,A229))</f>
        <v/>
      </c>
      <c r="H229" s="24"/>
    </row>
    <row r="230" customFormat="false" ht="15" hidden="false" customHeight="false" outlineLevel="0" collapsed="false">
      <c r="A230" s="24"/>
      <c r="B230" s="24"/>
      <c r="C230" s="24"/>
      <c r="D230" s="24"/>
      <c r="E230" s="24"/>
      <c r="F230" s="28" t="str">
        <f aca="false">IF(A230="","",COUNTIF(Trabalhos!$C$2:$C$1001,A230))</f>
        <v/>
      </c>
      <c r="G230" s="26" t="str">
        <f aca="false">IF(A230="","",SUMIFS(Trabalhos!$G$2:$G$1001,Trabalhos!$C$2:$C$1001,A230))</f>
        <v/>
      </c>
      <c r="H230" s="24"/>
    </row>
    <row r="231" customFormat="false" ht="15" hidden="false" customHeight="false" outlineLevel="0" collapsed="false">
      <c r="A231" s="24"/>
      <c r="B231" s="24"/>
      <c r="C231" s="24"/>
      <c r="D231" s="24"/>
      <c r="E231" s="24"/>
      <c r="F231" s="28" t="str">
        <f aca="false">IF(A231="","",COUNTIF(Trabalhos!$C$2:$C$1001,A231))</f>
        <v/>
      </c>
      <c r="G231" s="26" t="str">
        <f aca="false">IF(A231="","",SUMIFS(Trabalhos!$G$2:$G$1001,Trabalhos!$C$2:$C$1001,A231))</f>
        <v/>
      </c>
      <c r="H231" s="24"/>
    </row>
    <row r="232" customFormat="false" ht="15" hidden="false" customHeight="false" outlineLevel="0" collapsed="false">
      <c r="A232" s="24"/>
      <c r="B232" s="24"/>
      <c r="C232" s="24"/>
      <c r="D232" s="24"/>
      <c r="E232" s="24"/>
      <c r="F232" s="28" t="str">
        <f aca="false">IF(A232="","",COUNTIF(Trabalhos!$C$2:$C$1001,A232))</f>
        <v/>
      </c>
      <c r="G232" s="26" t="str">
        <f aca="false">IF(A232="","",SUMIFS(Trabalhos!$G$2:$G$1001,Trabalhos!$C$2:$C$1001,A232))</f>
        <v/>
      </c>
      <c r="H232" s="24"/>
    </row>
    <row r="233" customFormat="false" ht="15" hidden="false" customHeight="false" outlineLevel="0" collapsed="false">
      <c r="A233" s="24"/>
      <c r="B233" s="24"/>
      <c r="C233" s="24"/>
      <c r="D233" s="24"/>
      <c r="E233" s="24"/>
      <c r="F233" s="28" t="str">
        <f aca="false">IF(A233="","",COUNTIF(Trabalhos!$C$2:$C$1001,A233))</f>
        <v/>
      </c>
      <c r="G233" s="26" t="str">
        <f aca="false">IF(A233="","",SUMIFS(Trabalhos!$G$2:$G$1001,Trabalhos!$C$2:$C$1001,A233))</f>
        <v/>
      </c>
      <c r="H233" s="24"/>
    </row>
    <row r="234" customFormat="false" ht="15" hidden="false" customHeight="false" outlineLevel="0" collapsed="false">
      <c r="A234" s="24"/>
      <c r="B234" s="24"/>
      <c r="C234" s="24"/>
      <c r="D234" s="24"/>
      <c r="E234" s="24"/>
      <c r="F234" s="28" t="str">
        <f aca="false">IF(A234="","",COUNTIF(Trabalhos!$C$2:$C$1001,A234))</f>
        <v/>
      </c>
      <c r="G234" s="26" t="str">
        <f aca="false">IF(A234="","",SUMIFS(Trabalhos!$G$2:$G$1001,Trabalhos!$C$2:$C$1001,A234))</f>
        <v/>
      </c>
      <c r="H234" s="24"/>
    </row>
    <row r="235" customFormat="false" ht="15" hidden="false" customHeight="false" outlineLevel="0" collapsed="false">
      <c r="A235" s="24"/>
      <c r="B235" s="24"/>
      <c r="C235" s="24"/>
      <c r="D235" s="24"/>
      <c r="E235" s="24"/>
      <c r="F235" s="28" t="str">
        <f aca="false">IF(A235="","",COUNTIF(Trabalhos!$C$2:$C$1001,A235))</f>
        <v/>
      </c>
      <c r="G235" s="26" t="str">
        <f aca="false">IF(A235="","",SUMIFS(Trabalhos!$G$2:$G$1001,Trabalhos!$C$2:$C$1001,A235))</f>
        <v/>
      </c>
      <c r="H235" s="24"/>
    </row>
    <row r="236" customFormat="false" ht="15" hidden="false" customHeight="false" outlineLevel="0" collapsed="false">
      <c r="A236" s="24"/>
      <c r="B236" s="24"/>
      <c r="C236" s="24"/>
      <c r="D236" s="24"/>
      <c r="E236" s="24"/>
      <c r="F236" s="28" t="str">
        <f aca="false">IF(A236="","",COUNTIF(Trabalhos!$C$2:$C$1001,A236))</f>
        <v/>
      </c>
      <c r="G236" s="26" t="str">
        <f aca="false">IF(A236="","",SUMIFS(Trabalhos!$G$2:$G$1001,Trabalhos!$C$2:$C$1001,A236))</f>
        <v/>
      </c>
      <c r="H236" s="24"/>
    </row>
    <row r="237" customFormat="false" ht="15" hidden="false" customHeight="false" outlineLevel="0" collapsed="false">
      <c r="A237" s="24"/>
      <c r="B237" s="24"/>
      <c r="C237" s="24"/>
      <c r="D237" s="24"/>
      <c r="E237" s="24"/>
      <c r="F237" s="28" t="str">
        <f aca="false">IF(A237="","",COUNTIF(Trabalhos!$C$2:$C$1001,A237))</f>
        <v/>
      </c>
      <c r="G237" s="26" t="str">
        <f aca="false">IF(A237="","",SUMIFS(Trabalhos!$G$2:$G$1001,Trabalhos!$C$2:$C$1001,A237))</f>
        <v/>
      </c>
      <c r="H237" s="24"/>
    </row>
    <row r="238" customFormat="false" ht="15" hidden="false" customHeight="false" outlineLevel="0" collapsed="false">
      <c r="A238" s="24"/>
      <c r="B238" s="24"/>
      <c r="C238" s="24"/>
      <c r="D238" s="24"/>
      <c r="E238" s="24"/>
      <c r="F238" s="28" t="str">
        <f aca="false">IF(A238="","",COUNTIF(Trabalhos!$C$2:$C$1001,A238))</f>
        <v/>
      </c>
      <c r="G238" s="26" t="str">
        <f aca="false">IF(A238="","",SUMIFS(Trabalhos!$G$2:$G$1001,Trabalhos!$C$2:$C$1001,A238))</f>
        <v/>
      </c>
      <c r="H238" s="24"/>
    </row>
    <row r="239" customFormat="false" ht="15" hidden="false" customHeight="false" outlineLevel="0" collapsed="false">
      <c r="A239" s="24"/>
      <c r="B239" s="24"/>
      <c r="C239" s="24"/>
      <c r="D239" s="24"/>
      <c r="E239" s="24"/>
      <c r="F239" s="28" t="str">
        <f aca="false">IF(A239="","",COUNTIF(Trabalhos!$C$2:$C$1001,A239))</f>
        <v/>
      </c>
      <c r="G239" s="26" t="str">
        <f aca="false">IF(A239="","",SUMIFS(Trabalhos!$G$2:$G$1001,Trabalhos!$C$2:$C$1001,A239))</f>
        <v/>
      </c>
      <c r="H239" s="24"/>
    </row>
    <row r="240" customFormat="false" ht="15" hidden="false" customHeight="false" outlineLevel="0" collapsed="false">
      <c r="A240" s="24"/>
      <c r="B240" s="24"/>
      <c r="C240" s="24"/>
      <c r="D240" s="24"/>
      <c r="E240" s="24"/>
      <c r="F240" s="28" t="str">
        <f aca="false">IF(A240="","",COUNTIF(Trabalhos!$C$2:$C$1001,A240))</f>
        <v/>
      </c>
      <c r="G240" s="26" t="str">
        <f aca="false">IF(A240="","",SUMIFS(Trabalhos!$G$2:$G$1001,Trabalhos!$C$2:$C$1001,A240))</f>
        <v/>
      </c>
      <c r="H240" s="24"/>
    </row>
    <row r="241" customFormat="false" ht="15" hidden="false" customHeight="false" outlineLevel="0" collapsed="false">
      <c r="A241" s="24"/>
      <c r="B241" s="24"/>
      <c r="C241" s="24"/>
      <c r="D241" s="24"/>
      <c r="E241" s="24"/>
      <c r="F241" s="28" t="str">
        <f aca="false">IF(A241="","",COUNTIF(Trabalhos!$C$2:$C$1001,A241))</f>
        <v/>
      </c>
      <c r="G241" s="26" t="str">
        <f aca="false">IF(A241="","",SUMIFS(Trabalhos!$G$2:$G$1001,Trabalhos!$C$2:$C$1001,A241))</f>
        <v/>
      </c>
      <c r="H241" s="24"/>
    </row>
    <row r="242" customFormat="false" ht="15" hidden="false" customHeight="false" outlineLevel="0" collapsed="false">
      <c r="A242" s="24"/>
      <c r="B242" s="24"/>
      <c r="C242" s="24"/>
      <c r="D242" s="24"/>
      <c r="E242" s="24"/>
      <c r="F242" s="28" t="str">
        <f aca="false">IF(A242="","",COUNTIF(Trabalhos!$C$2:$C$1001,A242))</f>
        <v/>
      </c>
      <c r="G242" s="26" t="str">
        <f aca="false">IF(A242="","",SUMIFS(Trabalhos!$G$2:$G$1001,Trabalhos!$C$2:$C$1001,A242))</f>
        <v/>
      </c>
      <c r="H242" s="24"/>
    </row>
    <row r="243" customFormat="false" ht="15" hidden="false" customHeight="false" outlineLevel="0" collapsed="false">
      <c r="A243" s="24"/>
      <c r="B243" s="24"/>
      <c r="C243" s="24"/>
      <c r="D243" s="24"/>
      <c r="E243" s="24"/>
      <c r="F243" s="28" t="str">
        <f aca="false">IF(A243="","",COUNTIF(Trabalhos!$C$2:$C$1001,A243))</f>
        <v/>
      </c>
      <c r="G243" s="26" t="str">
        <f aca="false">IF(A243="","",SUMIFS(Trabalhos!$G$2:$G$1001,Trabalhos!$C$2:$C$1001,A243))</f>
        <v/>
      </c>
      <c r="H243" s="24"/>
    </row>
    <row r="244" customFormat="false" ht="15" hidden="false" customHeight="false" outlineLevel="0" collapsed="false">
      <c r="A244" s="24"/>
      <c r="B244" s="24"/>
      <c r="C244" s="24"/>
      <c r="D244" s="24"/>
      <c r="E244" s="24"/>
      <c r="F244" s="28" t="str">
        <f aca="false">IF(A244="","",COUNTIF(Trabalhos!$C$2:$C$1001,A244))</f>
        <v/>
      </c>
      <c r="G244" s="26" t="str">
        <f aca="false">IF(A244="","",SUMIFS(Trabalhos!$G$2:$G$1001,Trabalhos!$C$2:$C$1001,A244))</f>
        <v/>
      </c>
      <c r="H244" s="24"/>
    </row>
    <row r="245" customFormat="false" ht="15" hidden="false" customHeight="false" outlineLevel="0" collapsed="false">
      <c r="A245" s="24"/>
      <c r="B245" s="24"/>
      <c r="C245" s="24"/>
      <c r="D245" s="24"/>
      <c r="E245" s="24"/>
      <c r="F245" s="28" t="str">
        <f aca="false">IF(A245="","",COUNTIF(Trabalhos!$C$2:$C$1001,A245))</f>
        <v/>
      </c>
      <c r="G245" s="26" t="str">
        <f aca="false">IF(A245="","",SUMIFS(Trabalhos!$G$2:$G$1001,Trabalhos!$C$2:$C$1001,A245))</f>
        <v/>
      </c>
      <c r="H245" s="24"/>
    </row>
    <row r="246" customFormat="false" ht="15" hidden="false" customHeight="false" outlineLevel="0" collapsed="false">
      <c r="A246" s="24"/>
      <c r="B246" s="24"/>
      <c r="C246" s="24"/>
      <c r="D246" s="24"/>
      <c r="E246" s="24"/>
      <c r="F246" s="28" t="str">
        <f aca="false">IF(A246="","",COUNTIF(Trabalhos!$C$2:$C$1001,A246))</f>
        <v/>
      </c>
      <c r="G246" s="26" t="str">
        <f aca="false">IF(A246="","",SUMIFS(Trabalhos!$G$2:$G$1001,Trabalhos!$C$2:$C$1001,A246))</f>
        <v/>
      </c>
      <c r="H246" s="24"/>
    </row>
    <row r="247" customFormat="false" ht="15" hidden="false" customHeight="false" outlineLevel="0" collapsed="false">
      <c r="A247" s="24"/>
      <c r="B247" s="24"/>
      <c r="C247" s="24"/>
      <c r="D247" s="24"/>
      <c r="E247" s="24"/>
      <c r="F247" s="28" t="str">
        <f aca="false">IF(A247="","",COUNTIF(Trabalhos!$C$2:$C$1001,A247))</f>
        <v/>
      </c>
      <c r="G247" s="26" t="str">
        <f aca="false">IF(A247="","",SUMIFS(Trabalhos!$G$2:$G$1001,Trabalhos!$C$2:$C$1001,A247))</f>
        <v/>
      </c>
      <c r="H247" s="24"/>
    </row>
    <row r="248" customFormat="false" ht="15" hidden="false" customHeight="false" outlineLevel="0" collapsed="false">
      <c r="A248" s="24"/>
      <c r="B248" s="24"/>
      <c r="C248" s="24"/>
      <c r="D248" s="24"/>
      <c r="E248" s="24"/>
      <c r="F248" s="28" t="str">
        <f aca="false">IF(A248="","",COUNTIF(Trabalhos!$C$2:$C$1001,A248))</f>
        <v/>
      </c>
      <c r="G248" s="26" t="str">
        <f aca="false">IF(A248="","",SUMIFS(Trabalhos!$G$2:$G$1001,Trabalhos!$C$2:$C$1001,A248))</f>
        <v/>
      </c>
      <c r="H248" s="24"/>
    </row>
    <row r="249" customFormat="false" ht="15" hidden="false" customHeight="false" outlineLevel="0" collapsed="false">
      <c r="A249" s="24"/>
      <c r="B249" s="24"/>
      <c r="C249" s="24"/>
      <c r="D249" s="24"/>
      <c r="E249" s="24"/>
      <c r="F249" s="28" t="str">
        <f aca="false">IF(A249="","",COUNTIF(Trabalhos!$C$2:$C$1001,A249))</f>
        <v/>
      </c>
      <c r="G249" s="26" t="str">
        <f aca="false">IF(A249="","",SUMIFS(Trabalhos!$G$2:$G$1001,Trabalhos!$C$2:$C$1001,A249))</f>
        <v/>
      </c>
      <c r="H249" s="24"/>
    </row>
    <row r="250" customFormat="false" ht="15" hidden="false" customHeight="false" outlineLevel="0" collapsed="false">
      <c r="A250" s="24"/>
      <c r="B250" s="24"/>
      <c r="C250" s="24"/>
      <c r="D250" s="24"/>
      <c r="E250" s="24"/>
      <c r="F250" s="28" t="str">
        <f aca="false">IF(A250="","",COUNTIF(Trabalhos!$C$2:$C$1001,A250))</f>
        <v/>
      </c>
      <c r="G250" s="26" t="str">
        <f aca="false">IF(A250="","",SUMIFS(Trabalhos!$G$2:$G$1001,Trabalhos!$C$2:$C$1001,A250))</f>
        <v/>
      </c>
      <c r="H250" s="24"/>
    </row>
    <row r="251" customFormat="false" ht="15" hidden="false" customHeight="false" outlineLevel="0" collapsed="false">
      <c r="A251" s="24"/>
      <c r="B251" s="24"/>
      <c r="C251" s="24"/>
      <c r="D251" s="24"/>
      <c r="E251" s="24"/>
      <c r="F251" s="28" t="str">
        <f aca="false">IF(A251="","",COUNTIF(Trabalhos!$C$2:$C$1001,A251))</f>
        <v/>
      </c>
      <c r="G251" s="26" t="str">
        <f aca="false">IF(A251="","",SUMIFS(Trabalhos!$G$2:$G$1001,Trabalhos!$C$2:$C$1001,A251))</f>
        <v/>
      </c>
      <c r="H251" s="24"/>
    </row>
    <row r="252" customFormat="false" ht="15" hidden="false" customHeight="false" outlineLevel="0" collapsed="false">
      <c r="A252" s="24"/>
      <c r="B252" s="24"/>
      <c r="C252" s="24"/>
      <c r="D252" s="24"/>
      <c r="E252" s="24"/>
      <c r="F252" s="28" t="str">
        <f aca="false">IF(A252="","",COUNTIF(Trabalhos!$C$2:$C$1001,A252))</f>
        <v/>
      </c>
      <c r="G252" s="26" t="str">
        <f aca="false">IF(A252="","",SUMIFS(Trabalhos!$G$2:$G$1001,Trabalhos!$C$2:$C$1001,A252))</f>
        <v/>
      </c>
      <c r="H252" s="24"/>
    </row>
    <row r="253" customFormat="false" ht="15" hidden="false" customHeight="false" outlineLevel="0" collapsed="false">
      <c r="A253" s="24"/>
      <c r="B253" s="24"/>
      <c r="C253" s="24"/>
      <c r="D253" s="24"/>
      <c r="E253" s="24"/>
      <c r="F253" s="28" t="str">
        <f aca="false">IF(A253="","",COUNTIF(Trabalhos!$C$2:$C$1001,A253))</f>
        <v/>
      </c>
      <c r="G253" s="26" t="str">
        <f aca="false">IF(A253="","",SUMIFS(Trabalhos!$G$2:$G$1001,Trabalhos!$C$2:$C$1001,A253))</f>
        <v/>
      </c>
      <c r="H253" s="24"/>
    </row>
    <row r="254" customFormat="false" ht="15" hidden="false" customHeight="false" outlineLevel="0" collapsed="false">
      <c r="A254" s="24"/>
      <c r="B254" s="24"/>
      <c r="C254" s="24"/>
      <c r="D254" s="24"/>
      <c r="E254" s="24"/>
      <c r="F254" s="28" t="str">
        <f aca="false">IF(A254="","",COUNTIF(Trabalhos!$C$2:$C$1001,A254))</f>
        <v/>
      </c>
      <c r="G254" s="26" t="str">
        <f aca="false">IF(A254="","",SUMIFS(Trabalhos!$G$2:$G$1001,Trabalhos!$C$2:$C$1001,A254))</f>
        <v/>
      </c>
      <c r="H254" s="24"/>
    </row>
    <row r="255" customFormat="false" ht="15" hidden="false" customHeight="false" outlineLevel="0" collapsed="false">
      <c r="A255" s="24"/>
      <c r="B255" s="24"/>
      <c r="C255" s="24"/>
      <c r="D255" s="24"/>
      <c r="E255" s="24"/>
      <c r="F255" s="28" t="str">
        <f aca="false">IF(A255="","",COUNTIF(Trabalhos!$C$2:$C$1001,A255))</f>
        <v/>
      </c>
      <c r="G255" s="26" t="str">
        <f aca="false">IF(A255="","",SUMIFS(Trabalhos!$G$2:$G$1001,Trabalhos!$C$2:$C$1001,A255))</f>
        <v/>
      </c>
      <c r="H255" s="24"/>
    </row>
    <row r="256" customFormat="false" ht="15" hidden="false" customHeight="false" outlineLevel="0" collapsed="false">
      <c r="A256" s="24"/>
      <c r="B256" s="24"/>
      <c r="C256" s="24"/>
      <c r="D256" s="24"/>
      <c r="E256" s="24"/>
      <c r="F256" s="28" t="str">
        <f aca="false">IF(A256="","",COUNTIF(Trabalhos!$C$2:$C$1001,A256))</f>
        <v/>
      </c>
      <c r="G256" s="26" t="str">
        <f aca="false">IF(A256="","",SUMIFS(Trabalhos!$G$2:$G$1001,Trabalhos!$C$2:$C$1001,A256))</f>
        <v/>
      </c>
      <c r="H256" s="24"/>
    </row>
    <row r="257" customFormat="false" ht="15" hidden="false" customHeight="false" outlineLevel="0" collapsed="false">
      <c r="A257" s="24"/>
      <c r="B257" s="24"/>
      <c r="C257" s="24"/>
      <c r="D257" s="24"/>
      <c r="E257" s="24"/>
      <c r="F257" s="28" t="str">
        <f aca="false">IF(A257="","",COUNTIF(Trabalhos!$C$2:$C$1001,A257))</f>
        <v/>
      </c>
      <c r="G257" s="26" t="str">
        <f aca="false">IF(A257="","",SUMIFS(Trabalhos!$G$2:$G$1001,Trabalhos!$C$2:$C$1001,A257))</f>
        <v/>
      </c>
      <c r="H257" s="24"/>
    </row>
    <row r="258" customFormat="false" ht="15" hidden="false" customHeight="false" outlineLevel="0" collapsed="false">
      <c r="A258" s="24"/>
      <c r="B258" s="24"/>
      <c r="C258" s="24"/>
      <c r="D258" s="24"/>
      <c r="E258" s="24"/>
      <c r="F258" s="28" t="str">
        <f aca="false">IF(A258="","",COUNTIF(Trabalhos!$C$2:$C$1001,A258))</f>
        <v/>
      </c>
      <c r="G258" s="26" t="str">
        <f aca="false">IF(A258="","",SUMIFS(Trabalhos!$G$2:$G$1001,Trabalhos!$C$2:$C$1001,A258))</f>
        <v/>
      </c>
      <c r="H258" s="24"/>
    </row>
    <row r="259" customFormat="false" ht="15" hidden="false" customHeight="false" outlineLevel="0" collapsed="false">
      <c r="A259" s="24"/>
      <c r="B259" s="24"/>
      <c r="C259" s="24"/>
      <c r="D259" s="24"/>
      <c r="E259" s="24"/>
      <c r="F259" s="28" t="str">
        <f aca="false">IF(A259="","",COUNTIF(Trabalhos!$C$2:$C$1001,A259))</f>
        <v/>
      </c>
      <c r="G259" s="26" t="str">
        <f aca="false">IF(A259="","",SUMIFS(Trabalhos!$G$2:$G$1001,Trabalhos!$C$2:$C$1001,A259))</f>
        <v/>
      </c>
      <c r="H259" s="24"/>
    </row>
    <row r="260" customFormat="false" ht="15" hidden="false" customHeight="false" outlineLevel="0" collapsed="false">
      <c r="A260" s="24"/>
      <c r="B260" s="24"/>
      <c r="C260" s="24"/>
      <c r="D260" s="24"/>
      <c r="E260" s="24"/>
      <c r="F260" s="28" t="str">
        <f aca="false">IF(A260="","",COUNTIF(Trabalhos!$C$2:$C$1001,A260))</f>
        <v/>
      </c>
      <c r="G260" s="26" t="str">
        <f aca="false">IF(A260="","",SUMIFS(Trabalhos!$G$2:$G$1001,Trabalhos!$C$2:$C$1001,A260))</f>
        <v/>
      </c>
      <c r="H260" s="24"/>
    </row>
    <row r="261" customFormat="false" ht="15" hidden="false" customHeight="false" outlineLevel="0" collapsed="false">
      <c r="A261" s="24"/>
      <c r="B261" s="24"/>
      <c r="C261" s="24"/>
      <c r="D261" s="24"/>
      <c r="E261" s="24"/>
      <c r="F261" s="28" t="str">
        <f aca="false">IF(A261="","",COUNTIF(Trabalhos!$C$2:$C$1001,A261))</f>
        <v/>
      </c>
      <c r="G261" s="26" t="str">
        <f aca="false">IF(A261="","",SUMIFS(Trabalhos!$G$2:$G$1001,Trabalhos!$C$2:$C$1001,A261))</f>
        <v/>
      </c>
      <c r="H261" s="24"/>
    </row>
    <row r="262" customFormat="false" ht="15" hidden="false" customHeight="false" outlineLevel="0" collapsed="false">
      <c r="A262" s="24"/>
      <c r="B262" s="24"/>
      <c r="C262" s="24"/>
      <c r="D262" s="24"/>
      <c r="E262" s="24"/>
      <c r="F262" s="28" t="str">
        <f aca="false">IF(A262="","",COUNTIF(Trabalhos!$C$2:$C$1001,A262))</f>
        <v/>
      </c>
      <c r="G262" s="26" t="str">
        <f aca="false">IF(A262="","",SUMIFS(Trabalhos!$G$2:$G$1001,Trabalhos!$C$2:$C$1001,A262))</f>
        <v/>
      </c>
      <c r="H262" s="24"/>
    </row>
    <row r="263" customFormat="false" ht="15" hidden="false" customHeight="false" outlineLevel="0" collapsed="false">
      <c r="A263" s="24"/>
      <c r="B263" s="24"/>
      <c r="C263" s="24"/>
      <c r="D263" s="24"/>
      <c r="E263" s="24"/>
      <c r="F263" s="28" t="str">
        <f aca="false">IF(A263="","",COUNTIF(Trabalhos!$C$2:$C$1001,A263))</f>
        <v/>
      </c>
      <c r="G263" s="26" t="str">
        <f aca="false">IF(A263="","",SUMIFS(Trabalhos!$G$2:$G$1001,Trabalhos!$C$2:$C$1001,A263))</f>
        <v/>
      </c>
      <c r="H263" s="24"/>
    </row>
    <row r="264" customFormat="false" ht="15" hidden="false" customHeight="false" outlineLevel="0" collapsed="false">
      <c r="A264" s="24"/>
      <c r="B264" s="24"/>
      <c r="C264" s="24"/>
      <c r="D264" s="24"/>
      <c r="E264" s="24"/>
      <c r="F264" s="28" t="str">
        <f aca="false">IF(A264="","",COUNTIF(Trabalhos!$C$2:$C$1001,A264))</f>
        <v/>
      </c>
      <c r="G264" s="26" t="str">
        <f aca="false">IF(A264="","",SUMIFS(Trabalhos!$G$2:$G$1001,Trabalhos!$C$2:$C$1001,A264))</f>
        <v/>
      </c>
      <c r="H264" s="24"/>
    </row>
    <row r="265" customFormat="false" ht="15" hidden="false" customHeight="false" outlineLevel="0" collapsed="false">
      <c r="A265" s="24"/>
      <c r="B265" s="24"/>
      <c r="C265" s="24"/>
      <c r="D265" s="24"/>
      <c r="E265" s="24"/>
      <c r="F265" s="28" t="str">
        <f aca="false">IF(A265="","",COUNTIF(Trabalhos!$C$2:$C$1001,A265))</f>
        <v/>
      </c>
      <c r="G265" s="26" t="str">
        <f aca="false">IF(A265="","",SUMIFS(Trabalhos!$G$2:$G$1001,Trabalhos!$C$2:$C$1001,A265))</f>
        <v/>
      </c>
      <c r="H265" s="24"/>
    </row>
    <row r="266" customFormat="false" ht="15" hidden="false" customHeight="false" outlineLevel="0" collapsed="false">
      <c r="A266" s="24"/>
      <c r="B266" s="24"/>
      <c r="C266" s="24"/>
      <c r="D266" s="24"/>
      <c r="E266" s="24"/>
      <c r="F266" s="28" t="str">
        <f aca="false">IF(A266="","",COUNTIF(Trabalhos!$C$2:$C$1001,A266))</f>
        <v/>
      </c>
      <c r="G266" s="26" t="str">
        <f aca="false">IF(A266="","",SUMIFS(Trabalhos!$G$2:$G$1001,Trabalhos!$C$2:$C$1001,A266))</f>
        <v/>
      </c>
      <c r="H266" s="24"/>
    </row>
    <row r="267" customFormat="false" ht="15" hidden="false" customHeight="false" outlineLevel="0" collapsed="false">
      <c r="A267" s="24"/>
      <c r="B267" s="24"/>
      <c r="C267" s="24"/>
      <c r="D267" s="24"/>
      <c r="E267" s="24"/>
      <c r="F267" s="28" t="str">
        <f aca="false">IF(A267="","",COUNTIF(Trabalhos!$C$2:$C$1001,A267))</f>
        <v/>
      </c>
      <c r="G267" s="26" t="str">
        <f aca="false">IF(A267="","",SUMIFS(Trabalhos!$G$2:$G$1001,Trabalhos!$C$2:$C$1001,A267))</f>
        <v/>
      </c>
      <c r="H267" s="24"/>
    </row>
    <row r="268" customFormat="false" ht="15" hidden="false" customHeight="false" outlineLevel="0" collapsed="false">
      <c r="A268" s="24"/>
      <c r="B268" s="24"/>
      <c r="C268" s="24"/>
      <c r="D268" s="24"/>
      <c r="E268" s="24"/>
      <c r="F268" s="28" t="str">
        <f aca="false">IF(A268="","",COUNTIF(Trabalhos!$C$2:$C$1001,A268))</f>
        <v/>
      </c>
      <c r="G268" s="26" t="str">
        <f aca="false">IF(A268="","",SUMIFS(Trabalhos!$G$2:$G$1001,Trabalhos!$C$2:$C$1001,A268))</f>
        <v/>
      </c>
      <c r="H268" s="24"/>
    </row>
    <row r="269" customFormat="false" ht="15" hidden="false" customHeight="false" outlineLevel="0" collapsed="false">
      <c r="A269" s="24"/>
      <c r="B269" s="24"/>
      <c r="C269" s="24"/>
      <c r="D269" s="24"/>
      <c r="E269" s="24"/>
      <c r="F269" s="28" t="str">
        <f aca="false">IF(A269="","",COUNTIF(Trabalhos!$C$2:$C$1001,A269))</f>
        <v/>
      </c>
      <c r="G269" s="26" t="str">
        <f aca="false">IF(A269="","",SUMIFS(Trabalhos!$G$2:$G$1001,Trabalhos!$C$2:$C$1001,A269))</f>
        <v/>
      </c>
      <c r="H269" s="24"/>
    </row>
    <row r="270" customFormat="false" ht="15" hidden="false" customHeight="false" outlineLevel="0" collapsed="false">
      <c r="A270" s="24"/>
      <c r="B270" s="24"/>
      <c r="C270" s="24"/>
      <c r="D270" s="24"/>
      <c r="E270" s="24"/>
      <c r="F270" s="28" t="str">
        <f aca="false">IF(A270="","",COUNTIF(Trabalhos!$C$2:$C$1001,A270))</f>
        <v/>
      </c>
      <c r="G270" s="26" t="str">
        <f aca="false">IF(A270="","",SUMIFS(Trabalhos!$G$2:$G$1001,Trabalhos!$C$2:$C$1001,A270))</f>
        <v/>
      </c>
      <c r="H270" s="24"/>
    </row>
    <row r="271" customFormat="false" ht="15" hidden="false" customHeight="false" outlineLevel="0" collapsed="false">
      <c r="A271" s="24"/>
      <c r="B271" s="24"/>
      <c r="C271" s="24"/>
      <c r="D271" s="24"/>
      <c r="E271" s="24"/>
      <c r="F271" s="28" t="str">
        <f aca="false">IF(A271="","",COUNTIF(Trabalhos!$C$2:$C$1001,A271))</f>
        <v/>
      </c>
      <c r="G271" s="26" t="str">
        <f aca="false">IF(A271="","",SUMIFS(Trabalhos!$G$2:$G$1001,Trabalhos!$C$2:$C$1001,A271))</f>
        <v/>
      </c>
      <c r="H271" s="24"/>
    </row>
    <row r="272" customFormat="false" ht="15" hidden="false" customHeight="false" outlineLevel="0" collapsed="false">
      <c r="A272" s="24"/>
      <c r="B272" s="24"/>
      <c r="C272" s="24"/>
      <c r="D272" s="24"/>
      <c r="E272" s="24"/>
      <c r="F272" s="28" t="str">
        <f aca="false">IF(A272="","",COUNTIF(Trabalhos!$C$2:$C$1001,A272))</f>
        <v/>
      </c>
      <c r="G272" s="26" t="str">
        <f aca="false">IF(A272="","",SUMIFS(Trabalhos!$G$2:$G$1001,Trabalhos!$C$2:$C$1001,A272))</f>
        <v/>
      </c>
      <c r="H272" s="24"/>
    </row>
    <row r="273" customFormat="false" ht="15" hidden="false" customHeight="false" outlineLevel="0" collapsed="false">
      <c r="A273" s="24"/>
      <c r="B273" s="24"/>
      <c r="C273" s="24"/>
      <c r="D273" s="24"/>
      <c r="E273" s="24"/>
      <c r="F273" s="28" t="str">
        <f aca="false">IF(A273="","",COUNTIF(Trabalhos!$C$2:$C$1001,A273))</f>
        <v/>
      </c>
      <c r="G273" s="26" t="str">
        <f aca="false">IF(A273="","",SUMIFS(Trabalhos!$G$2:$G$1001,Trabalhos!$C$2:$C$1001,A273))</f>
        <v/>
      </c>
      <c r="H273" s="24"/>
    </row>
    <row r="274" customFormat="false" ht="15" hidden="false" customHeight="false" outlineLevel="0" collapsed="false">
      <c r="A274" s="24"/>
      <c r="B274" s="24"/>
      <c r="C274" s="24"/>
      <c r="D274" s="24"/>
      <c r="E274" s="24"/>
      <c r="F274" s="28" t="str">
        <f aca="false">IF(A274="","",COUNTIF(Trabalhos!$C$2:$C$1001,A274))</f>
        <v/>
      </c>
      <c r="G274" s="26" t="str">
        <f aca="false">IF(A274="","",SUMIFS(Trabalhos!$G$2:$G$1001,Trabalhos!$C$2:$C$1001,A274))</f>
        <v/>
      </c>
      <c r="H274" s="24"/>
    </row>
    <row r="275" customFormat="false" ht="15" hidden="false" customHeight="false" outlineLevel="0" collapsed="false">
      <c r="A275" s="24"/>
      <c r="B275" s="24"/>
      <c r="C275" s="24"/>
      <c r="D275" s="24"/>
      <c r="E275" s="24"/>
      <c r="F275" s="28" t="str">
        <f aca="false">IF(A275="","",COUNTIF(Trabalhos!$C$2:$C$1001,A275))</f>
        <v/>
      </c>
      <c r="G275" s="26" t="str">
        <f aca="false">IF(A275="","",SUMIFS(Trabalhos!$G$2:$G$1001,Trabalhos!$C$2:$C$1001,A275))</f>
        <v/>
      </c>
      <c r="H275" s="24"/>
    </row>
    <row r="276" customFormat="false" ht="15" hidden="false" customHeight="false" outlineLevel="0" collapsed="false">
      <c r="A276" s="24"/>
      <c r="B276" s="24"/>
      <c r="C276" s="24"/>
      <c r="D276" s="24"/>
      <c r="E276" s="24"/>
      <c r="F276" s="28" t="str">
        <f aca="false">IF(A276="","",COUNTIF(Trabalhos!$C$2:$C$1001,A276))</f>
        <v/>
      </c>
      <c r="G276" s="26" t="str">
        <f aca="false">IF(A276="","",SUMIFS(Trabalhos!$G$2:$G$1001,Trabalhos!$C$2:$C$1001,A276))</f>
        <v/>
      </c>
      <c r="H276" s="24"/>
    </row>
    <row r="277" customFormat="false" ht="15" hidden="false" customHeight="false" outlineLevel="0" collapsed="false">
      <c r="A277" s="24"/>
      <c r="B277" s="24"/>
      <c r="C277" s="24"/>
      <c r="D277" s="24"/>
      <c r="E277" s="24"/>
      <c r="F277" s="28" t="str">
        <f aca="false">IF(A277="","",COUNTIF(Trabalhos!$C$2:$C$1001,A277))</f>
        <v/>
      </c>
      <c r="G277" s="26" t="str">
        <f aca="false">IF(A277="","",SUMIFS(Trabalhos!$G$2:$G$1001,Trabalhos!$C$2:$C$1001,A277))</f>
        <v/>
      </c>
      <c r="H277" s="24"/>
    </row>
    <row r="278" customFormat="false" ht="15" hidden="false" customHeight="false" outlineLevel="0" collapsed="false">
      <c r="A278" s="24"/>
      <c r="B278" s="24"/>
      <c r="C278" s="24"/>
      <c r="D278" s="24"/>
      <c r="E278" s="24"/>
      <c r="F278" s="28" t="str">
        <f aca="false">IF(A278="","",COUNTIF(Trabalhos!$C$2:$C$1001,A278))</f>
        <v/>
      </c>
      <c r="G278" s="26" t="str">
        <f aca="false">IF(A278="","",SUMIFS(Trabalhos!$G$2:$G$1001,Trabalhos!$C$2:$C$1001,A278))</f>
        <v/>
      </c>
      <c r="H278" s="24"/>
    </row>
    <row r="279" customFormat="false" ht="15" hidden="false" customHeight="false" outlineLevel="0" collapsed="false">
      <c r="A279" s="24"/>
      <c r="B279" s="24"/>
      <c r="C279" s="24"/>
      <c r="D279" s="24"/>
      <c r="E279" s="24"/>
      <c r="F279" s="28" t="str">
        <f aca="false">IF(A279="","",COUNTIF(Trabalhos!$C$2:$C$1001,A279))</f>
        <v/>
      </c>
      <c r="G279" s="26" t="str">
        <f aca="false">IF(A279="","",SUMIFS(Trabalhos!$G$2:$G$1001,Trabalhos!$C$2:$C$1001,A279))</f>
        <v/>
      </c>
      <c r="H279" s="24"/>
    </row>
    <row r="280" customFormat="false" ht="15" hidden="false" customHeight="false" outlineLevel="0" collapsed="false">
      <c r="A280" s="24"/>
      <c r="B280" s="24"/>
      <c r="C280" s="24"/>
      <c r="D280" s="24"/>
      <c r="E280" s="24"/>
      <c r="F280" s="28" t="str">
        <f aca="false">IF(A280="","",COUNTIF(Trabalhos!$C$2:$C$1001,A280))</f>
        <v/>
      </c>
      <c r="G280" s="26" t="str">
        <f aca="false">IF(A280="","",SUMIFS(Trabalhos!$G$2:$G$1001,Trabalhos!$C$2:$C$1001,A280))</f>
        <v/>
      </c>
      <c r="H280" s="24"/>
    </row>
    <row r="281" customFormat="false" ht="15" hidden="false" customHeight="false" outlineLevel="0" collapsed="false">
      <c r="A281" s="24"/>
      <c r="B281" s="24"/>
      <c r="C281" s="24"/>
      <c r="D281" s="24"/>
      <c r="E281" s="24"/>
      <c r="F281" s="28" t="str">
        <f aca="false">IF(A281="","",COUNTIF(Trabalhos!$C$2:$C$1001,A281))</f>
        <v/>
      </c>
      <c r="G281" s="26" t="str">
        <f aca="false">IF(A281="","",SUMIFS(Trabalhos!$G$2:$G$1001,Trabalhos!$C$2:$C$1001,A281))</f>
        <v/>
      </c>
      <c r="H281" s="24"/>
    </row>
    <row r="282" customFormat="false" ht="15" hidden="false" customHeight="false" outlineLevel="0" collapsed="false">
      <c r="A282" s="24"/>
      <c r="B282" s="24"/>
      <c r="C282" s="24"/>
      <c r="D282" s="24"/>
      <c r="E282" s="24"/>
      <c r="F282" s="28" t="str">
        <f aca="false">IF(A282="","",COUNTIF(Trabalhos!$C$2:$C$1001,A282))</f>
        <v/>
      </c>
      <c r="G282" s="26" t="str">
        <f aca="false">IF(A282="","",SUMIFS(Trabalhos!$G$2:$G$1001,Trabalhos!$C$2:$C$1001,A282))</f>
        <v/>
      </c>
      <c r="H282" s="24"/>
    </row>
    <row r="283" customFormat="false" ht="15" hidden="false" customHeight="false" outlineLevel="0" collapsed="false">
      <c r="A283" s="24"/>
      <c r="B283" s="24"/>
      <c r="C283" s="24"/>
      <c r="D283" s="24"/>
      <c r="E283" s="24"/>
      <c r="F283" s="28" t="str">
        <f aca="false">IF(A283="","",COUNTIF(Trabalhos!$C$2:$C$1001,A283))</f>
        <v/>
      </c>
      <c r="G283" s="26" t="str">
        <f aca="false">IF(A283="","",SUMIFS(Trabalhos!$G$2:$G$1001,Trabalhos!$C$2:$C$1001,A283))</f>
        <v/>
      </c>
      <c r="H283" s="24"/>
    </row>
    <row r="284" customFormat="false" ht="15" hidden="false" customHeight="false" outlineLevel="0" collapsed="false">
      <c r="A284" s="24"/>
      <c r="B284" s="24"/>
      <c r="C284" s="24"/>
      <c r="D284" s="24"/>
      <c r="E284" s="24"/>
      <c r="F284" s="28" t="str">
        <f aca="false">IF(A284="","",COUNTIF(Trabalhos!$C$2:$C$1001,A284))</f>
        <v/>
      </c>
      <c r="G284" s="26" t="str">
        <f aca="false">IF(A284="","",SUMIFS(Trabalhos!$G$2:$G$1001,Trabalhos!$C$2:$C$1001,A284))</f>
        <v/>
      </c>
      <c r="H284" s="24"/>
    </row>
    <row r="285" customFormat="false" ht="15" hidden="false" customHeight="false" outlineLevel="0" collapsed="false">
      <c r="A285" s="24"/>
      <c r="B285" s="24"/>
      <c r="C285" s="24"/>
      <c r="D285" s="24"/>
      <c r="E285" s="24"/>
      <c r="F285" s="28" t="str">
        <f aca="false">IF(A285="","",COUNTIF(Trabalhos!$C$2:$C$1001,A285))</f>
        <v/>
      </c>
      <c r="G285" s="26" t="str">
        <f aca="false">IF(A285="","",SUMIFS(Trabalhos!$G$2:$G$1001,Trabalhos!$C$2:$C$1001,A285))</f>
        <v/>
      </c>
      <c r="H285" s="24"/>
    </row>
    <row r="286" customFormat="false" ht="15" hidden="false" customHeight="false" outlineLevel="0" collapsed="false">
      <c r="A286" s="24"/>
      <c r="B286" s="24"/>
      <c r="C286" s="24"/>
      <c r="D286" s="24"/>
      <c r="E286" s="24"/>
      <c r="F286" s="28" t="str">
        <f aca="false">IF(A286="","",COUNTIF(Trabalhos!$C$2:$C$1001,A286))</f>
        <v/>
      </c>
      <c r="G286" s="26" t="str">
        <f aca="false">IF(A286="","",SUMIFS(Trabalhos!$G$2:$G$1001,Trabalhos!$C$2:$C$1001,A286))</f>
        <v/>
      </c>
      <c r="H286" s="24"/>
    </row>
    <row r="287" customFormat="false" ht="15" hidden="false" customHeight="false" outlineLevel="0" collapsed="false">
      <c r="A287" s="24"/>
      <c r="B287" s="24"/>
      <c r="C287" s="24"/>
      <c r="D287" s="24"/>
      <c r="E287" s="24"/>
      <c r="F287" s="28" t="str">
        <f aca="false">IF(A287="","",COUNTIF(Trabalhos!$C$2:$C$1001,A287))</f>
        <v/>
      </c>
      <c r="G287" s="26" t="str">
        <f aca="false">IF(A287="","",SUMIFS(Trabalhos!$G$2:$G$1001,Trabalhos!$C$2:$C$1001,A287))</f>
        <v/>
      </c>
      <c r="H287" s="24"/>
    </row>
    <row r="288" customFormat="false" ht="15" hidden="false" customHeight="false" outlineLevel="0" collapsed="false">
      <c r="A288" s="24"/>
      <c r="B288" s="24"/>
      <c r="C288" s="24"/>
      <c r="D288" s="24"/>
      <c r="E288" s="24"/>
      <c r="F288" s="28" t="str">
        <f aca="false">IF(A288="","",COUNTIF(Trabalhos!$C$2:$C$1001,A288))</f>
        <v/>
      </c>
      <c r="G288" s="26" t="str">
        <f aca="false">IF(A288="","",SUMIFS(Trabalhos!$G$2:$G$1001,Trabalhos!$C$2:$C$1001,A288))</f>
        <v/>
      </c>
      <c r="H288" s="24"/>
    </row>
    <row r="289" customFormat="false" ht="15" hidden="false" customHeight="false" outlineLevel="0" collapsed="false">
      <c r="A289" s="24"/>
      <c r="B289" s="24"/>
      <c r="C289" s="24"/>
      <c r="D289" s="24"/>
      <c r="E289" s="24"/>
      <c r="F289" s="28" t="str">
        <f aca="false">IF(A289="","",COUNTIF(Trabalhos!$C$2:$C$1001,A289))</f>
        <v/>
      </c>
      <c r="G289" s="26" t="str">
        <f aca="false">IF(A289="","",SUMIFS(Trabalhos!$G$2:$G$1001,Trabalhos!$C$2:$C$1001,A289))</f>
        <v/>
      </c>
      <c r="H289" s="24"/>
    </row>
    <row r="290" customFormat="false" ht="15" hidden="false" customHeight="false" outlineLevel="0" collapsed="false">
      <c r="A290" s="24"/>
      <c r="B290" s="24"/>
      <c r="C290" s="24"/>
      <c r="D290" s="24"/>
      <c r="E290" s="24"/>
      <c r="F290" s="28" t="str">
        <f aca="false">IF(A290="","",COUNTIF(Trabalhos!$C$2:$C$1001,A290))</f>
        <v/>
      </c>
      <c r="G290" s="26" t="str">
        <f aca="false">IF(A290="","",SUMIFS(Trabalhos!$G$2:$G$1001,Trabalhos!$C$2:$C$1001,A290))</f>
        <v/>
      </c>
      <c r="H290" s="24"/>
    </row>
    <row r="291" customFormat="false" ht="15" hidden="false" customHeight="false" outlineLevel="0" collapsed="false">
      <c r="A291" s="24"/>
      <c r="B291" s="24"/>
      <c r="C291" s="24"/>
      <c r="D291" s="24"/>
      <c r="E291" s="24"/>
      <c r="F291" s="28" t="str">
        <f aca="false">IF(A291="","",COUNTIF(Trabalhos!$C$2:$C$1001,A291))</f>
        <v/>
      </c>
      <c r="G291" s="26" t="str">
        <f aca="false">IF(A291="","",SUMIFS(Trabalhos!$G$2:$G$1001,Trabalhos!$C$2:$C$1001,A291))</f>
        <v/>
      </c>
      <c r="H291" s="24"/>
    </row>
    <row r="292" customFormat="false" ht="15" hidden="false" customHeight="false" outlineLevel="0" collapsed="false">
      <c r="A292" s="24"/>
      <c r="B292" s="24"/>
      <c r="C292" s="24"/>
      <c r="D292" s="24"/>
      <c r="E292" s="24"/>
      <c r="F292" s="28" t="str">
        <f aca="false">IF(A292="","",COUNTIF(Trabalhos!$C$2:$C$1001,A292))</f>
        <v/>
      </c>
      <c r="G292" s="26" t="str">
        <f aca="false">IF(A292="","",SUMIFS(Trabalhos!$G$2:$G$1001,Trabalhos!$C$2:$C$1001,A292))</f>
        <v/>
      </c>
      <c r="H292" s="24"/>
    </row>
    <row r="293" customFormat="false" ht="15" hidden="false" customHeight="false" outlineLevel="0" collapsed="false">
      <c r="A293" s="24"/>
      <c r="B293" s="24"/>
      <c r="C293" s="24"/>
      <c r="D293" s="24"/>
      <c r="E293" s="24"/>
      <c r="F293" s="28" t="str">
        <f aca="false">IF(A293="","",COUNTIF(Trabalhos!$C$2:$C$1001,A293))</f>
        <v/>
      </c>
      <c r="G293" s="26" t="str">
        <f aca="false">IF(A293="","",SUMIFS(Trabalhos!$G$2:$G$1001,Trabalhos!$C$2:$C$1001,A293))</f>
        <v/>
      </c>
      <c r="H293" s="24"/>
    </row>
    <row r="294" customFormat="false" ht="15" hidden="false" customHeight="false" outlineLevel="0" collapsed="false">
      <c r="A294" s="24"/>
      <c r="B294" s="24"/>
      <c r="C294" s="24"/>
      <c r="D294" s="24"/>
      <c r="E294" s="24"/>
      <c r="F294" s="28" t="str">
        <f aca="false">IF(A294="","",COUNTIF(Trabalhos!$C$2:$C$1001,A294))</f>
        <v/>
      </c>
      <c r="G294" s="26" t="str">
        <f aca="false">IF(A294="","",SUMIFS(Trabalhos!$G$2:$G$1001,Trabalhos!$C$2:$C$1001,A294))</f>
        <v/>
      </c>
      <c r="H294" s="24"/>
    </row>
    <row r="295" customFormat="false" ht="15" hidden="false" customHeight="false" outlineLevel="0" collapsed="false">
      <c r="A295" s="24"/>
      <c r="B295" s="24"/>
      <c r="C295" s="24"/>
      <c r="D295" s="24"/>
      <c r="E295" s="24"/>
      <c r="F295" s="28" t="str">
        <f aca="false">IF(A295="","",COUNTIF(Trabalhos!$C$2:$C$1001,A295))</f>
        <v/>
      </c>
      <c r="G295" s="26" t="str">
        <f aca="false">IF(A295="","",SUMIFS(Trabalhos!$G$2:$G$1001,Trabalhos!$C$2:$C$1001,A295))</f>
        <v/>
      </c>
      <c r="H295" s="24"/>
    </row>
    <row r="296" customFormat="false" ht="15" hidden="false" customHeight="false" outlineLevel="0" collapsed="false">
      <c r="A296" s="24"/>
      <c r="B296" s="24"/>
      <c r="C296" s="24"/>
      <c r="D296" s="24"/>
      <c r="E296" s="24"/>
      <c r="F296" s="28" t="str">
        <f aca="false">IF(A296="","",COUNTIF(Trabalhos!$C$2:$C$1001,A296))</f>
        <v/>
      </c>
      <c r="G296" s="26" t="str">
        <f aca="false">IF(A296="","",SUMIFS(Trabalhos!$G$2:$G$1001,Trabalhos!$C$2:$C$1001,A296))</f>
        <v/>
      </c>
      <c r="H296" s="24"/>
    </row>
    <row r="297" customFormat="false" ht="15" hidden="false" customHeight="false" outlineLevel="0" collapsed="false">
      <c r="A297" s="24"/>
      <c r="B297" s="24"/>
      <c r="C297" s="24"/>
      <c r="D297" s="24"/>
      <c r="E297" s="24"/>
      <c r="F297" s="28" t="str">
        <f aca="false">IF(A297="","",COUNTIF(Trabalhos!$C$2:$C$1001,A297))</f>
        <v/>
      </c>
      <c r="G297" s="26" t="str">
        <f aca="false">IF(A297="","",SUMIFS(Trabalhos!$G$2:$G$1001,Trabalhos!$C$2:$C$1001,A297))</f>
        <v/>
      </c>
      <c r="H297" s="24"/>
    </row>
    <row r="298" customFormat="false" ht="15" hidden="false" customHeight="false" outlineLevel="0" collapsed="false">
      <c r="A298" s="24"/>
      <c r="B298" s="24"/>
      <c r="C298" s="24"/>
      <c r="D298" s="24"/>
      <c r="E298" s="24"/>
      <c r="F298" s="28" t="str">
        <f aca="false">IF(A298="","",COUNTIF(Trabalhos!$C$2:$C$1001,A298))</f>
        <v/>
      </c>
      <c r="G298" s="26" t="str">
        <f aca="false">IF(A298="","",SUMIFS(Trabalhos!$G$2:$G$1001,Trabalhos!$C$2:$C$1001,A298))</f>
        <v/>
      </c>
      <c r="H298" s="24"/>
    </row>
    <row r="299" customFormat="false" ht="15" hidden="false" customHeight="false" outlineLevel="0" collapsed="false">
      <c r="A299" s="24"/>
      <c r="B299" s="24"/>
      <c r="C299" s="24"/>
      <c r="D299" s="24"/>
      <c r="E299" s="24"/>
      <c r="F299" s="28" t="str">
        <f aca="false">IF(A299="","",COUNTIF(Trabalhos!$C$2:$C$1001,A299))</f>
        <v/>
      </c>
      <c r="G299" s="26" t="str">
        <f aca="false">IF(A299="","",SUMIFS(Trabalhos!$G$2:$G$1001,Trabalhos!$C$2:$C$1001,A299))</f>
        <v/>
      </c>
      <c r="H299" s="24"/>
    </row>
    <row r="300" customFormat="false" ht="15" hidden="false" customHeight="false" outlineLevel="0" collapsed="false">
      <c r="A300" s="24"/>
      <c r="B300" s="24"/>
      <c r="C300" s="24"/>
      <c r="D300" s="24"/>
      <c r="E300" s="24"/>
      <c r="F300" s="28" t="str">
        <f aca="false">IF(A300="","",COUNTIF(Trabalhos!$C$2:$C$1001,A300))</f>
        <v/>
      </c>
      <c r="G300" s="26" t="str">
        <f aca="false">IF(A300="","",SUMIFS(Trabalhos!$G$2:$G$1001,Trabalhos!$C$2:$C$1001,A300))</f>
        <v/>
      </c>
      <c r="H300" s="24"/>
    </row>
    <row r="301" customFormat="false" ht="15" hidden="false" customHeight="false" outlineLevel="0" collapsed="false">
      <c r="A301" s="24"/>
      <c r="B301" s="24"/>
      <c r="C301" s="24"/>
      <c r="D301" s="24"/>
      <c r="E301" s="24"/>
      <c r="F301" s="28" t="str">
        <f aca="false">IF(A301="","",COUNTIF(Trabalhos!$C$2:$C$1001,A301))</f>
        <v/>
      </c>
      <c r="G301" s="26" t="str">
        <f aca="false">IF(A301="","",SUMIFS(Trabalhos!$G$2:$G$1001,Trabalhos!$C$2:$C$1001,A301))</f>
        <v/>
      </c>
      <c r="H301" s="24"/>
    </row>
    <row r="302" customFormat="false" ht="15" hidden="false" customHeight="false" outlineLevel="0" collapsed="false">
      <c r="A302" s="24"/>
      <c r="B302" s="24"/>
      <c r="C302" s="24"/>
      <c r="D302" s="24"/>
      <c r="E302" s="24"/>
      <c r="F302" s="28" t="str">
        <f aca="false">IF(A302="","",COUNTIF(Trabalhos!$C$2:$C$1001,A302))</f>
        <v/>
      </c>
      <c r="G302" s="26" t="str">
        <f aca="false">IF(A302="","",SUMIFS(Trabalhos!$G$2:$G$1001,Trabalhos!$C$2:$C$1001,A302))</f>
        <v/>
      </c>
      <c r="H302" s="24"/>
    </row>
    <row r="303" customFormat="false" ht="15" hidden="false" customHeight="false" outlineLevel="0" collapsed="false">
      <c r="A303" s="24"/>
      <c r="B303" s="24"/>
      <c r="C303" s="24"/>
      <c r="D303" s="24"/>
      <c r="E303" s="24"/>
      <c r="F303" s="28" t="str">
        <f aca="false">IF(A303="","",COUNTIF(Trabalhos!$C$2:$C$1001,A303))</f>
        <v/>
      </c>
      <c r="G303" s="26" t="str">
        <f aca="false">IF(A303="","",SUMIFS(Trabalhos!$G$2:$G$1001,Trabalhos!$C$2:$C$1001,A303))</f>
        <v/>
      </c>
      <c r="H303" s="24"/>
    </row>
    <row r="304" customFormat="false" ht="15" hidden="false" customHeight="false" outlineLevel="0" collapsed="false">
      <c r="A304" s="24"/>
      <c r="B304" s="24"/>
      <c r="C304" s="24"/>
      <c r="D304" s="24"/>
      <c r="E304" s="24"/>
      <c r="F304" s="28" t="str">
        <f aca="false">IF(A304="","",COUNTIF(Trabalhos!$C$2:$C$1001,A304))</f>
        <v/>
      </c>
      <c r="G304" s="26" t="str">
        <f aca="false">IF(A304="","",SUMIFS(Trabalhos!$G$2:$G$1001,Trabalhos!$C$2:$C$1001,A304))</f>
        <v/>
      </c>
      <c r="H304" s="24"/>
    </row>
    <row r="305" customFormat="false" ht="15" hidden="false" customHeight="false" outlineLevel="0" collapsed="false">
      <c r="A305" s="24"/>
      <c r="B305" s="24"/>
      <c r="C305" s="24"/>
      <c r="D305" s="24"/>
      <c r="E305" s="24"/>
      <c r="F305" s="28" t="str">
        <f aca="false">IF(A305="","",COUNTIF(Trabalhos!$C$2:$C$1001,A305))</f>
        <v/>
      </c>
      <c r="G305" s="26" t="str">
        <f aca="false">IF(A305="","",SUMIFS(Trabalhos!$G$2:$G$1001,Trabalhos!$C$2:$C$1001,A305))</f>
        <v/>
      </c>
      <c r="H305" s="24"/>
    </row>
    <row r="306" customFormat="false" ht="15" hidden="false" customHeight="false" outlineLevel="0" collapsed="false">
      <c r="A306" s="24"/>
      <c r="B306" s="24"/>
      <c r="C306" s="24"/>
      <c r="D306" s="24"/>
      <c r="E306" s="24"/>
      <c r="F306" s="28" t="str">
        <f aca="false">IF(A306="","",COUNTIF(Trabalhos!$C$2:$C$1001,A306))</f>
        <v/>
      </c>
      <c r="G306" s="26" t="str">
        <f aca="false">IF(A306="","",SUMIFS(Trabalhos!$G$2:$G$1001,Trabalhos!$C$2:$C$1001,A306))</f>
        <v/>
      </c>
      <c r="H306" s="24"/>
    </row>
    <row r="307" customFormat="false" ht="15" hidden="false" customHeight="false" outlineLevel="0" collapsed="false">
      <c r="A307" s="24"/>
      <c r="B307" s="24"/>
      <c r="C307" s="24"/>
      <c r="D307" s="24"/>
      <c r="E307" s="24"/>
      <c r="F307" s="28" t="str">
        <f aca="false">IF(A307="","",COUNTIF(Trabalhos!$C$2:$C$1001,A307))</f>
        <v/>
      </c>
      <c r="G307" s="26" t="str">
        <f aca="false">IF(A307="","",SUMIFS(Trabalhos!$G$2:$G$1001,Trabalhos!$C$2:$C$1001,A307))</f>
        <v/>
      </c>
      <c r="H307" s="24"/>
    </row>
    <row r="308" customFormat="false" ht="15" hidden="false" customHeight="false" outlineLevel="0" collapsed="false">
      <c r="A308" s="24"/>
      <c r="B308" s="24"/>
      <c r="C308" s="24"/>
      <c r="D308" s="24"/>
      <c r="E308" s="24"/>
      <c r="F308" s="28" t="str">
        <f aca="false">IF(A308="","",COUNTIF(Trabalhos!$C$2:$C$1001,A308))</f>
        <v/>
      </c>
      <c r="G308" s="26" t="str">
        <f aca="false">IF(A308="","",SUMIFS(Trabalhos!$G$2:$G$1001,Trabalhos!$C$2:$C$1001,A308))</f>
        <v/>
      </c>
      <c r="H308" s="24"/>
    </row>
    <row r="309" customFormat="false" ht="15" hidden="false" customHeight="false" outlineLevel="0" collapsed="false">
      <c r="A309" s="24"/>
      <c r="B309" s="24"/>
      <c r="C309" s="24"/>
      <c r="D309" s="24"/>
      <c r="E309" s="24"/>
      <c r="F309" s="28" t="str">
        <f aca="false">IF(A309="","",COUNTIF(Trabalhos!$C$2:$C$1001,A309))</f>
        <v/>
      </c>
      <c r="G309" s="26" t="str">
        <f aca="false">IF(A309="","",SUMIFS(Trabalhos!$G$2:$G$1001,Trabalhos!$C$2:$C$1001,A309))</f>
        <v/>
      </c>
      <c r="H309" s="24"/>
    </row>
    <row r="310" customFormat="false" ht="15" hidden="false" customHeight="false" outlineLevel="0" collapsed="false">
      <c r="A310" s="24"/>
      <c r="B310" s="24"/>
      <c r="C310" s="24"/>
      <c r="D310" s="24"/>
      <c r="E310" s="24"/>
      <c r="F310" s="28" t="str">
        <f aca="false">IF(A310="","",COUNTIF(Trabalhos!$C$2:$C$1001,A310))</f>
        <v/>
      </c>
      <c r="G310" s="26" t="str">
        <f aca="false">IF(A310="","",SUMIFS(Trabalhos!$G$2:$G$1001,Trabalhos!$C$2:$C$1001,A310))</f>
        <v/>
      </c>
      <c r="H310" s="24"/>
    </row>
    <row r="311" customFormat="false" ht="15" hidden="false" customHeight="false" outlineLevel="0" collapsed="false">
      <c r="A311" s="24"/>
      <c r="B311" s="24"/>
      <c r="C311" s="24"/>
      <c r="D311" s="24"/>
      <c r="E311" s="24"/>
      <c r="F311" s="28" t="str">
        <f aca="false">IF(A311="","",COUNTIF(Trabalhos!$C$2:$C$1001,A311))</f>
        <v/>
      </c>
      <c r="G311" s="26" t="str">
        <f aca="false">IF(A311="","",SUMIFS(Trabalhos!$G$2:$G$1001,Trabalhos!$C$2:$C$1001,A311))</f>
        <v/>
      </c>
      <c r="H311" s="24"/>
    </row>
    <row r="312" customFormat="false" ht="15" hidden="false" customHeight="false" outlineLevel="0" collapsed="false">
      <c r="A312" s="24"/>
      <c r="B312" s="24"/>
      <c r="C312" s="24"/>
      <c r="D312" s="24"/>
      <c r="E312" s="24"/>
      <c r="F312" s="28" t="str">
        <f aca="false">IF(A312="","",COUNTIF(Trabalhos!$C$2:$C$1001,A312))</f>
        <v/>
      </c>
      <c r="G312" s="26" t="str">
        <f aca="false">IF(A312="","",SUMIFS(Trabalhos!$G$2:$G$1001,Trabalhos!$C$2:$C$1001,A312))</f>
        <v/>
      </c>
      <c r="H312" s="24"/>
    </row>
    <row r="313" customFormat="false" ht="15" hidden="false" customHeight="false" outlineLevel="0" collapsed="false">
      <c r="A313" s="24"/>
      <c r="B313" s="24"/>
      <c r="C313" s="24"/>
      <c r="D313" s="24"/>
      <c r="E313" s="24"/>
      <c r="F313" s="28" t="str">
        <f aca="false">IF(A313="","",COUNTIF(Trabalhos!$C$2:$C$1001,A313))</f>
        <v/>
      </c>
      <c r="G313" s="26" t="str">
        <f aca="false">IF(A313="","",SUMIFS(Trabalhos!$G$2:$G$1001,Trabalhos!$C$2:$C$1001,A313))</f>
        <v/>
      </c>
      <c r="H313" s="24"/>
    </row>
    <row r="314" customFormat="false" ht="15" hidden="false" customHeight="false" outlineLevel="0" collapsed="false">
      <c r="A314" s="24"/>
      <c r="B314" s="24"/>
      <c r="C314" s="24"/>
      <c r="D314" s="24"/>
      <c r="E314" s="24"/>
      <c r="F314" s="28" t="str">
        <f aca="false">IF(A314="","",COUNTIF(Trabalhos!$C$2:$C$1001,A314))</f>
        <v/>
      </c>
      <c r="G314" s="26" t="str">
        <f aca="false">IF(A314="","",SUMIFS(Trabalhos!$G$2:$G$1001,Trabalhos!$C$2:$C$1001,A314))</f>
        <v/>
      </c>
      <c r="H314" s="24"/>
    </row>
    <row r="315" customFormat="false" ht="15" hidden="false" customHeight="false" outlineLevel="0" collapsed="false">
      <c r="A315" s="24"/>
      <c r="B315" s="24"/>
      <c r="C315" s="24"/>
      <c r="D315" s="24"/>
      <c r="E315" s="24"/>
      <c r="F315" s="28" t="str">
        <f aca="false">IF(A315="","",COUNTIF(Trabalhos!$C$2:$C$1001,A315))</f>
        <v/>
      </c>
      <c r="G315" s="26" t="str">
        <f aca="false">IF(A315="","",SUMIFS(Trabalhos!$G$2:$G$1001,Trabalhos!$C$2:$C$1001,A315))</f>
        <v/>
      </c>
      <c r="H315" s="24"/>
    </row>
    <row r="316" customFormat="false" ht="15" hidden="false" customHeight="false" outlineLevel="0" collapsed="false">
      <c r="A316" s="24"/>
      <c r="B316" s="24"/>
      <c r="C316" s="24"/>
      <c r="D316" s="24"/>
      <c r="E316" s="24"/>
      <c r="F316" s="28" t="str">
        <f aca="false">IF(A316="","",COUNTIF(Trabalhos!$C$2:$C$1001,A316))</f>
        <v/>
      </c>
      <c r="G316" s="26" t="str">
        <f aca="false">IF(A316="","",SUMIFS(Trabalhos!$G$2:$G$1001,Trabalhos!$C$2:$C$1001,A316))</f>
        <v/>
      </c>
      <c r="H316" s="24"/>
    </row>
    <row r="317" customFormat="false" ht="15" hidden="false" customHeight="false" outlineLevel="0" collapsed="false">
      <c r="A317" s="24"/>
      <c r="B317" s="24"/>
      <c r="C317" s="24"/>
      <c r="D317" s="24"/>
      <c r="E317" s="24"/>
      <c r="F317" s="28" t="str">
        <f aca="false">IF(A317="","",COUNTIF(Trabalhos!$C$2:$C$1001,A317))</f>
        <v/>
      </c>
      <c r="G317" s="26" t="str">
        <f aca="false">IF(A317="","",SUMIFS(Trabalhos!$G$2:$G$1001,Trabalhos!$C$2:$C$1001,A317))</f>
        <v/>
      </c>
      <c r="H317" s="24"/>
    </row>
    <row r="318" customFormat="false" ht="15" hidden="false" customHeight="false" outlineLevel="0" collapsed="false">
      <c r="A318" s="24"/>
      <c r="B318" s="24"/>
      <c r="C318" s="24"/>
      <c r="D318" s="24"/>
      <c r="E318" s="24"/>
      <c r="F318" s="28" t="str">
        <f aca="false">IF(A318="","",COUNTIF(Trabalhos!$C$2:$C$1001,A318))</f>
        <v/>
      </c>
      <c r="G318" s="26" t="str">
        <f aca="false">IF(A318="","",SUMIFS(Trabalhos!$G$2:$G$1001,Trabalhos!$C$2:$C$1001,A318))</f>
        <v/>
      </c>
      <c r="H318" s="24"/>
    </row>
    <row r="319" customFormat="false" ht="15" hidden="false" customHeight="false" outlineLevel="0" collapsed="false">
      <c r="A319" s="24"/>
      <c r="B319" s="24"/>
      <c r="C319" s="24"/>
      <c r="D319" s="24"/>
      <c r="E319" s="24"/>
      <c r="F319" s="28" t="str">
        <f aca="false">IF(A319="","",COUNTIF(Trabalhos!$C$2:$C$1001,A319))</f>
        <v/>
      </c>
      <c r="G319" s="26" t="str">
        <f aca="false">IF(A319="","",SUMIFS(Trabalhos!$G$2:$G$1001,Trabalhos!$C$2:$C$1001,A319))</f>
        <v/>
      </c>
      <c r="H319" s="24"/>
    </row>
    <row r="320" customFormat="false" ht="15" hidden="false" customHeight="false" outlineLevel="0" collapsed="false">
      <c r="A320" s="24"/>
      <c r="B320" s="24"/>
      <c r="C320" s="24"/>
      <c r="D320" s="24"/>
      <c r="E320" s="24"/>
      <c r="F320" s="28" t="str">
        <f aca="false">IF(A320="","",COUNTIF(Trabalhos!$C$2:$C$1001,A320))</f>
        <v/>
      </c>
      <c r="G320" s="26" t="str">
        <f aca="false">IF(A320="","",SUMIFS(Trabalhos!$G$2:$G$1001,Trabalhos!$C$2:$C$1001,A320))</f>
        <v/>
      </c>
      <c r="H320" s="24"/>
    </row>
    <row r="321" customFormat="false" ht="15" hidden="false" customHeight="false" outlineLevel="0" collapsed="false">
      <c r="A321" s="24"/>
      <c r="B321" s="24"/>
      <c r="C321" s="24"/>
      <c r="D321" s="24"/>
      <c r="E321" s="24"/>
      <c r="F321" s="28" t="str">
        <f aca="false">IF(A321="","",COUNTIF(Trabalhos!$C$2:$C$1001,A321))</f>
        <v/>
      </c>
      <c r="G321" s="26" t="str">
        <f aca="false">IF(A321="","",SUMIFS(Trabalhos!$G$2:$G$1001,Trabalhos!$C$2:$C$1001,A321))</f>
        <v/>
      </c>
      <c r="H321" s="24"/>
    </row>
    <row r="322" customFormat="false" ht="15" hidden="false" customHeight="false" outlineLevel="0" collapsed="false">
      <c r="A322" s="24"/>
      <c r="B322" s="24"/>
      <c r="C322" s="24"/>
      <c r="D322" s="24"/>
      <c r="E322" s="24"/>
      <c r="F322" s="28" t="str">
        <f aca="false">IF(A322="","",COUNTIF(Trabalhos!$C$2:$C$1001,A322))</f>
        <v/>
      </c>
      <c r="G322" s="26" t="str">
        <f aca="false">IF(A322="","",SUMIFS(Trabalhos!$G$2:$G$1001,Trabalhos!$C$2:$C$1001,A322))</f>
        <v/>
      </c>
      <c r="H322" s="24"/>
    </row>
    <row r="323" customFormat="false" ht="15" hidden="false" customHeight="false" outlineLevel="0" collapsed="false">
      <c r="A323" s="24"/>
      <c r="B323" s="24"/>
      <c r="C323" s="24"/>
      <c r="D323" s="24"/>
      <c r="E323" s="24"/>
      <c r="F323" s="28" t="str">
        <f aca="false">IF(A323="","",COUNTIF(Trabalhos!$C$2:$C$1001,A323))</f>
        <v/>
      </c>
      <c r="G323" s="26" t="str">
        <f aca="false">IF(A323="","",SUMIFS(Trabalhos!$G$2:$G$1001,Trabalhos!$C$2:$C$1001,A323))</f>
        <v/>
      </c>
      <c r="H323" s="24"/>
    </row>
    <row r="324" customFormat="false" ht="15" hidden="false" customHeight="false" outlineLevel="0" collapsed="false">
      <c r="A324" s="24"/>
      <c r="B324" s="24"/>
      <c r="C324" s="24"/>
      <c r="D324" s="24"/>
      <c r="E324" s="24"/>
      <c r="F324" s="28" t="str">
        <f aca="false">IF(A324="","",COUNTIF(Trabalhos!$C$2:$C$1001,A324))</f>
        <v/>
      </c>
      <c r="G324" s="26" t="str">
        <f aca="false">IF(A324="","",SUMIFS(Trabalhos!$G$2:$G$1001,Trabalhos!$C$2:$C$1001,A324))</f>
        <v/>
      </c>
      <c r="H324" s="24"/>
    </row>
    <row r="325" customFormat="false" ht="15" hidden="false" customHeight="false" outlineLevel="0" collapsed="false">
      <c r="A325" s="24"/>
      <c r="B325" s="24"/>
      <c r="C325" s="24"/>
      <c r="D325" s="24"/>
      <c r="E325" s="24"/>
      <c r="F325" s="28" t="str">
        <f aca="false">IF(A325="","",COUNTIF(Trabalhos!$C$2:$C$1001,A325))</f>
        <v/>
      </c>
      <c r="G325" s="26" t="str">
        <f aca="false">IF(A325="","",SUMIFS(Trabalhos!$G$2:$G$1001,Trabalhos!$C$2:$C$1001,A325))</f>
        <v/>
      </c>
      <c r="H325" s="24"/>
    </row>
    <row r="326" customFormat="false" ht="15" hidden="false" customHeight="false" outlineLevel="0" collapsed="false">
      <c r="A326" s="24"/>
      <c r="B326" s="24"/>
      <c r="C326" s="24"/>
      <c r="D326" s="24"/>
      <c r="E326" s="24"/>
      <c r="F326" s="28" t="str">
        <f aca="false">IF(A326="","",COUNTIF(Trabalhos!$C$2:$C$1001,A326))</f>
        <v/>
      </c>
      <c r="G326" s="26" t="str">
        <f aca="false">IF(A326="","",SUMIFS(Trabalhos!$G$2:$G$1001,Trabalhos!$C$2:$C$1001,A326))</f>
        <v/>
      </c>
      <c r="H326" s="24"/>
    </row>
    <row r="327" customFormat="false" ht="15" hidden="false" customHeight="false" outlineLevel="0" collapsed="false">
      <c r="A327" s="24"/>
      <c r="B327" s="24"/>
      <c r="C327" s="24"/>
      <c r="D327" s="24"/>
      <c r="E327" s="24"/>
      <c r="F327" s="28" t="str">
        <f aca="false">IF(A327="","",COUNTIF(Trabalhos!$C$2:$C$1001,A327))</f>
        <v/>
      </c>
      <c r="G327" s="26" t="str">
        <f aca="false">IF(A327="","",SUMIFS(Trabalhos!$G$2:$G$1001,Trabalhos!$C$2:$C$1001,A327))</f>
        <v/>
      </c>
      <c r="H327" s="24"/>
    </row>
    <row r="328" customFormat="false" ht="15" hidden="false" customHeight="false" outlineLevel="0" collapsed="false">
      <c r="A328" s="24"/>
      <c r="B328" s="24"/>
      <c r="C328" s="24"/>
      <c r="D328" s="24"/>
      <c r="E328" s="24"/>
      <c r="F328" s="28" t="str">
        <f aca="false">IF(A328="","",COUNTIF(Trabalhos!$C$2:$C$1001,A328))</f>
        <v/>
      </c>
      <c r="G328" s="26" t="str">
        <f aca="false">IF(A328="","",SUMIFS(Trabalhos!$G$2:$G$1001,Trabalhos!$C$2:$C$1001,A328))</f>
        <v/>
      </c>
      <c r="H328" s="24"/>
    </row>
    <row r="329" customFormat="false" ht="15" hidden="false" customHeight="false" outlineLevel="0" collapsed="false">
      <c r="A329" s="24"/>
      <c r="B329" s="24"/>
      <c r="C329" s="24"/>
      <c r="D329" s="24"/>
      <c r="E329" s="24"/>
      <c r="F329" s="28" t="str">
        <f aca="false">IF(A329="","",COUNTIF(Trabalhos!$C$2:$C$1001,A329))</f>
        <v/>
      </c>
      <c r="G329" s="26" t="str">
        <f aca="false">IF(A329="","",SUMIFS(Trabalhos!$G$2:$G$1001,Trabalhos!$C$2:$C$1001,A329))</f>
        <v/>
      </c>
      <c r="H329" s="24"/>
    </row>
    <row r="330" customFormat="false" ht="15" hidden="false" customHeight="false" outlineLevel="0" collapsed="false">
      <c r="A330" s="24"/>
      <c r="B330" s="24"/>
      <c r="C330" s="24"/>
      <c r="D330" s="24"/>
      <c r="E330" s="24"/>
      <c r="F330" s="28" t="str">
        <f aca="false">IF(A330="","",COUNTIF(Trabalhos!$C$2:$C$1001,A330))</f>
        <v/>
      </c>
      <c r="G330" s="26" t="str">
        <f aca="false">IF(A330="","",SUMIFS(Trabalhos!$G$2:$G$1001,Trabalhos!$C$2:$C$1001,A330))</f>
        <v/>
      </c>
      <c r="H330" s="24"/>
    </row>
    <row r="331" customFormat="false" ht="15" hidden="false" customHeight="false" outlineLevel="0" collapsed="false">
      <c r="A331" s="24"/>
      <c r="B331" s="24"/>
      <c r="C331" s="24"/>
      <c r="D331" s="24"/>
      <c r="E331" s="24"/>
      <c r="F331" s="28" t="str">
        <f aca="false">IF(A331="","",COUNTIF(Trabalhos!$C$2:$C$1001,A331))</f>
        <v/>
      </c>
      <c r="G331" s="26" t="str">
        <f aca="false">IF(A331="","",SUMIFS(Trabalhos!$G$2:$G$1001,Trabalhos!$C$2:$C$1001,A331))</f>
        <v/>
      </c>
      <c r="H331" s="24"/>
    </row>
    <row r="332" customFormat="false" ht="15" hidden="false" customHeight="false" outlineLevel="0" collapsed="false">
      <c r="A332" s="24"/>
      <c r="B332" s="24"/>
      <c r="C332" s="24"/>
      <c r="D332" s="24"/>
      <c r="E332" s="24"/>
      <c r="F332" s="28" t="str">
        <f aca="false">IF(A332="","",COUNTIF(Trabalhos!$C$2:$C$1001,A332))</f>
        <v/>
      </c>
      <c r="G332" s="26" t="str">
        <f aca="false">IF(A332="","",SUMIFS(Trabalhos!$G$2:$G$1001,Trabalhos!$C$2:$C$1001,A332))</f>
        <v/>
      </c>
      <c r="H332" s="24"/>
    </row>
    <row r="333" customFormat="false" ht="15" hidden="false" customHeight="false" outlineLevel="0" collapsed="false">
      <c r="A333" s="24"/>
      <c r="B333" s="24"/>
      <c r="C333" s="24"/>
      <c r="D333" s="24"/>
      <c r="E333" s="24"/>
      <c r="F333" s="28" t="str">
        <f aca="false">IF(A333="","",COUNTIF(Trabalhos!$C$2:$C$1001,A333))</f>
        <v/>
      </c>
      <c r="G333" s="26" t="str">
        <f aca="false">IF(A333="","",SUMIFS(Trabalhos!$G$2:$G$1001,Trabalhos!$C$2:$C$1001,A333))</f>
        <v/>
      </c>
      <c r="H333" s="24"/>
    </row>
    <row r="334" customFormat="false" ht="15" hidden="false" customHeight="false" outlineLevel="0" collapsed="false">
      <c r="A334" s="24"/>
      <c r="B334" s="24"/>
      <c r="C334" s="24"/>
      <c r="D334" s="24"/>
      <c r="E334" s="24"/>
      <c r="F334" s="28" t="str">
        <f aca="false">IF(A334="","",COUNTIF(Trabalhos!$C$2:$C$1001,A334))</f>
        <v/>
      </c>
      <c r="G334" s="26" t="str">
        <f aca="false">IF(A334="","",SUMIFS(Trabalhos!$G$2:$G$1001,Trabalhos!$C$2:$C$1001,A334))</f>
        <v/>
      </c>
      <c r="H334" s="24"/>
    </row>
    <row r="335" customFormat="false" ht="15" hidden="false" customHeight="false" outlineLevel="0" collapsed="false">
      <c r="A335" s="24"/>
      <c r="B335" s="24"/>
      <c r="C335" s="24"/>
      <c r="D335" s="24"/>
      <c r="E335" s="24"/>
      <c r="F335" s="28" t="str">
        <f aca="false">IF(A335="","",COUNTIF(Trabalhos!$C$2:$C$1001,A335))</f>
        <v/>
      </c>
      <c r="G335" s="26" t="str">
        <f aca="false">IF(A335="","",SUMIFS(Trabalhos!$G$2:$G$1001,Trabalhos!$C$2:$C$1001,A335))</f>
        <v/>
      </c>
      <c r="H335" s="24"/>
    </row>
    <row r="336" customFormat="false" ht="15" hidden="false" customHeight="false" outlineLevel="0" collapsed="false">
      <c r="A336" s="24"/>
      <c r="B336" s="24"/>
      <c r="C336" s="24"/>
      <c r="D336" s="24"/>
      <c r="E336" s="24"/>
      <c r="F336" s="28" t="str">
        <f aca="false">IF(A336="","",COUNTIF(Trabalhos!$C$2:$C$1001,A336))</f>
        <v/>
      </c>
      <c r="G336" s="26" t="str">
        <f aca="false">IF(A336="","",SUMIFS(Trabalhos!$G$2:$G$1001,Trabalhos!$C$2:$C$1001,A336))</f>
        <v/>
      </c>
      <c r="H336" s="24"/>
    </row>
    <row r="337" customFormat="false" ht="15" hidden="false" customHeight="false" outlineLevel="0" collapsed="false">
      <c r="A337" s="24"/>
      <c r="B337" s="24"/>
      <c r="C337" s="24"/>
      <c r="D337" s="24"/>
      <c r="E337" s="24"/>
      <c r="F337" s="28" t="str">
        <f aca="false">IF(A337="","",COUNTIF(Trabalhos!$C$2:$C$1001,A337))</f>
        <v/>
      </c>
      <c r="G337" s="26" t="str">
        <f aca="false">IF(A337="","",SUMIFS(Trabalhos!$G$2:$G$1001,Trabalhos!$C$2:$C$1001,A337))</f>
        <v/>
      </c>
      <c r="H337" s="24"/>
    </row>
    <row r="338" customFormat="false" ht="15" hidden="false" customHeight="false" outlineLevel="0" collapsed="false">
      <c r="A338" s="24"/>
      <c r="B338" s="24"/>
      <c r="C338" s="24"/>
      <c r="D338" s="24"/>
      <c r="E338" s="24"/>
      <c r="F338" s="28" t="str">
        <f aca="false">IF(A338="","",COUNTIF(Trabalhos!$C$2:$C$1001,A338))</f>
        <v/>
      </c>
      <c r="G338" s="26" t="str">
        <f aca="false">IF(A338="","",SUMIFS(Trabalhos!$G$2:$G$1001,Trabalhos!$C$2:$C$1001,A338))</f>
        <v/>
      </c>
      <c r="H338" s="24"/>
    </row>
    <row r="339" customFormat="false" ht="15" hidden="false" customHeight="false" outlineLevel="0" collapsed="false">
      <c r="A339" s="24"/>
      <c r="B339" s="24"/>
      <c r="C339" s="24"/>
      <c r="D339" s="24"/>
      <c r="E339" s="24"/>
      <c r="F339" s="28" t="str">
        <f aca="false">IF(A339="","",COUNTIF(Trabalhos!$C$2:$C$1001,A339))</f>
        <v/>
      </c>
      <c r="G339" s="26" t="str">
        <f aca="false">IF(A339="","",SUMIFS(Trabalhos!$G$2:$G$1001,Trabalhos!$C$2:$C$1001,A339))</f>
        <v/>
      </c>
      <c r="H339" s="24"/>
    </row>
    <row r="340" customFormat="false" ht="15" hidden="false" customHeight="false" outlineLevel="0" collapsed="false">
      <c r="A340" s="24"/>
      <c r="B340" s="24"/>
      <c r="C340" s="24"/>
      <c r="D340" s="24"/>
      <c r="E340" s="24"/>
      <c r="F340" s="28" t="str">
        <f aca="false">IF(A340="","",COUNTIF(Trabalhos!$C$2:$C$1001,A340))</f>
        <v/>
      </c>
      <c r="G340" s="26" t="str">
        <f aca="false">IF(A340="","",SUMIFS(Trabalhos!$G$2:$G$1001,Trabalhos!$C$2:$C$1001,A340))</f>
        <v/>
      </c>
      <c r="H340" s="24"/>
    </row>
    <row r="341" customFormat="false" ht="15" hidden="false" customHeight="false" outlineLevel="0" collapsed="false">
      <c r="A341" s="24"/>
      <c r="B341" s="24"/>
      <c r="C341" s="24"/>
      <c r="D341" s="24"/>
      <c r="E341" s="24"/>
      <c r="F341" s="28" t="str">
        <f aca="false">IF(A341="","",COUNTIF(Trabalhos!$C$2:$C$1001,A341))</f>
        <v/>
      </c>
      <c r="G341" s="26" t="str">
        <f aca="false">IF(A341="","",SUMIFS(Trabalhos!$G$2:$G$1001,Trabalhos!$C$2:$C$1001,A341))</f>
        <v/>
      </c>
      <c r="H341" s="24"/>
    </row>
    <row r="342" customFormat="false" ht="15" hidden="false" customHeight="false" outlineLevel="0" collapsed="false">
      <c r="A342" s="24"/>
      <c r="B342" s="24"/>
      <c r="C342" s="24"/>
      <c r="D342" s="24"/>
      <c r="E342" s="24"/>
      <c r="F342" s="28" t="str">
        <f aca="false">IF(A342="","",COUNTIF(Trabalhos!$C$2:$C$1001,A342))</f>
        <v/>
      </c>
      <c r="G342" s="26" t="str">
        <f aca="false">IF(A342="","",SUMIFS(Trabalhos!$G$2:$G$1001,Trabalhos!$C$2:$C$1001,A342))</f>
        <v/>
      </c>
      <c r="H342" s="24"/>
    </row>
    <row r="343" customFormat="false" ht="15" hidden="false" customHeight="false" outlineLevel="0" collapsed="false">
      <c r="A343" s="24"/>
      <c r="B343" s="24"/>
      <c r="C343" s="24"/>
      <c r="D343" s="24"/>
      <c r="E343" s="24"/>
      <c r="F343" s="28" t="str">
        <f aca="false">IF(A343="","",COUNTIF(Trabalhos!$C$2:$C$1001,A343))</f>
        <v/>
      </c>
      <c r="G343" s="26" t="str">
        <f aca="false">IF(A343="","",SUMIFS(Trabalhos!$G$2:$G$1001,Trabalhos!$C$2:$C$1001,A343))</f>
        <v/>
      </c>
      <c r="H343" s="24"/>
    </row>
    <row r="344" customFormat="false" ht="15" hidden="false" customHeight="false" outlineLevel="0" collapsed="false">
      <c r="A344" s="24"/>
      <c r="B344" s="24"/>
      <c r="C344" s="24"/>
      <c r="D344" s="24"/>
      <c r="E344" s="24"/>
      <c r="F344" s="28" t="str">
        <f aca="false">IF(A344="","",COUNTIF(Trabalhos!$C$2:$C$1001,A344))</f>
        <v/>
      </c>
      <c r="G344" s="26" t="str">
        <f aca="false">IF(A344="","",SUMIFS(Trabalhos!$G$2:$G$1001,Trabalhos!$C$2:$C$1001,A344))</f>
        <v/>
      </c>
      <c r="H344" s="24"/>
    </row>
    <row r="345" customFormat="false" ht="15" hidden="false" customHeight="false" outlineLevel="0" collapsed="false">
      <c r="A345" s="24"/>
      <c r="B345" s="24"/>
      <c r="C345" s="24"/>
      <c r="D345" s="24"/>
      <c r="E345" s="24"/>
      <c r="F345" s="28" t="str">
        <f aca="false">IF(A345="","",COUNTIF(Trabalhos!$C$2:$C$1001,A345))</f>
        <v/>
      </c>
      <c r="G345" s="26" t="str">
        <f aca="false">IF(A345="","",SUMIFS(Trabalhos!$G$2:$G$1001,Trabalhos!$C$2:$C$1001,A345))</f>
        <v/>
      </c>
      <c r="H345" s="24"/>
    </row>
    <row r="346" customFormat="false" ht="15" hidden="false" customHeight="false" outlineLevel="0" collapsed="false">
      <c r="A346" s="24"/>
      <c r="B346" s="24"/>
      <c r="C346" s="24"/>
      <c r="D346" s="24"/>
      <c r="E346" s="24"/>
      <c r="F346" s="28" t="str">
        <f aca="false">IF(A346="","",COUNTIF(Trabalhos!$C$2:$C$1001,A346))</f>
        <v/>
      </c>
      <c r="G346" s="26" t="str">
        <f aca="false">IF(A346="","",SUMIFS(Trabalhos!$G$2:$G$1001,Trabalhos!$C$2:$C$1001,A346))</f>
        <v/>
      </c>
      <c r="H346" s="24"/>
    </row>
    <row r="347" customFormat="false" ht="15" hidden="false" customHeight="false" outlineLevel="0" collapsed="false">
      <c r="A347" s="24"/>
      <c r="B347" s="24"/>
      <c r="C347" s="24"/>
      <c r="D347" s="24"/>
      <c r="E347" s="24"/>
      <c r="F347" s="28" t="str">
        <f aca="false">IF(A347="","",COUNTIF(Trabalhos!$C$2:$C$1001,A347))</f>
        <v/>
      </c>
      <c r="G347" s="26" t="str">
        <f aca="false">IF(A347="","",SUMIFS(Trabalhos!$G$2:$G$1001,Trabalhos!$C$2:$C$1001,A347))</f>
        <v/>
      </c>
      <c r="H347" s="24"/>
    </row>
    <row r="348" customFormat="false" ht="15" hidden="false" customHeight="false" outlineLevel="0" collapsed="false">
      <c r="A348" s="24"/>
      <c r="B348" s="24"/>
      <c r="C348" s="24"/>
      <c r="D348" s="24"/>
      <c r="E348" s="24"/>
      <c r="F348" s="28" t="str">
        <f aca="false">IF(A348="","",COUNTIF(Trabalhos!$C$2:$C$1001,A348))</f>
        <v/>
      </c>
      <c r="G348" s="26" t="str">
        <f aca="false">IF(A348="","",SUMIFS(Trabalhos!$G$2:$G$1001,Trabalhos!$C$2:$C$1001,A348))</f>
        <v/>
      </c>
      <c r="H348" s="24"/>
    </row>
    <row r="349" customFormat="false" ht="15" hidden="false" customHeight="false" outlineLevel="0" collapsed="false">
      <c r="A349" s="24"/>
      <c r="B349" s="24"/>
      <c r="C349" s="24"/>
      <c r="D349" s="24"/>
      <c r="E349" s="24"/>
      <c r="F349" s="28" t="str">
        <f aca="false">IF(A349="","",COUNTIF(Trabalhos!$C$2:$C$1001,A349))</f>
        <v/>
      </c>
      <c r="G349" s="26" t="str">
        <f aca="false">IF(A349="","",SUMIFS(Trabalhos!$G$2:$G$1001,Trabalhos!$C$2:$C$1001,A349))</f>
        <v/>
      </c>
      <c r="H349" s="24"/>
    </row>
    <row r="350" customFormat="false" ht="15" hidden="false" customHeight="false" outlineLevel="0" collapsed="false">
      <c r="A350" s="24"/>
      <c r="B350" s="24"/>
      <c r="C350" s="24"/>
      <c r="D350" s="24"/>
      <c r="E350" s="24"/>
      <c r="F350" s="28" t="str">
        <f aca="false">IF(A350="","",COUNTIF(Trabalhos!$C$2:$C$1001,A350))</f>
        <v/>
      </c>
      <c r="G350" s="26" t="str">
        <f aca="false">IF(A350="","",SUMIFS(Trabalhos!$G$2:$G$1001,Trabalhos!$C$2:$C$1001,A350))</f>
        <v/>
      </c>
      <c r="H350" s="24"/>
    </row>
    <row r="351" customFormat="false" ht="15" hidden="false" customHeight="false" outlineLevel="0" collapsed="false">
      <c r="A351" s="24"/>
      <c r="B351" s="24"/>
      <c r="C351" s="24"/>
      <c r="D351" s="24"/>
      <c r="E351" s="24"/>
      <c r="F351" s="28" t="str">
        <f aca="false">IF(A351="","",COUNTIF(Trabalhos!$C$2:$C$1001,A351))</f>
        <v/>
      </c>
      <c r="G351" s="26" t="str">
        <f aca="false">IF(A351="","",SUMIFS(Trabalhos!$G$2:$G$1001,Trabalhos!$C$2:$C$1001,A351))</f>
        <v/>
      </c>
      <c r="H351" s="24"/>
    </row>
    <row r="352" customFormat="false" ht="15" hidden="false" customHeight="false" outlineLevel="0" collapsed="false">
      <c r="A352" s="24"/>
      <c r="B352" s="24"/>
      <c r="C352" s="24"/>
      <c r="D352" s="24"/>
      <c r="E352" s="24"/>
      <c r="F352" s="28" t="str">
        <f aca="false">IF(A352="","",COUNTIF(Trabalhos!$C$2:$C$1001,A352))</f>
        <v/>
      </c>
      <c r="G352" s="26" t="str">
        <f aca="false">IF(A352="","",SUMIFS(Trabalhos!$G$2:$G$1001,Trabalhos!$C$2:$C$1001,A352))</f>
        <v/>
      </c>
      <c r="H352" s="24"/>
    </row>
    <row r="353" customFormat="false" ht="15" hidden="false" customHeight="false" outlineLevel="0" collapsed="false">
      <c r="A353" s="24"/>
      <c r="B353" s="24"/>
      <c r="C353" s="24"/>
      <c r="D353" s="24"/>
      <c r="E353" s="24"/>
      <c r="F353" s="28" t="str">
        <f aca="false">IF(A353="","",COUNTIF(Trabalhos!$C$2:$C$1001,A353))</f>
        <v/>
      </c>
      <c r="G353" s="26" t="str">
        <f aca="false">IF(A353="","",SUMIFS(Trabalhos!$G$2:$G$1001,Trabalhos!$C$2:$C$1001,A353))</f>
        <v/>
      </c>
      <c r="H353" s="24"/>
    </row>
    <row r="354" customFormat="false" ht="15" hidden="false" customHeight="false" outlineLevel="0" collapsed="false">
      <c r="A354" s="24"/>
      <c r="B354" s="24"/>
      <c r="C354" s="24"/>
      <c r="D354" s="24"/>
      <c r="E354" s="24"/>
      <c r="F354" s="28" t="str">
        <f aca="false">IF(A354="","",COUNTIF(Trabalhos!$C$2:$C$1001,A354))</f>
        <v/>
      </c>
      <c r="G354" s="26" t="str">
        <f aca="false">IF(A354="","",SUMIFS(Trabalhos!$G$2:$G$1001,Trabalhos!$C$2:$C$1001,A354))</f>
        <v/>
      </c>
      <c r="H354" s="24"/>
    </row>
    <row r="355" customFormat="false" ht="15" hidden="false" customHeight="false" outlineLevel="0" collapsed="false">
      <c r="A355" s="24"/>
      <c r="B355" s="24"/>
      <c r="C355" s="24"/>
      <c r="D355" s="24"/>
      <c r="E355" s="24"/>
      <c r="F355" s="28" t="str">
        <f aca="false">IF(A355="","",COUNTIF(Trabalhos!$C$2:$C$1001,A355))</f>
        <v/>
      </c>
      <c r="G355" s="26" t="str">
        <f aca="false">IF(A355="","",SUMIFS(Trabalhos!$G$2:$G$1001,Trabalhos!$C$2:$C$1001,A355))</f>
        <v/>
      </c>
      <c r="H355" s="24"/>
    </row>
    <row r="356" customFormat="false" ht="15" hidden="false" customHeight="false" outlineLevel="0" collapsed="false">
      <c r="A356" s="24"/>
      <c r="B356" s="24"/>
      <c r="C356" s="24"/>
      <c r="D356" s="24"/>
      <c r="E356" s="24"/>
      <c r="F356" s="28" t="str">
        <f aca="false">IF(A356="","",COUNTIF(Trabalhos!$C$2:$C$1001,A356))</f>
        <v/>
      </c>
      <c r="G356" s="26" t="str">
        <f aca="false">IF(A356="","",SUMIFS(Trabalhos!$G$2:$G$1001,Trabalhos!$C$2:$C$1001,A356))</f>
        <v/>
      </c>
      <c r="H356" s="24"/>
    </row>
    <row r="357" customFormat="false" ht="15" hidden="false" customHeight="false" outlineLevel="0" collapsed="false">
      <c r="A357" s="24"/>
      <c r="B357" s="24"/>
      <c r="C357" s="24"/>
      <c r="D357" s="24"/>
      <c r="E357" s="24"/>
      <c r="F357" s="28" t="str">
        <f aca="false">IF(A357="","",COUNTIF(Trabalhos!$C$2:$C$1001,A357))</f>
        <v/>
      </c>
      <c r="G357" s="26" t="str">
        <f aca="false">IF(A357="","",SUMIFS(Trabalhos!$G$2:$G$1001,Trabalhos!$C$2:$C$1001,A357))</f>
        <v/>
      </c>
      <c r="H357" s="24"/>
    </row>
    <row r="358" customFormat="false" ht="15" hidden="false" customHeight="false" outlineLevel="0" collapsed="false">
      <c r="A358" s="24"/>
      <c r="B358" s="24"/>
      <c r="C358" s="24"/>
      <c r="D358" s="24"/>
      <c r="E358" s="24"/>
      <c r="F358" s="28" t="str">
        <f aca="false">IF(A358="","",COUNTIF(Trabalhos!$C$2:$C$1001,A358))</f>
        <v/>
      </c>
      <c r="G358" s="26" t="str">
        <f aca="false">IF(A358="","",SUMIFS(Trabalhos!$G$2:$G$1001,Trabalhos!$C$2:$C$1001,A358))</f>
        <v/>
      </c>
      <c r="H358" s="24"/>
    </row>
    <row r="359" customFormat="false" ht="15" hidden="false" customHeight="false" outlineLevel="0" collapsed="false">
      <c r="A359" s="24"/>
      <c r="B359" s="24"/>
      <c r="C359" s="24"/>
      <c r="D359" s="24"/>
      <c r="E359" s="24"/>
      <c r="F359" s="28" t="str">
        <f aca="false">IF(A359="","",COUNTIF(Trabalhos!$C$2:$C$1001,A359))</f>
        <v/>
      </c>
      <c r="G359" s="26" t="str">
        <f aca="false">IF(A359="","",SUMIFS(Trabalhos!$G$2:$G$1001,Trabalhos!$C$2:$C$1001,A359))</f>
        <v/>
      </c>
      <c r="H359" s="24"/>
    </row>
    <row r="360" customFormat="false" ht="15" hidden="false" customHeight="false" outlineLevel="0" collapsed="false">
      <c r="A360" s="24"/>
      <c r="B360" s="24"/>
      <c r="C360" s="24"/>
      <c r="D360" s="24"/>
      <c r="E360" s="24"/>
      <c r="F360" s="28" t="str">
        <f aca="false">IF(A360="","",COUNTIF(Trabalhos!$C$2:$C$1001,A360))</f>
        <v/>
      </c>
      <c r="G360" s="26" t="str">
        <f aca="false">IF(A360="","",SUMIFS(Trabalhos!$G$2:$G$1001,Trabalhos!$C$2:$C$1001,A360))</f>
        <v/>
      </c>
      <c r="H360" s="24"/>
    </row>
    <row r="361" customFormat="false" ht="15" hidden="false" customHeight="false" outlineLevel="0" collapsed="false">
      <c r="A361" s="24"/>
      <c r="B361" s="24"/>
      <c r="C361" s="24"/>
      <c r="D361" s="24"/>
      <c r="E361" s="24"/>
      <c r="F361" s="28" t="str">
        <f aca="false">IF(A361="","",COUNTIF(Trabalhos!$C$2:$C$1001,A361))</f>
        <v/>
      </c>
      <c r="G361" s="26" t="str">
        <f aca="false">IF(A361="","",SUMIFS(Trabalhos!$G$2:$G$1001,Trabalhos!$C$2:$C$1001,A361))</f>
        <v/>
      </c>
      <c r="H361" s="24"/>
    </row>
    <row r="362" customFormat="false" ht="15" hidden="false" customHeight="false" outlineLevel="0" collapsed="false">
      <c r="A362" s="24"/>
      <c r="B362" s="24"/>
      <c r="C362" s="24"/>
      <c r="D362" s="24"/>
      <c r="E362" s="24"/>
      <c r="F362" s="28" t="str">
        <f aca="false">IF(A362="","",COUNTIF(Trabalhos!$C$2:$C$1001,A362))</f>
        <v/>
      </c>
      <c r="G362" s="26" t="str">
        <f aca="false">IF(A362="","",SUMIFS(Trabalhos!$G$2:$G$1001,Trabalhos!$C$2:$C$1001,A362))</f>
        <v/>
      </c>
      <c r="H362" s="24"/>
    </row>
    <row r="363" customFormat="false" ht="15" hidden="false" customHeight="false" outlineLevel="0" collapsed="false">
      <c r="A363" s="24"/>
      <c r="B363" s="24"/>
      <c r="C363" s="24"/>
      <c r="D363" s="24"/>
      <c r="E363" s="24"/>
      <c r="F363" s="28" t="str">
        <f aca="false">IF(A363="","",COUNTIF(Trabalhos!$C$2:$C$1001,A363))</f>
        <v/>
      </c>
      <c r="G363" s="26" t="str">
        <f aca="false">IF(A363="","",SUMIFS(Trabalhos!$G$2:$G$1001,Trabalhos!$C$2:$C$1001,A363))</f>
        <v/>
      </c>
      <c r="H363" s="24"/>
    </row>
    <row r="364" customFormat="false" ht="15" hidden="false" customHeight="false" outlineLevel="0" collapsed="false">
      <c r="A364" s="24"/>
      <c r="B364" s="24"/>
      <c r="C364" s="24"/>
      <c r="D364" s="24"/>
      <c r="E364" s="24"/>
      <c r="F364" s="28" t="str">
        <f aca="false">IF(A364="","",COUNTIF(Trabalhos!$C$2:$C$1001,A364))</f>
        <v/>
      </c>
      <c r="G364" s="26" t="str">
        <f aca="false">IF(A364="","",SUMIFS(Trabalhos!$G$2:$G$1001,Trabalhos!$C$2:$C$1001,A364))</f>
        <v/>
      </c>
      <c r="H364" s="24"/>
    </row>
    <row r="365" customFormat="false" ht="15" hidden="false" customHeight="false" outlineLevel="0" collapsed="false">
      <c r="A365" s="24"/>
      <c r="B365" s="24"/>
      <c r="C365" s="24"/>
      <c r="D365" s="24"/>
      <c r="E365" s="24"/>
      <c r="F365" s="28" t="str">
        <f aca="false">IF(A365="","",COUNTIF(Trabalhos!$C$2:$C$1001,A365))</f>
        <v/>
      </c>
      <c r="G365" s="26" t="str">
        <f aca="false">IF(A365="","",SUMIFS(Trabalhos!$G$2:$G$1001,Trabalhos!$C$2:$C$1001,A365))</f>
        <v/>
      </c>
      <c r="H365" s="24"/>
    </row>
    <row r="366" customFormat="false" ht="15" hidden="false" customHeight="false" outlineLevel="0" collapsed="false">
      <c r="A366" s="24"/>
      <c r="B366" s="24"/>
      <c r="C366" s="24"/>
      <c r="D366" s="24"/>
      <c r="E366" s="24"/>
      <c r="F366" s="28" t="str">
        <f aca="false">IF(A366="","",COUNTIF(Trabalhos!$C$2:$C$1001,A366))</f>
        <v/>
      </c>
      <c r="G366" s="26" t="str">
        <f aca="false">IF(A366="","",SUMIFS(Trabalhos!$G$2:$G$1001,Trabalhos!$C$2:$C$1001,A366))</f>
        <v/>
      </c>
      <c r="H366" s="24"/>
    </row>
    <row r="367" customFormat="false" ht="15" hidden="false" customHeight="false" outlineLevel="0" collapsed="false">
      <c r="A367" s="24"/>
      <c r="B367" s="24"/>
      <c r="C367" s="24"/>
      <c r="D367" s="24"/>
      <c r="E367" s="24"/>
      <c r="F367" s="28" t="str">
        <f aca="false">IF(A367="","",COUNTIF(Trabalhos!$C$2:$C$1001,A367))</f>
        <v/>
      </c>
      <c r="G367" s="26" t="str">
        <f aca="false">IF(A367="","",SUMIFS(Trabalhos!$G$2:$G$1001,Trabalhos!$C$2:$C$1001,A367))</f>
        <v/>
      </c>
      <c r="H367" s="24"/>
    </row>
    <row r="368" customFormat="false" ht="15" hidden="false" customHeight="false" outlineLevel="0" collapsed="false">
      <c r="A368" s="24"/>
      <c r="B368" s="24"/>
      <c r="C368" s="24"/>
      <c r="D368" s="24"/>
      <c r="E368" s="24"/>
      <c r="F368" s="28" t="str">
        <f aca="false">IF(A368="","",COUNTIF(Trabalhos!$C$2:$C$1001,A368))</f>
        <v/>
      </c>
      <c r="G368" s="26" t="str">
        <f aca="false">IF(A368="","",SUMIFS(Trabalhos!$G$2:$G$1001,Trabalhos!$C$2:$C$1001,A368))</f>
        <v/>
      </c>
      <c r="H368" s="24"/>
    </row>
    <row r="369" customFormat="false" ht="15" hidden="false" customHeight="false" outlineLevel="0" collapsed="false">
      <c r="A369" s="24"/>
      <c r="B369" s="24"/>
      <c r="C369" s="24"/>
      <c r="D369" s="24"/>
      <c r="E369" s="24"/>
      <c r="F369" s="28" t="str">
        <f aca="false">IF(A369="","",COUNTIF(Trabalhos!$C$2:$C$1001,A369))</f>
        <v/>
      </c>
      <c r="G369" s="26" t="str">
        <f aca="false">IF(A369="","",SUMIFS(Trabalhos!$G$2:$G$1001,Trabalhos!$C$2:$C$1001,A369))</f>
        <v/>
      </c>
      <c r="H369" s="24"/>
    </row>
    <row r="370" customFormat="false" ht="15" hidden="false" customHeight="false" outlineLevel="0" collapsed="false">
      <c r="A370" s="24"/>
      <c r="B370" s="24"/>
      <c r="C370" s="24"/>
      <c r="D370" s="24"/>
      <c r="E370" s="24"/>
      <c r="F370" s="28" t="str">
        <f aca="false">IF(A370="","",COUNTIF(Trabalhos!$C$2:$C$1001,A370))</f>
        <v/>
      </c>
      <c r="G370" s="26" t="str">
        <f aca="false">IF(A370="","",SUMIFS(Trabalhos!$G$2:$G$1001,Trabalhos!$C$2:$C$1001,A370))</f>
        <v/>
      </c>
      <c r="H370" s="24"/>
    </row>
    <row r="371" customFormat="false" ht="15" hidden="false" customHeight="false" outlineLevel="0" collapsed="false">
      <c r="A371" s="24"/>
      <c r="B371" s="24"/>
      <c r="C371" s="24"/>
      <c r="D371" s="24"/>
      <c r="E371" s="24"/>
      <c r="F371" s="28" t="str">
        <f aca="false">IF(A371="","",COUNTIF(Trabalhos!$C$2:$C$1001,A371))</f>
        <v/>
      </c>
      <c r="G371" s="26" t="str">
        <f aca="false">IF(A371="","",SUMIFS(Trabalhos!$G$2:$G$1001,Trabalhos!$C$2:$C$1001,A371))</f>
        <v/>
      </c>
      <c r="H371" s="24"/>
    </row>
    <row r="372" customFormat="false" ht="15" hidden="false" customHeight="false" outlineLevel="0" collapsed="false">
      <c r="A372" s="24"/>
      <c r="B372" s="24"/>
      <c r="C372" s="24"/>
      <c r="D372" s="24"/>
      <c r="E372" s="24"/>
      <c r="F372" s="28" t="str">
        <f aca="false">IF(A372="","",COUNTIF(Trabalhos!$C$2:$C$1001,A372))</f>
        <v/>
      </c>
      <c r="G372" s="26" t="str">
        <f aca="false">IF(A372="","",SUMIFS(Trabalhos!$G$2:$G$1001,Trabalhos!$C$2:$C$1001,A372))</f>
        <v/>
      </c>
      <c r="H372" s="24"/>
    </row>
    <row r="373" customFormat="false" ht="15" hidden="false" customHeight="false" outlineLevel="0" collapsed="false">
      <c r="A373" s="24"/>
      <c r="B373" s="24"/>
      <c r="C373" s="24"/>
      <c r="D373" s="24"/>
      <c r="E373" s="24"/>
      <c r="F373" s="28" t="str">
        <f aca="false">IF(A373="","",COUNTIF(Trabalhos!$C$2:$C$1001,A373))</f>
        <v/>
      </c>
      <c r="G373" s="26" t="str">
        <f aca="false">IF(A373="","",SUMIFS(Trabalhos!$G$2:$G$1001,Trabalhos!$C$2:$C$1001,A373))</f>
        <v/>
      </c>
      <c r="H373" s="24"/>
    </row>
    <row r="374" customFormat="false" ht="15" hidden="false" customHeight="false" outlineLevel="0" collapsed="false">
      <c r="A374" s="24"/>
      <c r="B374" s="24"/>
      <c r="C374" s="24"/>
      <c r="D374" s="24"/>
      <c r="E374" s="24"/>
      <c r="F374" s="28" t="str">
        <f aca="false">IF(A374="","",COUNTIF(Trabalhos!$C$2:$C$1001,A374))</f>
        <v/>
      </c>
      <c r="G374" s="26" t="str">
        <f aca="false">IF(A374="","",SUMIFS(Trabalhos!$G$2:$G$1001,Trabalhos!$C$2:$C$1001,A374))</f>
        <v/>
      </c>
      <c r="H374" s="24"/>
    </row>
    <row r="375" customFormat="false" ht="15" hidden="false" customHeight="false" outlineLevel="0" collapsed="false">
      <c r="A375" s="24"/>
      <c r="B375" s="24"/>
      <c r="C375" s="24"/>
      <c r="D375" s="24"/>
      <c r="E375" s="24"/>
      <c r="F375" s="28" t="str">
        <f aca="false">IF(A375="","",COUNTIF(Trabalhos!$C$2:$C$1001,A375))</f>
        <v/>
      </c>
      <c r="G375" s="26" t="str">
        <f aca="false">IF(A375="","",SUMIFS(Trabalhos!$G$2:$G$1001,Trabalhos!$C$2:$C$1001,A375))</f>
        <v/>
      </c>
      <c r="H375" s="24"/>
    </row>
    <row r="376" customFormat="false" ht="15" hidden="false" customHeight="false" outlineLevel="0" collapsed="false">
      <c r="A376" s="24"/>
      <c r="B376" s="24"/>
      <c r="C376" s="24"/>
      <c r="D376" s="24"/>
      <c r="E376" s="24"/>
      <c r="F376" s="28" t="str">
        <f aca="false">IF(A376="","",COUNTIF(Trabalhos!$C$2:$C$1001,A376))</f>
        <v/>
      </c>
      <c r="G376" s="26" t="str">
        <f aca="false">IF(A376="","",SUMIFS(Trabalhos!$G$2:$G$1001,Trabalhos!$C$2:$C$1001,A376))</f>
        <v/>
      </c>
      <c r="H376" s="24"/>
    </row>
    <row r="377" customFormat="false" ht="15" hidden="false" customHeight="false" outlineLevel="0" collapsed="false">
      <c r="A377" s="24"/>
      <c r="B377" s="24"/>
      <c r="C377" s="24"/>
      <c r="D377" s="24"/>
      <c r="E377" s="24"/>
      <c r="F377" s="28" t="str">
        <f aca="false">IF(A377="","",COUNTIF(Trabalhos!$C$2:$C$1001,A377))</f>
        <v/>
      </c>
      <c r="G377" s="26" t="str">
        <f aca="false">IF(A377="","",SUMIFS(Trabalhos!$G$2:$G$1001,Trabalhos!$C$2:$C$1001,A377))</f>
        <v/>
      </c>
      <c r="H377" s="24"/>
    </row>
    <row r="378" customFormat="false" ht="15" hidden="false" customHeight="false" outlineLevel="0" collapsed="false">
      <c r="A378" s="24"/>
      <c r="B378" s="24"/>
      <c r="C378" s="24"/>
      <c r="D378" s="24"/>
      <c r="E378" s="24"/>
      <c r="F378" s="28" t="str">
        <f aca="false">IF(A378="","",COUNTIF(Trabalhos!$C$2:$C$1001,A378))</f>
        <v/>
      </c>
      <c r="G378" s="26" t="str">
        <f aca="false">IF(A378="","",SUMIFS(Trabalhos!$G$2:$G$1001,Trabalhos!$C$2:$C$1001,A378))</f>
        <v/>
      </c>
      <c r="H378" s="24"/>
    </row>
    <row r="379" customFormat="false" ht="15" hidden="false" customHeight="false" outlineLevel="0" collapsed="false">
      <c r="A379" s="24"/>
      <c r="B379" s="24"/>
      <c r="C379" s="24"/>
      <c r="D379" s="24"/>
      <c r="E379" s="24"/>
      <c r="F379" s="28" t="str">
        <f aca="false">IF(A379="","",COUNTIF(Trabalhos!$C$2:$C$1001,A379))</f>
        <v/>
      </c>
      <c r="G379" s="26" t="str">
        <f aca="false">IF(A379="","",SUMIFS(Trabalhos!$G$2:$G$1001,Trabalhos!$C$2:$C$1001,A379))</f>
        <v/>
      </c>
      <c r="H379" s="24"/>
    </row>
    <row r="380" customFormat="false" ht="15" hidden="false" customHeight="false" outlineLevel="0" collapsed="false">
      <c r="A380" s="24"/>
      <c r="B380" s="24"/>
      <c r="C380" s="24"/>
      <c r="D380" s="24"/>
      <c r="E380" s="24"/>
      <c r="F380" s="28" t="str">
        <f aca="false">IF(A380="","",COUNTIF(Trabalhos!$C$2:$C$1001,A380))</f>
        <v/>
      </c>
      <c r="G380" s="26" t="str">
        <f aca="false">IF(A380="","",SUMIFS(Trabalhos!$G$2:$G$1001,Trabalhos!$C$2:$C$1001,A380))</f>
        <v/>
      </c>
      <c r="H380" s="24"/>
    </row>
    <row r="381" customFormat="false" ht="15" hidden="false" customHeight="false" outlineLevel="0" collapsed="false">
      <c r="A381" s="24"/>
      <c r="B381" s="24"/>
      <c r="C381" s="24"/>
      <c r="D381" s="24"/>
      <c r="E381" s="24"/>
      <c r="F381" s="28" t="str">
        <f aca="false">IF(A381="","",COUNTIF(Trabalhos!$C$2:$C$1001,A381))</f>
        <v/>
      </c>
      <c r="G381" s="26" t="str">
        <f aca="false">IF(A381="","",SUMIFS(Trabalhos!$G$2:$G$1001,Trabalhos!$C$2:$C$1001,A381))</f>
        <v/>
      </c>
      <c r="H381" s="24"/>
    </row>
    <row r="382" customFormat="false" ht="15" hidden="false" customHeight="false" outlineLevel="0" collapsed="false">
      <c r="A382" s="24"/>
      <c r="B382" s="24"/>
      <c r="C382" s="24"/>
      <c r="D382" s="24"/>
      <c r="E382" s="24"/>
      <c r="F382" s="28" t="str">
        <f aca="false">IF(A382="","",COUNTIF(Trabalhos!$C$2:$C$1001,A382))</f>
        <v/>
      </c>
      <c r="G382" s="26" t="str">
        <f aca="false">IF(A382="","",SUMIFS(Trabalhos!$G$2:$G$1001,Trabalhos!$C$2:$C$1001,A382))</f>
        <v/>
      </c>
      <c r="H382" s="24"/>
    </row>
    <row r="383" customFormat="false" ht="15" hidden="false" customHeight="false" outlineLevel="0" collapsed="false">
      <c r="A383" s="24"/>
      <c r="B383" s="24"/>
      <c r="C383" s="24"/>
      <c r="D383" s="24"/>
      <c r="E383" s="24"/>
      <c r="F383" s="28" t="str">
        <f aca="false">IF(A383="","",COUNTIF(Trabalhos!$C$2:$C$1001,A383))</f>
        <v/>
      </c>
      <c r="G383" s="26" t="str">
        <f aca="false">IF(A383="","",SUMIFS(Trabalhos!$G$2:$G$1001,Trabalhos!$C$2:$C$1001,A383))</f>
        <v/>
      </c>
      <c r="H383" s="24"/>
    </row>
    <row r="384" customFormat="false" ht="15" hidden="false" customHeight="false" outlineLevel="0" collapsed="false">
      <c r="A384" s="24"/>
      <c r="B384" s="24"/>
      <c r="C384" s="24"/>
      <c r="D384" s="24"/>
      <c r="E384" s="24"/>
      <c r="F384" s="28" t="str">
        <f aca="false">IF(A384="","",COUNTIF(Trabalhos!$C$2:$C$1001,A384))</f>
        <v/>
      </c>
      <c r="G384" s="26" t="str">
        <f aca="false">IF(A384="","",SUMIFS(Trabalhos!$G$2:$G$1001,Trabalhos!$C$2:$C$1001,A384))</f>
        <v/>
      </c>
      <c r="H384" s="24"/>
    </row>
    <row r="385" customFormat="false" ht="15" hidden="false" customHeight="false" outlineLevel="0" collapsed="false">
      <c r="A385" s="24"/>
      <c r="B385" s="24"/>
      <c r="C385" s="24"/>
      <c r="D385" s="24"/>
      <c r="E385" s="24"/>
      <c r="F385" s="28" t="str">
        <f aca="false">IF(A385="","",COUNTIF(Trabalhos!$C$2:$C$1001,A385))</f>
        <v/>
      </c>
      <c r="G385" s="26" t="str">
        <f aca="false">IF(A385="","",SUMIFS(Trabalhos!$G$2:$G$1001,Trabalhos!$C$2:$C$1001,A385))</f>
        <v/>
      </c>
      <c r="H385" s="24"/>
    </row>
    <row r="386" customFormat="false" ht="15" hidden="false" customHeight="false" outlineLevel="0" collapsed="false">
      <c r="A386" s="24"/>
      <c r="B386" s="24"/>
      <c r="C386" s="24"/>
      <c r="D386" s="24"/>
      <c r="E386" s="24"/>
      <c r="F386" s="28" t="str">
        <f aca="false">IF(A386="","",COUNTIF(Trabalhos!$C$2:$C$1001,A386))</f>
        <v/>
      </c>
      <c r="G386" s="26" t="str">
        <f aca="false">IF(A386="","",SUMIFS(Trabalhos!$G$2:$G$1001,Trabalhos!$C$2:$C$1001,A386))</f>
        <v/>
      </c>
      <c r="H386" s="24"/>
    </row>
    <row r="387" customFormat="false" ht="15" hidden="false" customHeight="false" outlineLevel="0" collapsed="false">
      <c r="A387" s="24"/>
      <c r="B387" s="24"/>
      <c r="C387" s="24"/>
      <c r="D387" s="24"/>
      <c r="E387" s="24"/>
      <c r="F387" s="28" t="str">
        <f aca="false">IF(A387="","",COUNTIF(Trabalhos!$C$2:$C$1001,A387))</f>
        <v/>
      </c>
      <c r="G387" s="26" t="str">
        <f aca="false">IF(A387="","",SUMIFS(Trabalhos!$G$2:$G$1001,Trabalhos!$C$2:$C$1001,A387))</f>
        <v/>
      </c>
      <c r="H387" s="24"/>
    </row>
    <row r="388" customFormat="false" ht="15" hidden="false" customHeight="false" outlineLevel="0" collapsed="false">
      <c r="A388" s="24"/>
      <c r="B388" s="24"/>
      <c r="C388" s="24"/>
      <c r="D388" s="24"/>
      <c r="E388" s="24"/>
      <c r="F388" s="28" t="str">
        <f aca="false">IF(A388="","",COUNTIF(Trabalhos!$C$2:$C$1001,A388))</f>
        <v/>
      </c>
      <c r="G388" s="26" t="str">
        <f aca="false">IF(A388="","",SUMIFS(Trabalhos!$G$2:$G$1001,Trabalhos!$C$2:$C$1001,A388))</f>
        <v/>
      </c>
      <c r="H388" s="24"/>
    </row>
    <row r="389" customFormat="false" ht="15" hidden="false" customHeight="false" outlineLevel="0" collapsed="false">
      <c r="A389" s="24"/>
      <c r="B389" s="24"/>
      <c r="C389" s="24"/>
      <c r="D389" s="24"/>
      <c r="E389" s="24"/>
      <c r="F389" s="28" t="str">
        <f aca="false">IF(A389="","",COUNTIF(Trabalhos!$C$2:$C$1001,A389))</f>
        <v/>
      </c>
      <c r="G389" s="26" t="str">
        <f aca="false">IF(A389="","",SUMIFS(Trabalhos!$G$2:$G$1001,Trabalhos!$C$2:$C$1001,A389))</f>
        <v/>
      </c>
      <c r="H389" s="24"/>
    </row>
    <row r="390" customFormat="false" ht="15" hidden="false" customHeight="false" outlineLevel="0" collapsed="false">
      <c r="A390" s="24"/>
      <c r="B390" s="24"/>
      <c r="C390" s="24"/>
      <c r="D390" s="24"/>
      <c r="E390" s="24"/>
      <c r="F390" s="28" t="str">
        <f aca="false">IF(A390="","",COUNTIF(Trabalhos!$C$2:$C$1001,A390))</f>
        <v/>
      </c>
      <c r="G390" s="26" t="str">
        <f aca="false">IF(A390="","",SUMIFS(Trabalhos!$G$2:$G$1001,Trabalhos!$C$2:$C$1001,A390))</f>
        <v/>
      </c>
      <c r="H390" s="24"/>
    </row>
    <row r="391" customFormat="false" ht="15" hidden="false" customHeight="false" outlineLevel="0" collapsed="false">
      <c r="A391" s="24"/>
      <c r="B391" s="24"/>
      <c r="C391" s="24"/>
      <c r="D391" s="24"/>
      <c r="E391" s="24"/>
      <c r="F391" s="28" t="str">
        <f aca="false">IF(A391="","",COUNTIF(Trabalhos!$C$2:$C$1001,A391))</f>
        <v/>
      </c>
      <c r="G391" s="26" t="str">
        <f aca="false">IF(A391="","",SUMIFS(Trabalhos!$G$2:$G$1001,Trabalhos!$C$2:$C$1001,A391))</f>
        <v/>
      </c>
      <c r="H391" s="24"/>
    </row>
    <row r="392" customFormat="false" ht="15" hidden="false" customHeight="false" outlineLevel="0" collapsed="false">
      <c r="A392" s="24"/>
      <c r="B392" s="24"/>
      <c r="C392" s="24"/>
      <c r="D392" s="24"/>
      <c r="E392" s="24"/>
      <c r="F392" s="28" t="str">
        <f aca="false">IF(A392="","",COUNTIF(Trabalhos!$C$2:$C$1001,A392))</f>
        <v/>
      </c>
      <c r="G392" s="26" t="str">
        <f aca="false">IF(A392="","",SUMIFS(Trabalhos!$G$2:$G$1001,Trabalhos!$C$2:$C$1001,A392))</f>
        <v/>
      </c>
      <c r="H392" s="24"/>
    </row>
    <row r="393" customFormat="false" ht="15" hidden="false" customHeight="false" outlineLevel="0" collapsed="false">
      <c r="A393" s="24"/>
      <c r="B393" s="24"/>
      <c r="C393" s="24"/>
      <c r="D393" s="24"/>
      <c r="E393" s="24"/>
      <c r="F393" s="28" t="str">
        <f aca="false">IF(A393="","",COUNTIF(Trabalhos!$C$2:$C$1001,A393))</f>
        <v/>
      </c>
      <c r="G393" s="26" t="str">
        <f aca="false">IF(A393="","",SUMIFS(Trabalhos!$G$2:$G$1001,Trabalhos!$C$2:$C$1001,A393))</f>
        <v/>
      </c>
      <c r="H393" s="24"/>
    </row>
    <row r="394" customFormat="false" ht="15" hidden="false" customHeight="false" outlineLevel="0" collapsed="false">
      <c r="A394" s="24"/>
      <c r="B394" s="24"/>
      <c r="C394" s="24"/>
      <c r="D394" s="24"/>
      <c r="E394" s="24"/>
      <c r="F394" s="28" t="str">
        <f aca="false">IF(A394="","",COUNTIF(Trabalhos!$C$2:$C$1001,A394))</f>
        <v/>
      </c>
      <c r="G394" s="26" t="str">
        <f aca="false">IF(A394="","",SUMIFS(Trabalhos!$G$2:$G$1001,Trabalhos!$C$2:$C$1001,A394))</f>
        <v/>
      </c>
      <c r="H394" s="24"/>
    </row>
    <row r="395" customFormat="false" ht="15" hidden="false" customHeight="false" outlineLevel="0" collapsed="false">
      <c r="A395" s="24"/>
      <c r="B395" s="24"/>
      <c r="C395" s="24"/>
      <c r="D395" s="24"/>
      <c r="E395" s="24"/>
      <c r="F395" s="28" t="str">
        <f aca="false">IF(A395="","",COUNTIF(Trabalhos!$C$2:$C$1001,A395))</f>
        <v/>
      </c>
      <c r="G395" s="26" t="str">
        <f aca="false">IF(A395="","",SUMIFS(Trabalhos!$G$2:$G$1001,Trabalhos!$C$2:$C$1001,A395))</f>
        <v/>
      </c>
      <c r="H395" s="24"/>
    </row>
    <row r="396" customFormat="false" ht="15" hidden="false" customHeight="false" outlineLevel="0" collapsed="false">
      <c r="A396" s="24"/>
      <c r="B396" s="24"/>
      <c r="C396" s="24"/>
      <c r="D396" s="24"/>
      <c r="E396" s="24"/>
      <c r="F396" s="28" t="str">
        <f aca="false">IF(A396="","",COUNTIF(Trabalhos!$C$2:$C$1001,A396))</f>
        <v/>
      </c>
      <c r="G396" s="26" t="str">
        <f aca="false">IF(A396="","",SUMIFS(Trabalhos!$G$2:$G$1001,Trabalhos!$C$2:$C$1001,A396))</f>
        <v/>
      </c>
      <c r="H396" s="24"/>
    </row>
    <row r="397" customFormat="false" ht="15" hidden="false" customHeight="false" outlineLevel="0" collapsed="false">
      <c r="A397" s="24"/>
      <c r="B397" s="24"/>
      <c r="C397" s="24"/>
      <c r="D397" s="24"/>
      <c r="E397" s="24"/>
      <c r="F397" s="28" t="str">
        <f aca="false">IF(A397="","",COUNTIF(Trabalhos!$C$2:$C$1001,A397))</f>
        <v/>
      </c>
      <c r="G397" s="26" t="str">
        <f aca="false">IF(A397="","",SUMIFS(Trabalhos!$G$2:$G$1001,Trabalhos!$C$2:$C$1001,A397))</f>
        <v/>
      </c>
      <c r="H397" s="24"/>
    </row>
    <row r="398" customFormat="false" ht="15" hidden="false" customHeight="false" outlineLevel="0" collapsed="false">
      <c r="A398" s="24"/>
      <c r="B398" s="24"/>
      <c r="C398" s="24"/>
      <c r="D398" s="24"/>
      <c r="E398" s="24"/>
      <c r="F398" s="28" t="str">
        <f aca="false">IF(A398="","",COUNTIF(Trabalhos!$C$2:$C$1001,A398))</f>
        <v/>
      </c>
      <c r="G398" s="26" t="str">
        <f aca="false">IF(A398="","",SUMIFS(Trabalhos!$G$2:$G$1001,Trabalhos!$C$2:$C$1001,A398))</f>
        <v/>
      </c>
      <c r="H398" s="24"/>
    </row>
    <row r="399" customFormat="false" ht="15" hidden="false" customHeight="false" outlineLevel="0" collapsed="false">
      <c r="A399" s="24"/>
      <c r="B399" s="24"/>
      <c r="C399" s="24"/>
      <c r="D399" s="24"/>
      <c r="E399" s="24"/>
      <c r="F399" s="28" t="str">
        <f aca="false">IF(A399="","",COUNTIF(Trabalhos!$C$2:$C$1001,A399))</f>
        <v/>
      </c>
      <c r="G399" s="26" t="str">
        <f aca="false">IF(A399="","",SUMIFS(Trabalhos!$G$2:$G$1001,Trabalhos!$C$2:$C$1001,A399))</f>
        <v/>
      </c>
      <c r="H399" s="24"/>
    </row>
    <row r="400" customFormat="false" ht="15" hidden="false" customHeight="false" outlineLevel="0" collapsed="false">
      <c r="A400" s="24"/>
      <c r="B400" s="24"/>
      <c r="C400" s="24"/>
      <c r="D400" s="24"/>
      <c r="E400" s="24"/>
      <c r="F400" s="28" t="str">
        <f aca="false">IF(A400="","",COUNTIF(Trabalhos!$C$2:$C$1001,A400))</f>
        <v/>
      </c>
      <c r="G400" s="26" t="str">
        <f aca="false">IF(A400="","",SUMIFS(Trabalhos!$G$2:$G$1001,Trabalhos!$C$2:$C$1001,A400))</f>
        <v/>
      </c>
      <c r="H400" s="24"/>
    </row>
    <row r="401" customFormat="false" ht="15" hidden="false" customHeight="false" outlineLevel="0" collapsed="false">
      <c r="A401" s="24"/>
      <c r="B401" s="24"/>
      <c r="C401" s="24"/>
      <c r="D401" s="24"/>
      <c r="E401" s="24"/>
      <c r="F401" s="28" t="str">
        <f aca="false">IF(A401="","",COUNTIF(Trabalhos!$C$2:$C$1001,A401))</f>
        <v/>
      </c>
      <c r="G401" s="26" t="str">
        <f aca="false">IF(A401="","",SUMIFS(Trabalhos!$G$2:$G$1001,Trabalhos!$C$2:$C$1001,A401))</f>
        <v/>
      </c>
      <c r="H401" s="24"/>
    </row>
    <row r="402" customFormat="false" ht="15" hidden="false" customHeight="false" outlineLevel="0" collapsed="false">
      <c r="A402" s="24"/>
      <c r="B402" s="24"/>
      <c r="C402" s="24"/>
      <c r="D402" s="24"/>
      <c r="E402" s="24"/>
      <c r="F402" s="28" t="str">
        <f aca="false">IF(A402="","",COUNTIF(Trabalhos!$C$2:$C$1001,A402))</f>
        <v/>
      </c>
      <c r="G402" s="26" t="str">
        <f aca="false">IF(A402="","",SUMIFS(Trabalhos!$G$2:$G$1001,Trabalhos!$C$2:$C$1001,A402))</f>
        <v/>
      </c>
      <c r="H402" s="24"/>
    </row>
    <row r="403" customFormat="false" ht="15" hidden="false" customHeight="false" outlineLevel="0" collapsed="false">
      <c r="A403" s="24"/>
      <c r="B403" s="24"/>
      <c r="C403" s="24"/>
      <c r="D403" s="24"/>
      <c r="E403" s="24"/>
      <c r="F403" s="28" t="str">
        <f aca="false">IF(A403="","",COUNTIF(Trabalhos!$C$2:$C$1001,A403))</f>
        <v/>
      </c>
      <c r="G403" s="26" t="str">
        <f aca="false">IF(A403="","",SUMIFS(Trabalhos!$G$2:$G$1001,Trabalhos!$C$2:$C$1001,A403))</f>
        <v/>
      </c>
      <c r="H403" s="24"/>
    </row>
    <row r="404" customFormat="false" ht="15" hidden="false" customHeight="false" outlineLevel="0" collapsed="false">
      <c r="A404" s="24"/>
      <c r="B404" s="24"/>
      <c r="C404" s="24"/>
      <c r="D404" s="24"/>
      <c r="E404" s="24"/>
      <c r="F404" s="28" t="str">
        <f aca="false">IF(A404="","",COUNTIF(Trabalhos!$C$2:$C$1001,A404))</f>
        <v/>
      </c>
      <c r="G404" s="26" t="str">
        <f aca="false">IF(A404="","",SUMIFS(Trabalhos!$G$2:$G$1001,Trabalhos!$C$2:$C$1001,A404))</f>
        <v/>
      </c>
      <c r="H404" s="24"/>
    </row>
    <row r="405" customFormat="false" ht="15" hidden="false" customHeight="false" outlineLevel="0" collapsed="false">
      <c r="A405" s="24"/>
      <c r="B405" s="24"/>
      <c r="C405" s="24"/>
      <c r="D405" s="24"/>
      <c r="E405" s="24"/>
      <c r="F405" s="28" t="str">
        <f aca="false">IF(A405="","",COUNTIF(Trabalhos!$C$2:$C$1001,A405))</f>
        <v/>
      </c>
      <c r="G405" s="26" t="str">
        <f aca="false">IF(A405="","",SUMIFS(Trabalhos!$G$2:$G$1001,Trabalhos!$C$2:$C$1001,A405))</f>
        <v/>
      </c>
      <c r="H405" s="24"/>
    </row>
    <row r="406" customFormat="false" ht="15" hidden="false" customHeight="false" outlineLevel="0" collapsed="false">
      <c r="A406" s="24"/>
      <c r="B406" s="24"/>
      <c r="C406" s="24"/>
      <c r="D406" s="24"/>
      <c r="E406" s="24"/>
      <c r="F406" s="28" t="str">
        <f aca="false">IF(A406="","",COUNTIF(Trabalhos!$C$2:$C$1001,A406))</f>
        <v/>
      </c>
      <c r="G406" s="26" t="str">
        <f aca="false">IF(A406="","",SUMIFS(Trabalhos!$G$2:$G$1001,Trabalhos!$C$2:$C$1001,A406))</f>
        <v/>
      </c>
      <c r="H406" s="24"/>
    </row>
    <row r="407" customFormat="false" ht="15" hidden="false" customHeight="false" outlineLevel="0" collapsed="false">
      <c r="A407" s="24"/>
      <c r="B407" s="24"/>
      <c r="C407" s="24"/>
      <c r="D407" s="24"/>
      <c r="E407" s="24"/>
      <c r="F407" s="28" t="str">
        <f aca="false">IF(A407="","",COUNTIF(Trabalhos!$C$2:$C$1001,A407))</f>
        <v/>
      </c>
      <c r="G407" s="26" t="str">
        <f aca="false">IF(A407="","",SUMIFS(Trabalhos!$G$2:$G$1001,Trabalhos!$C$2:$C$1001,A407))</f>
        <v/>
      </c>
      <c r="H407" s="24"/>
    </row>
    <row r="408" customFormat="false" ht="15" hidden="false" customHeight="false" outlineLevel="0" collapsed="false">
      <c r="A408" s="24"/>
      <c r="B408" s="24"/>
      <c r="C408" s="24"/>
      <c r="D408" s="24"/>
      <c r="E408" s="24"/>
      <c r="F408" s="28" t="str">
        <f aca="false">IF(A408="","",COUNTIF(Trabalhos!$C$2:$C$1001,A408))</f>
        <v/>
      </c>
      <c r="G408" s="26" t="str">
        <f aca="false">IF(A408="","",SUMIFS(Trabalhos!$G$2:$G$1001,Trabalhos!$C$2:$C$1001,A408))</f>
        <v/>
      </c>
      <c r="H408" s="24"/>
    </row>
    <row r="409" customFormat="false" ht="15" hidden="false" customHeight="false" outlineLevel="0" collapsed="false">
      <c r="A409" s="24"/>
      <c r="B409" s="24"/>
      <c r="C409" s="24"/>
      <c r="D409" s="24"/>
      <c r="E409" s="24"/>
      <c r="F409" s="28" t="str">
        <f aca="false">IF(A409="","",COUNTIF(Trabalhos!$C$2:$C$1001,A409))</f>
        <v/>
      </c>
      <c r="G409" s="26" t="str">
        <f aca="false">IF(A409="","",SUMIFS(Trabalhos!$G$2:$G$1001,Trabalhos!$C$2:$C$1001,A409))</f>
        <v/>
      </c>
      <c r="H409" s="24"/>
    </row>
    <row r="410" customFormat="false" ht="15" hidden="false" customHeight="false" outlineLevel="0" collapsed="false">
      <c r="A410" s="24"/>
      <c r="B410" s="24"/>
      <c r="C410" s="24"/>
      <c r="D410" s="24"/>
      <c r="E410" s="24"/>
      <c r="F410" s="28" t="str">
        <f aca="false">IF(A410="","",COUNTIF(Trabalhos!$C$2:$C$1001,A410))</f>
        <v/>
      </c>
      <c r="G410" s="26" t="str">
        <f aca="false">IF(A410="","",SUMIFS(Trabalhos!$G$2:$G$1001,Trabalhos!$C$2:$C$1001,A410))</f>
        <v/>
      </c>
      <c r="H410" s="24"/>
    </row>
    <row r="411" customFormat="false" ht="15" hidden="false" customHeight="false" outlineLevel="0" collapsed="false">
      <c r="A411" s="24"/>
      <c r="B411" s="24"/>
      <c r="C411" s="24"/>
      <c r="D411" s="24"/>
      <c r="E411" s="24"/>
      <c r="F411" s="28" t="str">
        <f aca="false">IF(A411="","",COUNTIF(Trabalhos!$C$2:$C$1001,A411))</f>
        <v/>
      </c>
      <c r="G411" s="26" t="str">
        <f aca="false">IF(A411="","",SUMIFS(Trabalhos!$G$2:$G$1001,Trabalhos!$C$2:$C$1001,A411))</f>
        <v/>
      </c>
      <c r="H411" s="24"/>
    </row>
    <row r="412" customFormat="false" ht="15" hidden="false" customHeight="false" outlineLevel="0" collapsed="false">
      <c r="A412" s="24"/>
      <c r="B412" s="24"/>
      <c r="C412" s="24"/>
      <c r="D412" s="24"/>
      <c r="E412" s="24"/>
      <c r="F412" s="28" t="str">
        <f aca="false">IF(A412="","",COUNTIF(Trabalhos!$C$2:$C$1001,A412))</f>
        <v/>
      </c>
      <c r="G412" s="26" t="str">
        <f aca="false">IF(A412="","",SUMIFS(Trabalhos!$G$2:$G$1001,Trabalhos!$C$2:$C$1001,A412))</f>
        <v/>
      </c>
      <c r="H412" s="24"/>
    </row>
    <row r="413" customFormat="false" ht="15" hidden="false" customHeight="false" outlineLevel="0" collapsed="false">
      <c r="A413" s="24"/>
      <c r="B413" s="24"/>
      <c r="C413" s="24"/>
      <c r="D413" s="24"/>
      <c r="E413" s="24"/>
      <c r="F413" s="28" t="str">
        <f aca="false">IF(A413="","",COUNTIF(Trabalhos!$C$2:$C$1001,A413))</f>
        <v/>
      </c>
      <c r="G413" s="26" t="str">
        <f aca="false">IF(A413="","",SUMIFS(Trabalhos!$G$2:$G$1001,Trabalhos!$C$2:$C$1001,A413))</f>
        <v/>
      </c>
      <c r="H413" s="24"/>
    </row>
    <row r="414" customFormat="false" ht="15" hidden="false" customHeight="false" outlineLevel="0" collapsed="false">
      <c r="A414" s="24"/>
      <c r="B414" s="24"/>
      <c r="C414" s="24"/>
      <c r="D414" s="24"/>
      <c r="E414" s="24"/>
      <c r="F414" s="28" t="str">
        <f aca="false">IF(A414="","",COUNTIF(Trabalhos!$C$2:$C$1001,A414))</f>
        <v/>
      </c>
      <c r="G414" s="26" t="str">
        <f aca="false">IF(A414="","",SUMIFS(Trabalhos!$G$2:$G$1001,Trabalhos!$C$2:$C$1001,A414))</f>
        <v/>
      </c>
      <c r="H414" s="24"/>
    </row>
    <row r="415" customFormat="false" ht="15" hidden="false" customHeight="false" outlineLevel="0" collapsed="false">
      <c r="A415" s="24"/>
      <c r="B415" s="24"/>
      <c r="C415" s="24"/>
      <c r="D415" s="24"/>
      <c r="E415" s="24"/>
      <c r="F415" s="28" t="str">
        <f aca="false">IF(A415="","",COUNTIF(Trabalhos!$C$2:$C$1001,A415))</f>
        <v/>
      </c>
      <c r="G415" s="26" t="str">
        <f aca="false">IF(A415="","",SUMIFS(Trabalhos!$G$2:$G$1001,Trabalhos!$C$2:$C$1001,A415))</f>
        <v/>
      </c>
      <c r="H415" s="24"/>
    </row>
    <row r="416" customFormat="false" ht="15" hidden="false" customHeight="false" outlineLevel="0" collapsed="false">
      <c r="A416" s="24"/>
      <c r="B416" s="24"/>
      <c r="C416" s="24"/>
      <c r="D416" s="24"/>
      <c r="E416" s="24"/>
      <c r="F416" s="28" t="str">
        <f aca="false">IF(A416="","",COUNTIF(Trabalhos!$C$2:$C$1001,A416))</f>
        <v/>
      </c>
      <c r="G416" s="26" t="str">
        <f aca="false">IF(A416="","",SUMIFS(Trabalhos!$G$2:$G$1001,Trabalhos!$C$2:$C$1001,A416))</f>
        <v/>
      </c>
      <c r="H416" s="24"/>
    </row>
    <row r="417" customFormat="false" ht="15" hidden="false" customHeight="false" outlineLevel="0" collapsed="false">
      <c r="A417" s="24"/>
      <c r="B417" s="24"/>
      <c r="C417" s="24"/>
      <c r="D417" s="24"/>
      <c r="E417" s="24"/>
      <c r="F417" s="28" t="str">
        <f aca="false">IF(A417="","",COUNTIF(Trabalhos!$C$2:$C$1001,A417))</f>
        <v/>
      </c>
      <c r="G417" s="26" t="str">
        <f aca="false">IF(A417="","",SUMIFS(Trabalhos!$G$2:$G$1001,Trabalhos!$C$2:$C$1001,A417))</f>
        <v/>
      </c>
      <c r="H417" s="24"/>
    </row>
    <row r="418" customFormat="false" ht="15" hidden="false" customHeight="false" outlineLevel="0" collapsed="false">
      <c r="A418" s="24"/>
      <c r="B418" s="24"/>
      <c r="C418" s="24"/>
      <c r="D418" s="24"/>
      <c r="E418" s="24"/>
      <c r="F418" s="28" t="str">
        <f aca="false">IF(A418="","",COUNTIF(Trabalhos!$C$2:$C$1001,A418))</f>
        <v/>
      </c>
      <c r="G418" s="26" t="str">
        <f aca="false">IF(A418="","",SUMIFS(Trabalhos!$G$2:$G$1001,Trabalhos!$C$2:$C$1001,A418))</f>
        <v/>
      </c>
      <c r="H418" s="24"/>
    </row>
    <row r="419" customFormat="false" ht="15" hidden="false" customHeight="false" outlineLevel="0" collapsed="false">
      <c r="A419" s="24"/>
      <c r="B419" s="24"/>
      <c r="C419" s="24"/>
      <c r="D419" s="24"/>
      <c r="E419" s="24"/>
      <c r="F419" s="28" t="str">
        <f aca="false">IF(A419="","",COUNTIF(Trabalhos!$C$2:$C$1001,A419))</f>
        <v/>
      </c>
      <c r="G419" s="26" t="str">
        <f aca="false">IF(A419="","",SUMIFS(Trabalhos!$G$2:$G$1001,Trabalhos!$C$2:$C$1001,A419))</f>
        <v/>
      </c>
      <c r="H419" s="24"/>
    </row>
    <row r="420" customFormat="false" ht="15" hidden="false" customHeight="false" outlineLevel="0" collapsed="false">
      <c r="A420" s="24"/>
      <c r="B420" s="24"/>
      <c r="C420" s="24"/>
      <c r="D420" s="24"/>
      <c r="E420" s="24"/>
      <c r="F420" s="28" t="str">
        <f aca="false">IF(A420="","",COUNTIF(Trabalhos!$C$2:$C$1001,A420))</f>
        <v/>
      </c>
      <c r="G420" s="26" t="str">
        <f aca="false">IF(A420="","",SUMIFS(Trabalhos!$G$2:$G$1001,Trabalhos!$C$2:$C$1001,A420))</f>
        <v/>
      </c>
      <c r="H420" s="24"/>
    </row>
    <row r="421" customFormat="false" ht="15" hidden="false" customHeight="false" outlineLevel="0" collapsed="false">
      <c r="A421" s="24"/>
      <c r="B421" s="24"/>
      <c r="C421" s="24"/>
      <c r="D421" s="24"/>
      <c r="E421" s="24"/>
      <c r="F421" s="28" t="str">
        <f aca="false">IF(A421="","",COUNTIF(Trabalhos!$C$2:$C$1001,A421))</f>
        <v/>
      </c>
      <c r="G421" s="26" t="str">
        <f aca="false">IF(A421="","",SUMIFS(Trabalhos!$G$2:$G$1001,Trabalhos!$C$2:$C$1001,A421))</f>
        <v/>
      </c>
      <c r="H421" s="24"/>
    </row>
    <row r="422" customFormat="false" ht="15" hidden="false" customHeight="false" outlineLevel="0" collapsed="false">
      <c r="A422" s="24"/>
      <c r="B422" s="24"/>
      <c r="C422" s="24"/>
      <c r="D422" s="24"/>
      <c r="E422" s="24"/>
      <c r="F422" s="28" t="str">
        <f aca="false">IF(A422="","",COUNTIF(Trabalhos!$C$2:$C$1001,A422))</f>
        <v/>
      </c>
      <c r="G422" s="26" t="str">
        <f aca="false">IF(A422="","",SUMIFS(Trabalhos!$G$2:$G$1001,Trabalhos!$C$2:$C$1001,A422))</f>
        <v/>
      </c>
      <c r="H422" s="24"/>
    </row>
    <row r="423" customFormat="false" ht="15" hidden="false" customHeight="false" outlineLevel="0" collapsed="false">
      <c r="A423" s="24"/>
      <c r="B423" s="24"/>
      <c r="C423" s="24"/>
      <c r="D423" s="24"/>
      <c r="E423" s="24"/>
      <c r="F423" s="28" t="str">
        <f aca="false">IF(A423="","",COUNTIF(Trabalhos!$C$2:$C$1001,A423))</f>
        <v/>
      </c>
      <c r="G423" s="26" t="str">
        <f aca="false">IF(A423="","",SUMIFS(Trabalhos!$G$2:$G$1001,Trabalhos!$C$2:$C$1001,A423))</f>
        <v/>
      </c>
      <c r="H423" s="24"/>
    </row>
    <row r="424" customFormat="false" ht="15" hidden="false" customHeight="false" outlineLevel="0" collapsed="false">
      <c r="A424" s="24"/>
      <c r="B424" s="24"/>
      <c r="C424" s="24"/>
      <c r="D424" s="24"/>
      <c r="E424" s="24"/>
      <c r="F424" s="28" t="str">
        <f aca="false">IF(A424="","",COUNTIF(Trabalhos!$C$2:$C$1001,A424))</f>
        <v/>
      </c>
      <c r="G424" s="26" t="str">
        <f aca="false">IF(A424="","",SUMIFS(Trabalhos!$G$2:$G$1001,Trabalhos!$C$2:$C$1001,A424))</f>
        <v/>
      </c>
      <c r="H424" s="24"/>
    </row>
    <row r="425" customFormat="false" ht="15" hidden="false" customHeight="false" outlineLevel="0" collapsed="false">
      <c r="A425" s="24"/>
      <c r="B425" s="24"/>
      <c r="C425" s="24"/>
      <c r="D425" s="24"/>
      <c r="E425" s="24"/>
      <c r="F425" s="28" t="str">
        <f aca="false">IF(A425="","",COUNTIF(Trabalhos!$C$2:$C$1001,A425))</f>
        <v/>
      </c>
      <c r="G425" s="26" t="str">
        <f aca="false">IF(A425="","",SUMIFS(Trabalhos!$G$2:$G$1001,Trabalhos!$C$2:$C$1001,A425))</f>
        <v/>
      </c>
      <c r="H425" s="24"/>
    </row>
    <row r="426" customFormat="false" ht="15" hidden="false" customHeight="false" outlineLevel="0" collapsed="false">
      <c r="A426" s="24"/>
      <c r="B426" s="24"/>
      <c r="C426" s="24"/>
      <c r="D426" s="24"/>
      <c r="E426" s="24"/>
      <c r="F426" s="28" t="str">
        <f aca="false">IF(A426="","",COUNTIF(Trabalhos!$C$2:$C$1001,A426))</f>
        <v/>
      </c>
      <c r="G426" s="26" t="str">
        <f aca="false">IF(A426="","",SUMIFS(Trabalhos!$G$2:$G$1001,Trabalhos!$C$2:$C$1001,A426))</f>
        <v/>
      </c>
      <c r="H426" s="24"/>
    </row>
    <row r="427" customFormat="false" ht="15" hidden="false" customHeight="false" outlineLevel="0" collapsed="false">
      <c r="A427" s="24"/>
      <c r="B427" s="24"/>
      <c r="C427" s="24"/>
      <c r="D427" s="24"/>
      <c r="E427" s="24"/>
      <c r="F427" s="28" t="str">
        <f aca="false">IF(A427="","",COUNTIF(Trabalhos!$C$2:$C$1001,A427))</f>
        <v/>
      </c>
      <c r="G427" s="26" t="str">
        <f aca="false">IF(A427="","",SUMIFS(Trabalhos!$G$2:$G$1001,Trabalhos!$C$2:$C$1001,A427))</f>
        <v/>
      </c>
      <c r="H427" s="24"/>
    </row>
    <row r="428" customFormat="false" ht="15" hidden="false" customHeight="false" outlineLevel="0" collapsed="false">
      <c r="A428" s="24"/>
      <c r="B428" s="24"/>
      <c r="C428" s="24"/>
      <c r="D428" s="24"/>
      <c r="E428" s="24"/>
      <c r="F428" s="28" t="str">
        <f aca="false">IF(A428="","",COUNTIF(Trabalhos!$C$2:$C$1001,A428))</f>
        <v/>
      </c>
      <c r="G428" s="26" t="str">
        <f aca="false">IF(A428="","",SUMIFS(Trabalhos!$G$2:$G$1001,Trabalhos!$C$2:$C$1001,A428))</f>
        <v/>
      </c>
      <c r="H428" s="24"/>
    </row>
    <row r="429" customFormat="false" ht="15" hidden="false" customHeight="false" outlineLevel="0" collapsed="false">
      <c r="A429" s="24"/>
      <c r="B429" s="24"/>
      <c r="C429" s="24"/>
      <c r="D429" s="24"/>
      <c r="E429" s="24"/>
      <c r="F429" s="28" t="str">
        <f aca="false">IF(A429="","",COUNTIF(Trabalhos!$C$2:$C$1001,A429))</f>
        <v/>
      </c>
      <c r="G429" s="26" t="str">
        <f aca="false">IF(A429="","",SUMIFS(Trabalhos!$G$2:$G$1001,Trabalhos!$C$2:$C$1001,A429))</f>
        <v/>
      </c>
      <c r="H429" s="24"/>
    </row>
    <row r="430" customFormat="false" ht="15" hidden="false" customHeight="false" outlineLevel="0" collapsed="false">
      <c r="A430" s="24"/>
      <c r="B430" s="24"/>
      <c r="C430" s="24"/>
      <c r="D430" s="24"/>
      <c r="E430" s="24"/>
      <c r="F430" s="28" t="str">
        <f aca="false">IF(A430="","",COUNTIF(Trabalhos!$C$2:$C$1001,A430))</f>
        <v/>
      </c>
      <c r="G430" s="26" t="str">
        <f aca="false">IF(A430="","",SUMIFS(Trabalhos!$G$2:$G$1001,Trabalhos!$C$2:$C$1001,A430))</f>
        <v/>
      </c>
      <c r="H430" s="24"/>
    </row>
    <row r="431" customFormat="false" ht="15" hidden="false" customHeight="false" outlineLevel="0" collapsed="false">
      <c r="A431" s="24"/>
      <c r="B431" s="24"/>
      <c r="C431" s="24"/>
      <c r="D431" s="24"/>
      <c r="E431" s="24"/>
      <c r="F431" s="28" t="str">
        <f aca="false">IF(A431="","",COUNTIF(Trabalhos!$C$2:$C$1001,A431))</f>
        <v/>
      </c>
      <c r="G431" s="26" t="str">
        <f aca="false">IF(A431="","",SUMIFS(Trabalhos!$G$2:$G$1001,Trabalhos!$C$2:$C$1001,A431))</f>
        <v/>
      </c>
      <c r="H431" s="24"/>
    </row>
    <row r="432" customFormat="false" ht="15" hidden="false" customHeight="false" outlineLevel="0" collapsed="false">
      <c r="A432" s="24"/>
      <c r="B432" s="24"/>
      <c r="C432" s="24"/>
      <c r="D432" s="24"/>
      <c r="E432" s="24"/>
      <c r="F432" s="28" t="str">
        <f aca="false">IF(A432="","",COUNTIF(Trabalhos!$C$2:$C$1001,A432))</f>
        <v/>
      </c>
      <c r="G432" s="26" t="str">
        <f aca="false">IF(A432="","",SUMIFS(Trabalhos!$G$2:$G$1001,Trabalhos!$C$2:$C$1001,A432))</f>
        <v/>
      </c>
      <c r="H432" s="24"/>
    </row>
    <row r="433" customFormat="false" ht="15" hidden="false" customHeight="false" outlineLevel="0" collapsed="false">
      <c r="A433" s="24"/>
      <c r="B433" s="24"/>
      <c r="C433" s="24"/>
      <c r="D433" s="24"/>
      <c r="E433" s="24"/>
      <c r="F433" s="28" t="str">
        <f aca="false">IF(A433="","",COUNTIF(Trabalhos!$C$2:$C$1001,A433))</f>
        <v/>
      </c>
      <c r="G433" s="26" t="str">
        <f aca="false">IF(A433="","",SUMIFS(Trabalhos!$G$2:$G$1001,Trabalhos!$C$2:$C$1001,A433))</f>
        <v/>
      </c>
      <c r="H433" s="24"/>
    </row>
    <row r="434" customFormat="false" ht="15" hidden="false" customHeight="false" outlineLevel="0" collapsed="false">
      <c r="A434" s="24"/>
      <c r="B434" s="24"/>
      <c r="C434" s="24"/>
      <c r="D434" s="24"/>
      <c r="E434" s="24"/>
      <c r="F434" s="28" t="str">
        <f aca="false">IF(A434="","",COUNTIF(Trabalhos!$C$2:$C$1001,A434))</f>
        <v/>
      </c>
      <c r="G434" s="26" t="str">
        <f aca="false">IF(A434="","",SUMIFS(Trabalhos!$G$2:$G$1001,Trabalhos!$C$2:$C$1001,A434))</f>
        <v/>
      </c>
      <c r="H434" s="24"/>
    </row>
    <row r="435" customFormat="false" ht="15" hidden="false" customHeight="false" outlineLevel="0" collapsed="false">
      <c r="A435" s="24"/>
      <c r="B435" s="24"/>
      <c r="C435" s="24"/>
      <c r="D435" s="24"/>
      <c r="E435" s="24"/>
      <c r="F435" s="28" t="str">
        <f aca="false">IF(A435="","",COUNTIF(Trabalhos!$C$2:$C$1001,A435))</f>
        <v/>
      </c>
      <c r="G435" s="26" t="str">
        <f aca="false">IF(A435="","",SUMIFS(Trabalhos!$G$2:$G$1001,Trabalhos!$C$2:$C$1001,A435))</f>
        <v/>
      </c>
      <c r="H435" s="24"/>
    </row>
    <row r="436" customFormat="false" ht="15" hidden="false" customHeight="false" outlineLevel="0" collapsed="false">
      <c r="A436" s="24"/>
      <c r="B436" s="24"/>
      <c r="C436" s="24"/>
      <c r="D436" s="24"/>
      <c r="E436" s="24"/>
      <c r="F436" s="28" t="str">
        <f aca="false">IF(A436="","",COUNTIF(Trabalhos!$C$2:$C$1001,A436))</f>
        <v/>
      </c>
      <c r="G436" s="26" t="str">
        <f aca="false">IF(A436="","",SUMIFS(Trabalhos!$G$2:$G$1001,Trabalhos!$C$2:$C$1001,A436))</f>
        <v/>
      </c>
      <c r="H436" s="24"/>
    </row>
    <row r="437" customFormat="false" ht="15" hidden="false" customHeight="false" outlineLevel="0" collapsed="false">
      <c r="A437" s="24"/>
      <c r="B437" s="24"/>
      <c r="C437" s="24"/>
      <c r="D437" s="24"/>
      <c r="E437" s="24"/>
      <c r="F437" s="28" t="str">
        <f aca="false">IF(A437="","",COUNTIF(Trabalhos!$C$2:$C$1001,A437))</f>
        <v/>
      </c>
      <c r="G437" s="26" t="str">
        <f aca="false">IF(A437="","",SUMIFS(Trabalhos!$G$2:$G$1001,Trabalhos!$C$2:$C$1001,A437))</f>
        <v/>
      </c>
      <c r="H437" s="24"/>
    </row>
    <row r="438" customFormat="false" ht="15" hidden="false" customHeight="false" outlineLevel="0" collapsed="false">
      <c r="A438" s="24"/>
      <c r="B438" s="24"/>
      <c r="C438" s="24"/>
      <c r="D438" s="24"/>
      <c r="E438" s="24"/>
      <c r="F438" s="28" t="str">
        <f aca="false">IF(A438="","",COUNTIF(Trabalhos!$C$2:$C$1001,A438))</f>
        <v/>
      </c>
      <c r="G438" s="26" t="str">
        <f aca="false">IF(A438="","",SUMIFS(Trabalhos!$G$2:$G$1001,Trabalhos!$C$2:$C$1001,A438))</f>
        <v/>
      </c>
      <c r="H438" s="24"/>
    </row>
    <row r="439" customFormat="false" ht="15" hidden="false" customHeight="false" outlineLevel="0" collapsed="false">
      <c r="A439" s="24"/>
      <c r="B439" s="24"/>
      <c r="C439" s="24"/>
      <c r="D439" s="24"/>
      <c r="E439" s="24"/>
      <c r="F439" s="28" t="str">
        <f aca="false">IF(A439="","",COUNTIF(Trabalhos!$C$2:$C$1001,A439))</f>
        <v/>
      </c>
      <c r="G439" s="26" t="str">
        <f aca="false">IF(A439="","",SUMIFS(Trabalhos!$G$2:$G$1001,Trabalhos!$C$2:$C$1001,A439))</f>
        <v/>
      </c>
      <c r="H439" s="24"/>
    </row>
    <row r="440" customFormat="false" ht="15" hidden="false" customHeight="false" outlineLevel="0" collapsed="false">
      <c r="A440" s="24"/>
      <c r="B440" s="24"/>
      <c r="C440" s="24"/>
      <c r="D440" s="24"/>
      <c r="E440" s="24"/>
      <c r="F440" s="28" t="str">
        <f aca="false">IF(A440="","",COUNTIF(Trabalhos!$C$2:$C$1001,A440))</f>
        <v/>
      </c>
      <c r="G440" s="26" t="str">
        <f aca="false">IF(A440="","",SUMIFS(Trabalhos!$G$2:$G$1001,Trabalhos!$C$2:$C$1001,A440))</f>
        <v/>
      </c>
      <c r="H440" s="24"/>
    </row>
    <row r="441" customFormat="false" ht="15" hidden="false" customHeight="false" outlineLevel="0" collapsed="false">
      <c r="A441" s="24"/>
      <c r="B441" s="24"/>
      <c r="C441" s="24"/>
      <c r="D441" s="24"/>
      <c r="E441" s="24"/>
      <c r="F441" s="28" t="str">
        <f aca="false">IF(A441="","",COUNTIF(Trabalhos!$C$2:$C$1001,A441))</f>
        <v/>
      </c>
      <c r="G441" s="26" t="str">
        <f aca="false">IF(A441="","",SUMIFS(Trabalhos!$G$2:$G$1001,Trabalhos!$C$2:$C$1001,A441))</f>
        <v/>
      </c>
      <c r="H441" s="24"/>
    </row>
    <row r="442" customFormat="false" ht="15" hidden="false" customHeight="false" outlineLevel="0" collapsed="false">
      <c r="A442" s="24"/>
      <c r="B442" s="24"/>
      <c r="C442" s="24"/>
      <c r="D442" s="24"/>
      <c r="E442" s="24"/>
      <c r="F442" s="28" t="str">
        <f aca="false">IF(A442="","",COUNTIF(Trabalhos!$C$2:$C$1001,A442))</f>
        <v/>
      </c>
      <c r="G442" s="26" t="str">
        <f aca="false">IF(A442="","",SUMIFS(Trabalhos!$G$2:$G$1001,Trabalhos!$C$2:$C$1001,A442))</f>
        <v/>
      </c>
      <c r="H442" s="24"/>
    </row>
    <row r="443" customFormat="false" ht="15" hidden="false" customHeight="false" outlineLevel="0" collapsed="false">
      <c r="A443" s="24"/>
      <c r="B443" s="24"/>
      <c r="C443" s="24"/>
      <c r="D443" s="24"/>
      <c r="E443" s="24"/>
      <c r="F443" s="28" t="str">
        <f aca="false">IF(A443="","",COUNTIF(Trabalhos!$C$2:$C$1001,A443))</f>
        <v/>
      </c>
      <c r="G443" s="26" t="str">
        <f aca="false">IF(A443="","",SUMIFS(Trabalhos!$G$2:$G$1001,Trabalhos!$C$2:$C$1001,A443))</f>
        <v/>
      </c>
      <c r="H443" s="24"/>
    </row>
    <row r="444" customFormat="false" ht="15" hidden="false" customHeight="false" outlineLevel="0" collapsed="false">
      <c r="A444" s="24"/>
      <c r="B444" s="24"/>
      <c r="C444" s="24"/>
      <c r="D444" s="24"/>
      <c r="E444" s="24"/>
      <c r="F444" s="28" t="str">
        <f aca="false">IF(A444="","",COUNTIF(Trabalhos!$C$2:$C$1001,A444))</f>
        <v/>
      </c>
      <c r="G444" s="26" t="str">
        <f aca="false">IF(A444="","",SUMIFS(Trabalhos!$G$2:$G$1001,Trabalhos!$C$2:$C$1001,A444))</f>
        <v/>
      </c>
      <c r="H444" s="24"/>
    </row>
    <row r="445" customFormat="false" ht="15" hidden="false" customHeight="false" outlineLevel="0" collapsed="false">
      <c r="A445" s="24"/>
      <c r="B445" s="24"/>
      <c r="C445" s="24"/>
      <c r="D445" s="24"/>
      <c r="E445" s="24"/>
      <c r="F445" s="28" t="str">
        <f aca="false">IF(A445="","",COUNTIF(Trabalhos!$C$2:$C$1001,A445))</f>
        <v/>
      </c>
      <c r="G445" s="26" t="str">
        <f aca="false">IF(A445="","",SUMIFS(Trabalhos!$G$2:$G$1001,Trabalhos!$C$2:$C$1001,A445))</f>
        <v/>
      </c>
      <c r="H445" s="24"/>
    </row>
    <row r="446" customFormat="false" ht="15" hidden="false" customHeight="false" outlineLevel="0" collapsed="false">
      <c r="A446" s="24"/>
      <c r="B446" s="24"/>
      <c r="C446" s="24"/>
      <c r="D446" s="24"/>
      <c r="E446" s="24"/>
      <c r="F446" s="28" t="str">
        <f aca="false">IF(A446="","",COUNTIF(Trabalhos!$C$2:$C$1001,A446))</f>
        <v/>
      </c>
      <c r="G446" s="26" t="str">
        <f aca="false">IF(A446="","",SUMIFS(Trabalhos!$G$2:$G$1001,Trabalhos!$C$2:$C$1001,A446))</f>
        <v/>
      </c>
      <c r="H446" s="24"/>
    </row>
    <row r="447" customFormat="false" ht="15" hidden="false" customHeight="false" outlineLevel="0" collapsed="false">
      <c r="A447" s="24"/>
      <c r="B447" s="24"/>
      <c r="C447" s="24"/>
      <c r="D447" s="24"/>
      <c r="E447" s="24"/>
      <c r="F447" s="28" t="str">
        <f aca="false">IF(A447="","",COUNTIF(Trabalhos!$C$2:$C$1001,A447))</f>
        <v/>
      </c>
      <c r="G447" s="26" t="str">
        <f aca="false">IF(A447="","",SUMIFS(Trabalhos!$G$2:$G$1001,Trabalhos!$C$2:$C$1001,A447))</f>
        <v/>
      </c>
      <c r="H447" s="24"/>
    </row>
    <row r="448" customFormat="false" ht="15" hidden="false" customHeight="false" outlineLevel="0" collapsed="false">
      <c r="A448" s="24"/>
      <c r="B448" s="24"/>
      <c r="C448" s="24"/>
      <c r="D448" s="24"/>
      <c r="E448" s="24"/>
      <c r="F448" s="28" t="str">
        <f aca="false">IF(A448="","",COUNTIF(Trabalhos!$C$2:$C$1001,A448))</f>
        <v/>
      </c>
      <c r="G448" s="26" t="str">
        <f aca="false">IF(A448="","",SUMIFS(Trabalhos!$G$2:$G$1001,Trabalhos!$C$2:$C$1001,A448))</f>
        <v/>
      </c>
      <c r="H448" s="24"/>
    </row>
    <row r="449" customFormat="false" ht="15" hidden="false" customHeight="false" outlineLevel="0" collapsed="false">
      <c r="A449" s="24"/>
      <c r="B449" s="24"/>
      <c r="C449" s="24"/>
      <c r="D449" s="24"/>
      <c r="E449" s="24"/>
      <c r="F449" s="28" t="str">
        <f aca="false">IF(A449="","",COUNTIF(Trabalhos!$C$2:$C$1001,A449))</f>
        <v/>
      </c>
      <c r="G449" s="26" t="str">
        <f aca="false">IF(A449="","",SUMIFS(Trabalhos!$G$2:$G$1001,Trabalhos!$C$2:$C$1001,A449))</f>
        <v/>
      </c>
      <c r="H449" s="24"/>
    </row>
    <row r="450" customFormat="false" ht="15" hidden="false" customHeight="false" outlineLevel="0" collapsed="false">
      <c r="A450" s="24"/>
      <c r="B450" s="24"/>
      <c r="C450" s="24"/>
      <c r="D450" s="24"/>
      <c r="E450" s="24"/>
      <c r="F450" s="28" t="str">
        <f aca="false">IF(A450="","",COUNTIF(Trabalhos!$C$2:$C$1001,A450))</f>
        <v/>
      </c>
      <c r="G450" s="26" t="str">
        <f aca="false">IF(A450="","",SUMIFS(Trabalhos!$G$2:$G$1001,Trabalhos!$C$2:$C$1001,A450))</f>
        <v/>
      </c>
      <c r="H450" s="24"/>
    </row>
    <row r="451" customFormat="false" ht="15" hidden="false" customHeight="false" outlineLevel="0" collapsed="false">
      <c r="A451" s="24"/>
      <c r="B451" s="24"/>
      <c r="C451" s="24"/>
      <c r="D451" s="24"/>
      <c r="E451" s="24"/>
      <c r="F451" s="28" t="str">
        <f aca="false">IF(A451="","",COUNTIF(Trabalhos!$C$2:$C$1001,A451))</f>
        <v/>
      </c>
      <c r="G451" s="26" t="str">
        <f aca="false">IF(A451="","",SUMIFS(Trabalhos!$G$2:$G$1001,Trabalhos!$C$2:$C$1001,A451))</f>
        <v/>
      </c>
      <c r="H451" s="24"/>
    </row>
    <row r="452" customFormat="false" ht="15" hidden="false" customHeight="false" outlineLevel="0" collapsed="false">
      <c r="A452" s="24"/>
      <c r="B452" s="24"/>
      <c r="C452" s="24"/>
      <c r="D452" s="24"/>
      <c r="E452" s="24"/>
      <c r="F452" s="28" t="str">
        <f aca="false">IF(A452="","",COUNTIF(Trabalhos!$C$2:$C$1001,A452))</f>
        <v/>
      </c>
      <c r="G452" s="26" t="str">
        <f aca="false">IF(A452="","",SUMIFS(Trabalhos!$G$2:$G$1001,Trabalhos!$C$2:$C$1001,A452))</f>
        <v/>
      </c>
      <c r="H452" s="24"/>
    </row>
    <row r="453" customFormat="false" ht="15" hidden="false" customHeight="false" outlineLevel="0" collapsed="false">
      <c r="A453" s="24"/>
      <c r="B453" s="24"/>
      <c r="C453" s="24"/>
      <c r="D453" s="24"/>
      <c r="E453" s="24"/>
      <c r="F453" s="28" t="str">
        <f aca="false">IF(A453="","",COUNTIF(Trabalhos!$C$2:$C$1001,A453))</f>
        <v/>
      </c>
      <c r="G453" s="26" t="str">
        <f aca="false">IF(A453="","",SUMIFS(Trabalhos!$G$2:$G$1001,Trabalhos!$C$2:$C$1001,A453))</f>
        <v/>
      </c>
      <c r="H453" s="24"/>
    </row>
    <row r="454" customFormat="false" ht="15" hidden="false" customHeight="false" outlineLevel="0" collapsed="false">
      <c r="A454" s="24"/>
      <c r="B454" s="24"/>
      <c r="C454" s="24"/>
      <c r="D454" s="24"/>
      <c r="E454" s="24"/>
      <c r="F454" s="28" t="str">
        <f aca="false">IF(A454="","",COUNTIF(Trabalhos!$C$2:$C$1001,A454))</f>
        <v/>
      </c>
      <c r="G454" s="26" t="str">
        <f aca="false">IF(A454="","",SUMIFS(Trabalhos!$G$2:$G$1001,Trabalhos!$C$2:$C$1001,A454))</f>
        <v/>
      </c>
      <c r="H454" s="24"/>
    </row>
    <row r="455" customFormat="false" ht="15" hidden="false" customHeight="false" outlineLevel="0" collapsed="false">
      <c r="A455" s="24"/>
      <c r="B455" s="24"/>
      <c r="C455" s="24"/>
      <c r="D455" s="24"/>
      <c r="E455" s="24"/>
      <c r="F455" s="28" t="str">
        <f aca="false">IF(A455="","",COUNTIF(Trabalhos!$C$2:$C$1001,A455))</f>
        <v/>
      </c>
      <c r="G455" s="26" t="str">
        <f aca="false">IF(A455="","",SUMIFS(Trabalhos!$G$2:$G$1001,Trabalhos!$C$2:$C$1001,A455))</f>
        <v/>
      </c>
      <c r="H455" s="24"/>
    </row>
    <row r="456" customFormat="false" ht="15" hidden="false" customHeight="false" outlineLevel="0" collapsed="false">
      <c r="A456" s="24"/>
      <c r="B456" s="24"/>
      <c r="C456" s="24"/>
      <c r="D456" s="24"/>
      <c r="E456" s="24"/>
      <c r="F456" s="28" t="str">
        <f aca="false">IF(A456="","",COUNTIF(Trabalhos!$C$2:$C$1001,A456))</f>
        <v/>
      </c>
      <c r="G456" s="26" t="str">
        <f aca="false">IF(A456="","",SUMIFS(Trabalhos!$G$2:$G$1001,Trabalhos!$C$2:$C$1001,A456))</f>
        <v/>
      </c>
      <c r="H456" s="24"/>
    </row>
    <row r="457" customFormat="false" ht="15" hidden="false" customHeight="false" outlineLevel="0" collapsed="false">
      <c r="A457" s="24"/>
      <c r="B457" s="24"/>
      <c r="C457" s="24"/>
      <c r="D457" s="24"/>
      <c r="E457" s="24"/>
      <c r="F457" s="28" t="str">
        <f aca="false">IF(A457="","",COUNTIF(Trabalhos!$C$2:$C$1001,A457))</f>
        <v/>
      </c>
      <c r="G457" s="26" t="str">
        <f aca="false">IF(A457="","",SUMIFS(Trabalhos!$G$2:$G$1001,Trabalhos!$C$2:$C$1001,A457))</f>
        <v/>
      </c>
      <c r="H457" s="24"/>
    </row>
    <row r="458" customFormat="false" ht="15" hidden="false" customHeight="false" outlineLevel="0" collapsed="false">
      <c r="A458" s="24"/>
      <c r="B458" s="24"/>
      <c r="C458" s="24"/>
      <c r="D458" s="24"/>
      <c r="E458" s="24"/>
      <c r="F458" s="28" t="str">
        <f aca="false">IF(A458="","",COUNTIF(Trabalhos!$C$2:$C$1001,A458))</f>
        <v/>
      </c>
      <c r="G458" s="26" t="str">
        <f aca="false">IF(A458="","",SUMIFS(Trabalhos!$G$2:$G$1001,Trabalhos!$C$2:$C$1001,A458))</f>
        <v/>
      </c>
      <c r="H458" s="24"/>
    </row>
    <row r="459" customFormat="false" ht="15" hidden="false" customHeight="false" outlineLevel="0" collapsed="false">
      <c r="A459" s="24"/>
      <c r="B459" s="24"/>
      <c r="C459" s="24"/>
      <c r="D459" s="24"/>
      <c r="E459" s="24"/>
      <c r="F459" s="28" t="str">
        <f aca="false">IF(A459="","",COUNTIF(Trabalhos!$C$2:$C$1001,A459))</f>
        <v/>
      </c>
      <c r="G459" s="26" t="str">
        <f aca="false">IF(A459="","",SUMIFS(Trabalhos!$G$2:$G$1001,Trabalhos!$C$2:$C$1001,A459))</f>
        <v/>
      </c>
      <c r="H459" s="24"/>
    </row>
    <row r="460" customFormat="false" ht="15" hidden="false" customHeight="false" outlineLevel="0" collapsed="false">
      <c r="A460" s="24"/>
      <c r="B460" s="24"/>
      <c r="C460" s="24"/>
      <c r="D460" s="24"/>
      <c r="E460" s="24"/>
      <c r="F460" s="28" t="str">
        <f aca="false">IF(A460="","",COUNTIF(Trabalhos!$C$2:$C$1001,A460))</f>
        <v/>
      </c>
      <c r="G460" s="26" t="str">
        <f aca="false">IF(A460="","",SUMIFS(Trabalhos!$G$2:$G$1001,Trabalhos!$C$2:$C$1001,A460))</f>
        <v/>
      </c>
      <c r="H460" s="24"/>
    </row>
    <row r="461" customFormat="false" ht="15" hidden="false" customHeight="false" outlineLevel="0" collapsed="false">
      <c r="A461" s="24"/>
      <c r="B461" s="24"/>
      <c r="C461" s="24"/>
      <c r="D461" s="24"/>
      <c r="E461" s="24"/>
      <c r="F461" s="28" t="str">
        <f aca="false">IF(A461="","",COUNTIF(Trabalhos!$C$2:$C$1001,A461))</f>
        <v/>
      </c>
      <c r="G461" s="26" t="str">
        <f aca="false">IF(A461="","",SUMIFS(Trabalhos!$G$2:$G$1001,Trabalhos!$C$2:$C$1001,A461))</f>
        <v/>
      </c>
      <c r="H461" s="24"/>
    </row>
    <row r="462" customFormat="false" ht="15" hidden="false" customHeight="false" outlineLevel="0" collapsed="false">
      <c r="A462" s="24"/>
      <c r="B462" s="24"/>
      <c r="C462" s="24"/>
      <c r="D462" s="24"/>
      <c r="E462" s="24"/>
      <c r="F462" s="28" t="str">
        <f aca="false">IF(A462="","",COUNTIF(Trabalhos!$C$2:$C$1001,A462))</f>
        <v/>
      </c>
      <c r="G462" s="26" t="str">
        <f aca="false">IF(A462="","",SUMIFS(Trabalhos!$G$2:$G$1001,Trabalhos!$C$2:$C$1001,A462))</f>
        <v/>
      </c>
      <c r="H462" s="24"/>
    </row>
    <row r="463" customFormat="false" ht="15" hidden="false" customHeight="false" outlineLevel="0" collapsed="false">
      <c r="A463" s="24"/>
      <c r="B463" s="24"/>
      <c r="C463" s="24"/>
      <c r="D463" s="24"/>
      <c r="E463" s="24"/>
      <c r="F463" s="28" t="str">
        <f aca="false">IF(A463="","",COUNTIF(Trabalhos!$C$2:$C$1001,A463))</f>
        <v/>
      </c>
      <c r="G463" s="26" t="str">
        <f aca="false">IF(A463="","",SUMIFS(Trabalhos!$G$2:$G$1001,Trabalhos!$C$2:$C$1001,A463))</f>
        <v/>
      </c>
      <c r="H463" s="24"/>
    </row>
    <row r="464" customFormat="false" ht="15" hidden="false" customHeight="false" outlineLevel="0" collapsed="false">
      <c r="A464" s="24"/>
      <c r="B464" s="24"/>
      <c r="C464" s="24"/>
      <c r="D464" s="24"/>
      <c r="E464" s="24"/>
      <c r="F464" s="28" t="str">
        <f aca="false">IF(A464="","",COUNTIF(Trabalhos!$C$2:$C$1001,A464))</f>
        <v/>
      </c>
      <c r="G464" s="26" t="str">
        <f aca="false">IF(A464="","",SUMIFS(Trabalhos!$G$2:$G$1001,Trabalhos!$C$2:$C$1001,A464))</f>
        <v/>
      </c>
      <c r="H464" s="24"/>
    </row>
    <row r="465" customFormat="false" ht="15" hidden="false" customHeight="false" outlineLevel="0" collapsed="false">
      <c r="A465" s="24"/>
      <c r="B465" s="24"/>
      <c r="C465" s="24"/>
      <c r="D465" s="24"/>
      <c r="E465" s="24"/>
      <c r="F465" s="28" t="str">
        <f aca="false">IF(A465="","",COUNTIF(Trabalhos!$C$2:$C$1001,A465))</f>
        <v/>
      </c>
      <c r="G465" s="26" t="str">
        <f aca="false">IF(A465="","",SUMIFS(Trabalhos!$G$2:$G$1001,Trabalhos!$C$2:$C$1001,A465))</f>
        <v/>
      </c>
      <c r="H465" s="24"/>
    </row>
    <row r="466" customFormat="false" ht="15" hidden="false" customHeight="false" outlineLevel="0" collapsed="false">
      <c r="A466" s="24"/>
      <c r="B466" s="24"/>
      <c r="C466" s="24"/>
      <c r="D466" s="24"/>
      <c r="E466" s="24"/>
      <c r="F466" s="28" t="str">
        <f aca="false">IF(A466="","",COUNTIF(Trabalhos!$C$2:$C$1001,A466))</f>
        <v/>
      </c>
      <c r="G466" s="26" t="str">
        <f aca="false">IF(A466="","",SUMIFS(Trabalhos!$G$2:$G$1001,Trabalhos!$C$2:$C$1001,A466))</f>
        <v/>
      </c>
      <c r="H466" s="24"/>
    </row>
    <row r="467" customFormat="false" ht="15" hidden="false" customHeight="false" outlineLevel="0" collapsed="false">
      <c r="A467" s="24"/>
      <c r="B467" s="24"/>
      <c r="C467" s="24"/>
      <c r="D467" s="24"/>
      <c r="E467" s="24"/>
      <c r="F467" s="28" t="str">
        <f aca="false">IF(A467="","",COUNTIF(Trabalhos!$C$2:$C$1001,A467))</f>
        <v/>
      </c>
      <c r="G467" s="26" t="str">
        <f aca="false">IF(A467="","",SUMIFS(Trabalhos!$G$2:$G$1001,Trabalhos!$C$2:$C$1001,A467))</f>
        <v/>
      </c>
      <c r="H467" s="24"/>
    </row>
    <row r="468" customFormat="false" ht="15" hidden="false" customHeight="false" outlineLevel="0" collapsed="false">
      <c r="A468" s="24"/>
      <c r="B468" s="24"/>
      <c r="C468" s="24"/>
      <c r="D468" s="24"/>
      <c r="E468" s="24"/>
      <c r="F468" s="28" t="str">
        <f aca="false">IF(A468="","",COUNTIF(Trabalhos!$C$2:$C$1001,A468))</f>
        <v/>
      </c>
      <c r="G468" s="26" t="str">
        <f aca="false">IF(A468="","",SUMIFS(Trabalhos!$G$2:$G$1001,Trabalhos!$C$2:$C$1001,A468))</f>
        <v/>
      </c>
      <c r="H468" s="24"/>
    </row>
    <row r="469" customFormat="false" ht="15" hidden="false" customHeight="false" outlineLevel="0" collapsed="false">
      <c r="A469" s="24"/>
      <c r="B469" s="24"/>
      <c r="C469" s="24"/>
      <c r="D469" s="24"/>
      <c r="E469" s="24"/>
      <c r="F469" s="28" t="str">
        <f aca="false">IF(A469="","",COUNTIF(Trabalhos!$C$2:$C$1001,A469))</f>
        <v/>
      </c>
      <c r="G469" s="26" t="str">
        <f aca="false">IF(A469="","",SUMIFS(Trabalhos!$G$2:$G$1001,Trabalhos!$C$2:$C$1001,A469))</f>
        <v/>
      </c>
      <c r="H469" s="24"/>
    </row>
    <row r="470" customFormat="false" ht="15" hidden="false" customHeight="false" outlineLevel="0" collapsed="false">
      <c r="A470" s="24"/>
      <c r="B470" s="24"/>
      <c r="C470" s="24"/>
      <c r="D470" s="24"/>
      <c r="E470" s="24"/>
      <c r="F470" s="28" t="str">
        <f aca="false">IF(A470="","",COUNTIF(Trabalhos!$C$2:$C$1001,A470))</f>
        <v/>
      </c>
      <c r="G470" s="26" t="str">
        <f aca="false">IF(A470="","",SUMIFS(Trabalhos!$G$2:$G$1001,Trabalhos!$C$2:$C$1001,A470))</f>
        <v/>
      </c>
      <c r="H470" s="24"/>
    </row>
    <row r="471" customFormat="false" ht="15" hidden="false" customHeight="false" outlineLevel="0" collapsed="false">
      <c r="A471" s="24"/>
      <c r="B471" s="24"/>
      <c r="C471" s="24"/>
      <c r="D471" s="24"/>
      <c r="E471" s="24"/>
      <c r="F471" s="28" t="str">
        <f aca="false">IF(A471="","",COUNTIF(Trabalhos!$C$2:$C$1001,A471))</f>
        <v/>
      </c>
      <c r="G471" s="26" t="str">
        <f aca="false">IF(A471="","",SUMIFS(Trabalhos!$G$2:$G$1001,Trabalhos!$C$2:$C$1001,A471))</f>
        <v/>
      </c>
      <c r="H471" s="24"/>
    </row>
    <row r="472" customFormat="false" ht="15" hidden="false" customHeight="false" outlineLevel="0" collapsed="false">
      <c r="A472" s="24"/>
      <c r="B472" s="24"/>
      <c r="C472" s="24"/>
      <c r="D472" s="24"/>
      <c r="E472" s="24"/>
      <c r="F472" s="28" t="str">
        <f aca="false">IF(A472="","",COUNTIF(Trabalhos!$C$2:$C$1001,A472))</f>
        <v/>
      </c>
      <c r="G472" s="26" t="str">
        <f aca="false">IF(A472="","",SUMIFS(Trabalhos!$G$2:$G$1001,Trabalhos!$C$2:$C$1001,A472))</f>
        <v/>
      </c>
      <c r="H472" s="24"/>
    </row>
    <row r="473" customFormat="false" ht="15" hidden="false" customHeight="false" outlineLevel="0" collapsed="false">
      <c r="A473" s="24"/>
      <c r="B473" s="24"/>
      <c r="C473" s="24"/>
      <c r="D473" s="24"/>
      <c r="E473" s="24"/>
      <c r="F473" s="28" t="str">
        <f aca="false">IF(A473="","",COUNTIF(Trabalhos!$C$2:$C$1001,A473))</f>
        <v/>
      </c>
      <c r="G473" s="26" t="str">
        <f aca="false">IF(A473="","",SUMIFS(Trabalhos!$G$2:$G$1001,Trabalhos!$C$2:$C$1001,A473))</f>
        <v/>
      </c>
      <c r="H473" s="24"/>
    </row>
    <row r="474" customFormat="false" ht="15" hidden="false" customHeight="false" outlineLevel="0" collapsed="false">
      <c r="A474" s="24"/>
      <c r="B474" s="24"/>
      <c r="C474" s="24"/>
      <c r="D474" s="24"/>
      <c r="E474" s="24"/>
      <c r="F474" s="28" t="str">
        <f aca="false">IF(A474="","",COUNTIF(Trabalhos!$C$2:$C$1001,A474))</f>
        <v/>
      </c>
      <c r="G474" s="26" t="str">
        <f aca="false">IF(A474="","",SUMIFS(Trabalhos!$G$2:$G$1001,Trabalhos!$C$2:$C$1001,A474))</f>
        <v/>
      </c>
      <c r="H474" s="24"/>
    </row>
    <row r="475" customFormat="false" ht="15" hidden="false" customHeight="false" outlineLevel="0" collapsed="false">
      <c r="A475" s="24"/>
      <c r="B475" s="24"/>
      <c r="C475" s="24"/>
      <c r="D475" s="24"/>
      <c r="E475" s="24"/>
      <c r="F475" s="28" t="str">
        <f aca="false">IF(A475="","",COUNTIF(Trabalhos!$C$2:$C$1001,A475))</f>
        <v/>
      </c>
      <c r="G475" s="26" t="str">
        <f aca="false">IF(A475="","",SUMIFS(Trabalhos!$G$2:$G$1001,Trabalhos!$C$2:$C$1001,A475))</f>
        <v/>
      </c>
      <c r="H475" s="24"/>
    </row>
    <row r="476" customFormat="false" ht="15" hidden="false" customHeight="false" outlineLevel="0" collapsed="false">
      <c r="A476" s="24"/>
      <c r="B476" s="24"/>
      <c r="C476" s="24"/>
      <c r="D476" s="24"/>
      <c r="E476" s="24"/>
      <c r="F476" s="28" t="str">
        <f aca="false">IF(A476="","",COUNTIF(Trabalhos!$C$2:$C$1001,A476))</f>
        <v/>
      </c>
      <c r="G476" s="26" t="str">
        <f aca="false">IF(A476="","",SUMIFS(Trabalhos!$G$2:$G$1001,Trabalhos!$C$2:$C$1001,A476))</f>
        <v/>
      </c>
      <c r="H476" s="24"/>
    </row>
    <row r="477" customFormat="false" ht="15" hidden="false" customHeight="false" outlineLevel="0" collapsed="false">
      <c r="A477" s="24"/>
      <c r="B477" s="24"/>
      <c r="C477" s="24"/>
      <c r="D477" s="24"/>
      <c r="E477" s="24"/>
      <c r="F477" s="28" t="str">
        <f aca="false">IF(A477="","",COUNTIF(Trabalhos!$C$2:$C$1001,A477))</f>
        <v/>
      </c>
      <c r="G477" s="26" t="str">
        <f aca="false">IF(A477="","",SUMIFS(Trabalhos!$G$2:$G$1001,Trabalhos!$C$2:$C$1001,A477))</f>
        <v/>
      </c>
      <c r="H477" s="24"/>
    </row>
    <row r="478" customFormat="false" ht="15" hidden="false" customHeight="false" outlineLevel="0" collapsed="false">
      <c r="A478" s="24"/>
      <c r="B478" s="24"/>
      <c r="C478" s="24"/>
      <c r="D478" s="24"/>
      <c r="E478" s="24"/>
      <c r="F478" s="28" t="str">
        <f aca="false">IF(A478="","",COUNTIF(Trabalhos!$C$2:$C$1001,A478))</f>
        <v/>
      </c>
      <c r="G478" s="26" t="str">
        <f aca="false">IF(A478="","",SUMIFS(Trabalhos!$G$2:$G$1001,Trabalhos!$C$2:$C$1001,A478))</f>
        <v/>
      </c>
      <c r="H478" s="24"/>
    </row>
    <row r="479" customFormat="false" ht="15" hidden="false" customHeight="false" outlineLevel="0" collapsed="false">
      <c r="A479" s="24"/>
      <c r="B479" s="24"/>
      <c r="C479" s="24"/>
      <c r="D479" s="24"/>
      <c r="E479" s="24"/>
      <c r="F479" s="28" t="str">
        <f aca="false">IF(A479="","",COUNTIF(Trabalhos!$C$2:$C$1001,A479))</f>
        <v/>
      </c>
      <c r="G479" s="26" t="str">
        <f aca="false">IF(A479="","",SUMIFS(Trabalhos!$G$2:$G$1001,Trabalhos!$C$2:$C$1001,A479))</f>
        <v/>
      </c>
      <c r="H479" s="24"/>
    </row>
    <row r="480" customFormat="false" ht="15" hidden="false" customHeight="false" outlineLevel="0" collapsed="false">
      <c r="A480" s="24"/>
      <c r="B480" s="24"/>
      <c r="C480" s="24"/>
      <c r="D480" s="24"/>
      <c r="E480" s="24"/>
      <c r="F480" s="28" t="str">
        <f aca="false">IF(A480="","",COUNTIF(Trabalhos!$C$2:$C$1001,A480))</f>
        <v/>
      </c>
      <c r="G480" s="26" t="str">
        <f aca="false">IF(A480="","",SUMIFS(Trabalhos!$G$2:$G$1001,Trabalhos!$C$2:$C$1001,A480))</f>
        <v/>
      </c>
      <c r="H480" s="24"/>
    </row>
    <row r="481" customFormat="false" ht="15" hidden="false" customHeight="false" outlineLevel="0" collapsed="false">
      <c r="A481" s="24"/>
      <c r="B481" s="24"/>
      <c r="C481" s="24"/>
      <c r="D481" s="24"/>
      <c r="E481" s="24"/>
      <c r="F481" s="28" t="str">
        <f aca="false">IF(A481="","",COUNTIF(Trabalhos!$C$2:$C$1001,A481))</f>
        <v/>
      </c>
      <c r="G481" s="26" t="str">
        <f aca="false">IF(A481="","",SUMIFS(Trabalhos!$G$2:$G$1001,Trabalhos!$C$2:$C$1001,A481))</f>
        <v/>
      </c>
      <c r="H481" s="24"/>
    </row>
    <row r="482" customFormat="false" ht="15" hidden="false" customHeight="false" outlineLevel="0" collapsed="false">
      <c r="A482" s="24"/>
      <c r="B482" s="24"/>
      <c r="C482" s="24"/>
      <c r="D482" s="24"/>
      <c r="E482" s="24"/>
      <c r="F482" s="28" t="str">
        <f aca="false">IF(A482="","",COUNTIF(Trabalhos!$C$2:$C$1001,A482))</f>
        <v/>
      </c>
      <c r="G482" s="26" t="str">
        <f aca="false">IF(A482="","",SUMIFS(Trabalhos!$G$2:$G$1001,Trabalhos!$C$2:$C$1001,A482))</f>
        <v/>
      </c>
      <c r="H482" s="24"/>
    </row>
    <row r="483" customFormat="false" ht="15" hidden="false" customHeight="false" outlineLevel="0" collapsed="false">
      <c r="A483" s="24"/>
      <c r="B483" s="24"/>
      <c r="C483" s="24"/>
      <c r="D483" s="24"/>
      <c r="E483" s="24"/>
      <c r="F483" s="28" t="str">
        <f aca="false">IF(A483="","",COUNTIF(Trabalhos!$C$2:$C$1001,A483))</f>
        <v/>
      </c>
      <c r="G483" s="26" t="str">
        <f aca="false">IF(A483="","",SUMIFS(Trabalhos!$G$2:$G$1001,Trabalhos!$C$2:$C$1001,A483))</f>
        <v/>
      </c>
      <c r="H483" s="24"/>
    </row>
    <row r="484" customFormat="false" ht="15" hidden="false" customHeight="false" outlineLevel="0" collapsed="false">
      <c r="A484" s="24"/>
      <c r="B484" s="24"/>
      <c r="C484" s="24"/>
      <c r="D484" s="24"/>
      <c r="E484" s="24"/>
      <c r="F484" s="28" t="str">
        <f aca="false">IF(A484="","",COUNTIF(Trabalhos!$C$2:$C$1001,A484))</f>
        <v/>
      </c>
      <c r="G484" s="26" t="str">
        <f aca="false">IF(A484="","",SUMIFS(Trabalhos!$G$2:$G$1001,Trabalhos!$C$2:$C$1001,A484))</f>
        <v/>
      </c>
      <c r="H484" s="24"/>
    </row>
    <row r="485" customFormat="false" ht="15" hidden="false" customHeight="false" outlineLevel="0" collapsed="false">
      <c r="A485" s="24"/>
      <c r="B485" s="24"/>
      <c r="C485" s="24"/>
      <c r="D485" s="24"/>
      <c r="E485" s="24"/>
      <c r="F485" s="28" t="str">
        <f aca="false">IF(A485="","",COUNTIF(Trabalhos!$C$2:$C$1001,A485))</f>
        <v/>
      </c>
      <c r="G485" s="26" t="str">
        <f aca="false">IF(A485="","",SUMIFS(Trabalhos!$G$2:$G$1001,Trabalhos!$C$2:$C$1001,A485))</f>
        <v/>
      </c>
      <c r="H485" s="24"/>
    </row>
    <row r="486" customFormat="false" ht="15" hidden="false" customHeight="false" outlineLevel="0" collapsed="false">
      <c r="A486" s="24"/>
      <c r="B486" s="24"/>
      <c r="C486" s="24"/>
      <c r="D486" s="24"/>
      <c r="E486" s="24"/>
      <c r="F486" s="28" t="str">
        <f aca="false">IF(A486="","",COUNTIF(Trabalhos!$C$2:$C$1001,A486))</f>
        <v/>
      </c>
      <c r="G486" s="26" t="str">
        <f aca="false">IF(A486="","",SUMIFS(Trabalhos!$G$2:$G$1001,Trabalhos!$C$2:$C$1001,A486))</f>
        <v/>
      </c>
      <c r="H486" s="24"/>
    </row>
    <row r="487" customFormat="false" ht="15" hidden="false" customHeight="false" outlineLevel="0" collapsed="false">
      <c r="A487" s="24"/>
      <c r="B487" s="24"/>
      <c r="C487" s="24"/>
      <c r="D487" s="24"/>
      <c r="E487" s="24"/>
      <c r="F487" s="28" t="str">
        <f aca="false">IF(A487="","",COUNTIF(Trabalhos!$C$2:$C$1001,A487))</f>
        <v/>
      </c>
      <c r="G487" s="26" t="str">
        <f aca="false">IF(A487="","",SUMIFS(Trabalhos!$G$2:$G$1001,Trabalhos!$C$2:$C$1001,A487))</f>
        <v/>
      </c>
      <c r="H487" s="24"/>
    </row>
    <row r="488" customFormat="false" ht="15" hidden="false" customHeight="false" outlineLevel="0" collapsed="false">
      <c r="A488" s="24"/>
      <c r="B488" s="24"/>
      <c r="C488" s="24"/>
      <c r="D488" s="24"/>
      <c r="E488" s="24"/>
      <c r="F488" s="28" t="str">
        <f aca="false">IF(A488="","",COUNTIF(Trabalhos!$C$2:$C$1001,A488))</f>
        <v/>
      </c>
      <c r="G488" s="26" t="str">
        <f aca="false">IF(A488="","",SUMIFS(Trabalhos!$G$2:$G$1001,Trabalhos!$C$2:$C$1001,A488))</f>
        <v/>
      </c>
      <c r="H488" s="24"/>
    </row>
    <row r="489" customFormat="false" ht="15" hidden="false" customHeight="false" outlineLevel="0" collapsed="false">
      <c r="A489" s="24"/>
      <c r="B489" s="24"/>
      <c r="C489" s="24"/>
      <c r="D489" s="24"/>
      <c r="E489" s="24"/>
      <c r="F489" s="28" t="str">
        <f aca="false">IF(A489="","",COUNTIF(Trabalhos!$C$2:$C$1001,A489))</f>
        <v/>
      </c>
      <c r="G489" s="26" t="str">
        <f aca="false">IF(A489="","",SUMIFS(Trabalhos!$G$2:$G$1001,Trabalhos!$C$2:$C$1001,A489))</f>
        <v/>
      </c>
      <c r="H489" s="24"/>
    </row>
    <row r="490" customFormat="false" ht="15" hidden="false" customHeight="false" outlineLevel="0" collapsed="false">
      <c r="A490" s="24"/>
      <c r="B490" s="24"/>
      <c r="C490" s="24"/>
      <c r="D490" s="24"/>
      <c r="E490" s="24"/>
      <c r="F490" s="28" t="str">
        <f aca="false">IF(A490="","",COUNTIF(Trabalhos!$C$2:$C$1001,A490))</f>
        <v/>
      </c>
      <c r="G490" s="26" t="str">
        <f aca="false">IF(A490="","",SUMIFS(Trabalhos!$G$2:$G$1001,Trabalhos!$C$2:$C$1001,A490))</f>
        <v/>
      </c>
      <c r="H490" s="24"/>
    </row>
    <row r="491" customFormat="false" ht="15" hidden="false" customHeight="false" outlineLevel="0" collapsed="false">
      <c r="A491" s="24"/>
      <c r="B491" s="24"/>
      <c r="C491" s="24"/>
      <c r="D491" s="24"/>
      <c r="E491" s="24"/>
      <c r="F491" s="28" t="str">
        <f aca="false">IF(A491="","",COUNTIF(Trabalhos!$C$2:$C$1001,A491))</f>
        <v/>
      </c>
      <c r="G491" s="26" t="str">
        <f aca="false">IF(A491="","",SUMIFS(Trabalhos!$G$2:$G$1001,Trabalhos!$C$2:$C$1001,A491))</f>
        <v/>
      </c>
      <c r="H491" s="24"/>
    </row>
    <row r="492" customFormat="false" ht="15" hidden="false" customHeight="false" outlineLevel="0" collapsed="false">
      <c r="A492" s="24"/>
      <c r="B492" s="24"/>
      <c r="C492" s="24"/>
      <c r="D492" s="24"/>
      <c r="E492" s="24"/>
      <c r="F492" s="28" t="str">
        <f aca="false">IF(A492="","",COUNTIF(Trabalhos!$C$2:$C$1001,A492))</f>
        <v/>
      </c>
      <c r="G492" s="26" t="str">
        <f aca="false">IF(A492="","",SUMIFS(Trabalhos!$G$2:$G$1001,Trabalhos!$C$2:$C$1001,A492))</f>
        <v/>
      </c>
      <c r="H492" s="24"/>
    </row>
    <row r="493" customFormat="false" ht="15" hidden="false" customHeight="false" outlineLevel="0" collapsed="false">
      <c r="A493" s="24"/>
      <c r="B493" s="24"/>
      <c r="C493" s="24"/>
      <c r="D493" s="24"/>
      <c r="E493" s="24"/>
      <c r="F493" s="28" t="str">
        <f aca="false">IF(A493="","",COUNTIF(Trabalhos!$C$2:$C$1001,A493))</f>
        <v/>
      </c>
      <c r="G493" s="26" t="str">
        <f aca="false">IF(A493="","",SUMIFS(Trabalhos!$G$2:$G$1001,Trabalhos!$C$2:$C$1001,A493))</f>
        <v/>
      </c>
      <c r="H493" s="24"/>
    </row>
    <row r="494" customFormat="false" ht="15" hidden="false" customHeight="false" outlineLevel="0" collapsed="false">
      <c r="A494" s="24"/>
      <c r="B494" s="24"/>
      <c r="C494" s="24"/>
      <c r="D494" s="24"/>
      <c r="E494" s="24"/>
      <c r="F494" s="28" t="str">
        <f aca="false">IF(A494="","",COUNTIF(Trabalhos!$C$2:$C$1001,A494))</f>
        <v/>
      </c>
      <c r="G494" s="26" t="str">
        <f aca="false">IF(A494="","",SUMIFS(Trabalhos!$G$2:$G$1001,Trabalhos!$C$2:$C$1001,A494))</f>
        <v/>
      </c>
      <c r="H494" s="24"/>
    </row>
    <row r="495" customFormat="false" ht="15" hidden="false" customHeight="false" outlineLevel="0" collapsed="false">
      <c r="A495" s="24"/>
      <c r="B495" s="24"/>
      <c r="C495" s="24"/>
      <c r="D495" s="24"/>
      <c r="E495" s="24"/>
      <c r="F495" s="28" t="str">
        <f aca="false">IF(A495="","",COUNTIF(Trabalhos!$C$2:$C$1001,A495))</f>
        <v/>
      </c>
      <c r="G495" s="26" t="str">
        <f aca="false">IF(A495="","",SUMIFS(Trabalhos!$G$2:$G$1001,Trabalhos!$C$2:$C$1001,A495))</f>
        <v/>
      </c>
      <c r="H495" s="24"/>
    </row>
    <row r="496" customFormat="false" ht="15" hidden="false" customHeight="false" outlineLevel="0" collapsed="false">
      <c r="A496" s="24"/>
      <c r="B496" s="24"/>
      <c r="C496" s="24"/>
      <c r="D496" s="24"/>
      <c r="E496" s="24"/>
      <c r="F496" s="28" t="str">
        <f aca="false">IF(A496="","",COUNTIF(Trabalhos!$C$2:$C$1001,A496))</f>
        <v/>
      </c>
      <c r="G496" s="26" t="str">
        <f aca="false">IF(A496="","",SUMIFS(Trabalhos!$G$2:$G$1001,Trabalhos!$C$2:$C$1001,A496))</f>
        <v/>
      </c>
      <c r="H496" s="24"/>
    </row>
    <row r="497" customFormat="false" ht="15" hidden="false" customHeight="false" outlineLevel="0" collapsed="false">
      <c r="A497" s="24"/>
      <c r="B497" s="24"/>
      <c r="C497" s="24"/>
      <c r="D497" s="24"/>
      <c r="E497" s="24"/>
      <c r="F497" s="28" t="str">
        <f aca="false">IF(A497="","",COUNTIF(Trabalhos!$C$2:$C$1001,A497))</f>
        <v/>
      </c>
      <c r="G497" s="26" t="str">
        <f aca="false">IF(A497="","",SUMIFS(Trabalhos!$G$2:$G$1001,Trabalhos!$C$2:$C$1001,A497))</f>
        <v/>
      </c>
      <c r="H497" s="24"/>
    </row>
    <row r="498" customFormat="false" ht="15" hidden="false" customHeight="false" outlineLevel="0" collapsed="false">
      <c r="A498" s="24"/>
      <c r="B498" s="24"/>
      <c r="C498" s="24"/>
      <c r="D498" s="24"/>
      <c r="E498" s="24"/>
      <c r="F498" s="28" t="str">
        <f aca="false">IF(A498="","",COUNTIF(Trabalhos!$C$2:$C$1001,A498))</f>
        <v/>
      </c>
      <c r="G498" s="26" t="str">
        <f aca="false">IF(A498="","",SUMIFS(Trabalhos!$G$2:$G$1001,Trabalhos!$C$2:$C$1001,A498))</f>
        <v/>
      </c>
      <c r="H498" s="24"/>
    </row>
    <row r="499" customFormat="false" ht="15" hidden="false" customHeight="false" outlineLevel="0" collapsed="false">
      <c r="A499" s="24"/>
      <c r="B499" s="24"/>
      <c r="C499" s="24"/>
      <c r="D499" s="24"/>
      <c r="E499" s="24"/>
      <c r="F499" s="28" t="str">
        <f aca="false">IF(A499="","",COUNTIF(Trabalhos!$C$2:$C$1001,A499))</f>
        <v/>
      </c>
      <c r="G499" s="26" t="str">
        <f aca="false">IF(A499="","",SUMIFS(Trabalhos!$G$2:$G$1001,Trabalhos!$C$2:$C$1001,A499))</f>
        <v/>
      </c>
      <c r="H499" s="24"/>
    </row>
    <row r="500" customFormat="false" ht="15" hidden="false" customHeight="false" outlineLevel="0" collapsed="false">
      <c r="A500" s="24"/>
      <c r="B500" s="24"/>
      <c r="C500" s="24"/>
      <c r="D500" s="24"/>
      <c r="E500" s="24"/>
      <c r="F500" s="28" t="str">
        <f aca="false">IF(A500="","",COUNTIF(Trabalhos!$C$2:$C$1001,A500))</f>
        <v/>
      </c>
      <c r="G500" s="26" t="str">
        <f aca="false">IF(A500="","",SUMIFS(Trabalhos!$G$2:$G$1001,Trabalhos!$C$2:$C$1001,A500))</f>
        <v/>
      </c>
      <c r="H500" s="24"/>
    </row>
    <row r="501" customFormat="false" ht="15" hidden="false" customHeight="false" outlineLevel="0" collapsed="false">
      <c r="A501" s="24"/>
      <c r="B501" s="24"/>
      <c r="C501" s="24"/>
      <c r="D501" s="24"/>
      <c r="E501" s="24"/>
      <c r="F501" s="28" t="str">
        <f aca="false">IF(A501="","",COUNTIF(Trabalhos!$C$2:$C$1001,A501))</f>
        <v/>
      </c>
      <c r="G501" s="26" t="str">
        <f aca="false">IF(A501="","",SUMIFS(Trabalhos!$G$2:$G$1001,Trabalhos!$C$2:$C$1001,A501))</f>
        <v/>
      </c>
      <c r="H501" s="24"/>
    </row>
    <row r="502" customFormat="false" ht="15" hidden="false" customHeight="false" outlineLevel="0" collapsed="false">
      <c r="A502" s="24"/>
      <c r="B502" s="24"/>
      <c r="C502" s="24"/>
      <c r="D502" s="24"/>
      <c r="E502" s="24"/>
      <c r="F502" s="28" t="str">
        <f aca="false">IF(A502="","",COUNTIF(Trabalhos!$C$2:$C$1001,A502))</f>
        <v/>
      </c>
      <c r="G502" s="26" t="str">
        <f aca="false">IF(A502="","",SUMIFS(Trabalhos!$G$2:$G$1001,Trabalhos!$C$2:$C$1001,A502))</f>
        <v/>
      </c>
      <c r="H502" s="24"/>
    </row>
    <row r="503" customFormat="false" ht="15" hidden="false" customHeight="false" outlineLevel="0" collapsed="false">
      <c r="A503" s="24"/>
      <c r="B503" s="24"/>
      <c r="C503" s="24"/>
      <c r="D503" s="24"/>
      <c r="E503" s="24"/>
      <c r="F503" s="28" t="str">
        <f aca="false">IF(A503="","",COUNTIF(Trabalhos!$C$2:$C$1001,A503))</f>
        <v/>
      </c>
      <c r="G503" s="26" t="str">
        <f aca="false">IF(A503="","",SUMIFS(Trabalhos!$G$2:$G$1001,Trabalhos!$C$2:$C$1001,A503))</f>
        <v/>
      </c>
      <c r="H503" s="24"/>
    </row>
    <row r="504" customFormat="false" ht="15" hidden="false" customHeight="false" outlineLevel="0" collapsed="false">
      <c r="A504" s="24"/>
      <c r="B504" s="24"/>
      <c r="C504" s="24"/>
      <c r="D504" s="24"/>
      <c r="E504" s="24"/>
      <c r="F504" s="28" t="str">
        <f aca="false">IF(A504="","",COUNTIF(Trabalhos!$C$2:$C$1001,A504))</f>
        <v/>
      </c>
      <c r="G504" s="26" t="str">
        <f aca="false">IF(A504="","",SUMIFS(Trabalhos!$G$2:$G$1001,Trabalhos!$C$2:$C$1001,A504))</f>
        <v/>
      </c>
      <c r="H504" s="24"/>
    </row>
    <row r="505" customFormat="false" ht="15" hidden="false" customHeight="false" outlineLevel="0" collapsed="false">
      <c r="A505" s="24"/>
      <c r="B505" s="24"/>
      <c r="C505" s="24"/>
      <c r="D505" s="24"/>
      <c r="E505" s="24"/>
      <c r="F505" s="28" t="str">
        <f aca="false">IF(A505="","",COUNTIF(Trabalhos!$C$2:$C$1001,A505))</f>
        <v/>
      </c>
      <c r="G505" s="26" t="str">
        <f aca="false">IF(A505="","",SUMIFS(Trabalhos!$G$2:$G$1001,Trabalhos!$C$2:$C$1001,A505))</f>
        <v/>
      </c>
      <c r="H505" s="24"/>
    </row>
    <row r="506" customFormat="false" ht="15" hidden="false" customHeight="false" outlineLevel="0" collapsed="false">
      <c r="A506" s="24"/>
      <c r="B506" s="24"/>
      <c r="C506" s="24"/>
      <c r="D506" s="24"/>
      <c r="E506" s="24"/>
      <c r="F506" s="28" t="str">
        <f aca="false">IF(A506="","",COUNTIF(Trabalhos!$C$2:$C$1001,A506))</f>
        <v/>
      </c>
      <c r="G506" s="26" t="str">
        <f aca="false">IF(A506="","",SUMIFS(Trabalhos!$G$2:$G$1001,Trabalhos!$C$2:$C$1001,A506))</f>
        <v/>
      </c>
      <c r="H506" s="24"/>
    </row>
    <row r="507" customFormat="false" ht="15" hidden="false" customHeight="false" outlineLevel="0" collapsed="false">
      <c r="A507" s="24"/>
      <c r="B507" s="24"/>
      <c r="C507" s="24"/>
      <c r="D507" s="24"/>
      <c r="E507" s="24"/>
      <c r="F507" s="28" t="str">
        <f aca="false">IF(A507="","",COUNTIF(Trabalhos!$C$2:$C$1001,A507))</f>
        <v/>
      </c>
      <c r="G507" s="26" t="str">
        <f aca="false">IF(A507="","",SUMIFS(Trabalhos!$G$2:$G$1001,Trabalhos!$C$2:$C$1001,A507))</f>
        <v/>
      </c>
      <c r="H507" s="24"/>
    </row>
    <row r="508" customFormat="false" ht="15" hidden="false" customHeight="false" outlineLevel="0" collapsed="false">
      <c r="A508" s="24"/>
      <c r="B508" s="24"/>
      <c r="C508" s="24"/>
      <c r="D508" s="24"/>
      <c r="E508" s="24"/>
      <c r="F508" s="28" t="str">
        <f aca="false">IF(A508="","",COUNTIF(Trabalhos!$C$2:$C$1001,A508))</f>
        <v/>
      </c>
      <c r="G508" s="26" t="str">
        <f aca="false">IF(A508="","",SUMIFS(Trabalhos!$G$2:$G$1001,Trabalhos!$C$2:$C$1001,A508))</f>
        <v/>
      </c>
      <c r="H508" s="24"/>
    </row>
    <row r="509" customFormat="false" ht="15" hidden="false" customHeight="false" outlineLevel="0" collapsed="false">
      <c r="A509" s="24"/>
      <c r="B509" s="24"/>
      <c r="C509" s="24"/>
      <c r="D509" s="24"/>
      <c r="E509" s="24"/>
      <c r="F509" s="28" t="str">
        <f aca="false">IF(A509="","",COUNTIF(Trabalhos!$C$2:$C$1001,A509))</f>
        <v/>
      </c>
      <c r="G509" s="26" t="str">
        <f aca="false">IF(A509="","",SUMIFS(Trabalhos!$G$2:$G$1001,Trabalhos!$C$2:$C$1001,A509))</f>
        <v/>
      </c>
      <c r="H509" s="24"/>
    </row>
    <row r="510" customFormat="false" ht="15" hidden="false" customHeight="false" outlineLevel="0" collapsed="false">
      <c r="A510" s="24"/>
      <c r="B510" s="24"/>
      <c r="C510" s="24"/>
      <c r="D510" s="24"/>
      <c r="E510" s="24"/>
      <c r="F510" s="28" t="str">
        <f aca="false">IF(A510="","",COUNTIF(Trabalhos!$C$2:$C$1001,A510))</f>
        <v/>
      </c>
      <c r="G510" s="26" t="str">
        <f aca="false">IF(A510="","",SUMIFS(Trabalhos!$G$2:$G$1001,Trabalhos!$C$2:$C$1001,A510))</f>
        <v/>
      </c>
      <c r="H510" s="24"/>
    </row>
    <row r="511" customFormat="false" ht="15" hidden="false" customHeight="false" outlineLevel="0" collapsed="false">
      <c r="A511" s="24"/>
      <c r="B511" s="24"/>
      <c r="C511" s="24"/>
      <c r="D511" s="24"/>
      <c r="E511" s="24"/>
      <c r="F511" s="28" t="str">
        <f aca="false">IF(A511="","",COUNTIF(Trabalhos!$C$2:$C$1001,A511))</f>
        <v/>
      </c>
      <c r="G511" s="26" t="str">
        <f aca="false">IF(A511="","",SUMIFS(Trabalhos!$G$2:$G$1001,Trabalhos!$C$2:$C$1001,A511))</f>
        <v/>
      </c>
      <c r="H511" s="24"/>
    </row>
    <row r="512" customFormat="false" ht="15" hidden="false" customHeight="false" outlineLevel="0" collapsed="false">
      <c r="A512" s="24"/>
      <c r="B512" s="24"/>
      <c r="C512" s="24"/>
      <c r="D512" s="24"/>
      <c r="E512" s="24"/>
      <c r="F512" s="28" t="str">
        <f aca="false">IF(A512="","",COUNTIF(Trabalhos!$C$2:$C$1001,A512))</f>
        <v/>
      </c>
      <c r="G512" s="26" t="str">
        <f aca="false">IF(A512="","",SUMIFS(Trabalhos!$G$2:$G$1001,Trabalhos!$C$2:$C$1001,A512))</f>
        <v/>
      </c>
      <c r="H512" s="24"/>
    </row>
    <row r="513" customFormat="false" ht="15" hidden="false" customHeight="false" outlineLevel="0" collapsed="false">
      <c r="A513" s="24"/>
      <c r="B513" s="24"/>
      <c r="C513" s="24"/>
      <c r="D513" s="24"/>
      <c r="E513" s="24"/>
      <c r="F513" s="28" t="str">
        <f aca="false">IF(A513="","",COUNTIF(Trabalhos!$C$2:$C$1001,A513))</f>
        <v/>
      </c>
      <c r="G513" s="26" t="str">
        <f aca="false">IF(A513="","",SUMIFS(Trabalhos!$G$2:$G$1001,Trabalhos!$C$2:$C$1001,A513))</f>
        <v/>
      </c>
      <c r="H513" s="24"/>
    </row>
    <row r="514" customFormat="false" ht="15" hidden="false" customHeight="false" outlineLevel="0" collapsed="false">
      <c r="A514" s="24"/>
      <c r="B514" s="24"/>
      <c r="C514" s="24"/>
      <c r="D514" s="24"/>
      <c r="E514" s="24"/>
      <c r="F514" s="28" t="str">
        <f aca="false">IF(A514="","",COUNTIF(Trabalhos!$C$2:$C$1001,A514))</f>
        <v/>
      </c>
      <c r="G514" s="26" t="str">
        <f aca="false">IF(A514="","",SUMIFS(Trabalhos!$G$2:$G$1001,Trabalhos!$C$2:$C$1001,A514))</f>
        <v/>
      </c>
      <c r="H514" s="24"/>
    </row>
    <row r="515" customFormat="false" ht="15" hidden="false" customHeight="false" outlineLevel="0" collapsed="false">
      <c r="A515" s="24"/>
      <c r="B515" s="24"/>
      <c r="C515" s="24"/>
      <c r="D515" s="24"/>
      <c r="E515" s="24"/>
      <c r="F515" s="28" t="str">
        <f aca="false">IF(A515="","",COUNTIF(Trabalhos!$C$2:$C$1001,A515))</f>
        <v/>
      </c>
      <c r="G515" s="26" t="str">
        <f aca="false">IF(A515="","",SUMIFS(Trabalhos!$G$2:$G$1001,Trabalhos!$C$2:$C$1001,A515))</f>
        <v/>
      </c>
      <c r="H515" s="24"/>
    </row>
    <row r="516" customFormat="false" ht="15" hidden="false" customHeight="false" outlineLevel="0" collapsed="false">
      <c r="A516" s="24"/>
      <c r="B516" s="24"/>
      <c r="C516" s="24"/>
      <c r="D516" s="24"/>
      <c r="E516" s="24"/>
      <c r="F516" s="28" t="str">
        <f aca="false">IF(A516="","",COUNTIF(Trabalhos!$C$2:$C$1001,A516))</f>
        <v/>
      </c>
      <c r="G516" s="26" t="str">
        <f aca="false">IF(A516="","",SUMIFS(Trabalhos!$G$2:$G$1001,Trabalhos!$C$2:$C$1001,A516))</f>
        <v/>
      </c>
      <c r="H516" s="24"/>
    </row>
    <row r="517" customFormat="false" ht="15" hidden="false" customHeight="false" outlineLevel="0" collapsed="false">
      <c r="A517" s="24"/>
      <c r="B517" s="24"/>
      <c r="C517" s="24"/>
      <c r="D517" s="24"/>
      <c r="E517" s="24"/>
      <c r="F517" s="28" t="str">
        <f aca="false">IF(A517="","",COUNTIF(Trabalhos!$C$2:$C$1001,A517))</f>
        <v/>
      </c>
      <c r="G517" s="26" t="str">
        <f aca="false">IF(A517="","",SUMIFS(Trabalhos!$G$2:$G$1001,Trabalhos!$C$2:$C$1001,A517))</f>
        <v/>
      </c>
      <c r="H517" s="24"/>
    </row>
    <row r="518" customFormat="false" ht="15" hidden="false" customHeight="false" outlineLevel="0" collapsed="false">
      <c r="A518" s="24"/>
      <c r="B518" s="24"/>
      <c r="C518" s="24"/>
      <c r="D518" s="24"/>
      <c r="E518" s="24"/>
      <c r="F518" s="28" t="str">
        <f aca="false">IF(A518="","",COUNTIF(Trabalhos!$C$2:$C$1001,A518))</f>
        <v/>
      </c>
      <c r="G518" s="26" t="str">
        <f aca="false">IF(A518="","",SUMIFS(Trabalhos!$G$2:$G$1001,Trabalhos!$C$2:$C$1001,A518))</f>
        <v/>
      </c>
      <c r="H518" s="24"/>
    </row>
    <row r="519" customFormat="false" ht="15" hidden="false" customHeight="false" outlineLevel="0" collapsed="false">
      <c r="A519" s="24"/>
      <c r="B519" s="24"/>
      <c r="C519" s="24"/>
      <c r="D519" s="24"/>
      <c r="E519" s="24"/>
      <c r="F519" s="28" t="str">
        <f aca="false">IF(A519="","",COUNTIF(Trabalhos!$C$2:$C$1001,A519))</f>
        <v/>
      </c>
      <c r="G519" s="26" t="str">
        <f aca="false">IF(A519="","",SUMIFS(Trabalhos!$G$2:$G$1001,Trabalhos!$C$2:$C$1001,A519))</f>
        <v/>
      </c>
      <c r="H519" s="24"/>
    </row>
    <row r="520" customFormat="false" ht="15" hidden="false" customHeight="false" outlineLevel="0" collapsed="false">
      <c r="A520" s="24"/>
      <c r="B520" s="24"/>
      <c r="C520" s="24"/>
      <c r="D520" s="24"/>
      <c r="E520" s="24"/>
      <c r="F520" s="28" t="str">
        <f aca="false">IF(A520="","",COUNTIF(Trabalhos!$C$2:$C$1001,A520))</f>
        <v/>
      </c>
      <c r="G520" s="26" t="str">
        <f aca="false">IF(A520="","",SUMIFS(Trabalhos!$G$2:$G$1001,Trabalhos!$C$2:$C$1001,A520))</f>
        <v/>
      </c>
      <c r="H520" s="24"/>
    </row>
    <row r="521" customFormat="false" ht="15" hidden="false" customHeight="false" outlineLevel="0" collapsed="false">
      <c r="A521" s="24"/>
      <c r="B521" s="24"/>
      <c r="C521" s="24"/>
      <c r="D521" s="24"/>
      <c r="E521" s="24"/>
      <c r="F521" s="28" t="str">
        <f aca="false">IF(A521="","",COUNTIF(Trabalhos!$C$2:$C$1001,A521))</f>
        <v/>
      </c>
      <c r="G521" s="26" t="str">
        <f aca="false">IF(A521="","",SUMIFS(Trabalhos!$G$2:$G$1001,Trabalhos!$C$2:$C$1001,A521))</f>
        <v/>
      </c>
      <c r="H521" s="24"/>
    </row>
    <row r="522" customFormat="false" ht="15" hidden="false" customHeight="false" outlineLevel="0" collapsed="false">
      <c r="A522" s="24"/>
      <c r="B522" s="24"/>
      <c r="C522" s="24"/>
      <c r="D522" s="24"/>
      <c r="E522" s="24"/>
      <c r="F522" s="28" t="str">
        <f aca="false">IF(A522="","",COUNTIF(Trabalhos!$C$2:$C$1001,A522))</f>
        <v/>
      </c>
      <c r="G522" s="26" t="str">
        <f aca="false">IF(A522="","",SUMIFS(Trabalhos!$G$2:$G$1001,Trabalhos!$C$2:$C$1001,A522))</f>
        <v/>
      </c>
      <c r="H522" s="24"/>
    </row>
    <row r="523" customFormat="false" ht="15" hidden="false" customHeight="false" outlineLevel="0" collapsed="false">
      <c r="A523" s="24"/>
      <c r="B523" s="24"/>
      <c r="C523" s="24"/>
      <c r="D523" s="24"/>
      <c r="E523" s="24"/>
      <c r="F523" s="28" t="str">
        <f aca="false">IF(A523="","",COUNTIF(Trabalhos!$C$2:$C$1001,A523))</f>
        <v/>
      </c>
      <c r="G523" s="26" t="str">
        <f aca="false">IF(A523="","",SUMIFS(Trabalhos!$G$2:$G$1001,Trabalhos!$C$2:$C$1001,A523))</f>
        <v/>
      </c>
      <c r="H523" s="24"/>
    </row>
    <row r="524" customFormat="false" ht="15" hidden="false" customHeight="false" outlineLevel="0" collapsed="false">
      <c r="A524" s="24"/>
      <c r="B524" s="24"/>
      <c r="C524" s="24"/>
      <c r="D524" s="24"/>
      <c r="E524" s="24"/>
      <c r="F524" s="28" t="str">
        <f aca="false">IF(A524="","",COUNTIF(Trabalhos!$C$2:$C$1001,A524))</f>
        <v/>
      </c>
      <c r="G524" s="26" t="str">
        <f aca="false">IF(A524="","",SUMIFS(Trabalhos!$G$2:$G$1001,Trabalhos!$C$2:$C$1001,A524))</f>
        <v/>
      </c>
      <c r="H524" s="24"/>
    </row>
    <row r="525" customFormat="false" ht="15" hidden="false" customHeight="false" outlineLevel="0" collapsed="false">
      <c r="A525" s="24"/>
      <c r="B525" s="24"/>
      <c r="C525" s="24"/>
      <c r="D525" s="24"/>
      <c r="E525" s="24"/>
      <c r="F525" s="28" t="str">
        <f aca="false">IF(A525="","",COUNTIF(Trabalhos!$C$2:$C$1001,A525))</f>
        <v/>
      </c>
      <c r="G525" s="26" t="str">
        <f aca="false">IF(A525="","",SUMIFS(Trabalhos!$G$2:$G$1001,Trabalhos!$C$2:$C$1001,A525))</f>
        <v/>
      </c>
      <c r="H525" s="24"/>
    </row>
    <row r="526" customFormat="false" ht="15" hidden="false" customHeight="false" outlineLevel="0" collapsed="false">
      <c r="A526" s="24"/>
      <c r="B526" s="24"/>
      <c r="C526" s="24"/>
      <c r="D526" s="24"/>
      <c r="E526" s="24"/>
      <c r="F526" s="28" t="str">
        <f aca="false">IF(A526="","",COUNTIF(Trabalhos!$C$2:$C$1001,A526))</f>
        <v/>
      </c>
      <c r="G526" s="26" t="str">
        <f aca="false">IF(A526="","",SUMIFS(Trabalhos!$G$2:$G$1001,Trabalhos!$C$2:$C$1001,A526))</f>
        <v/>
      </c>
      <c r="H526" s="24"/>
    </row>
    <row r="527" customFormat="false" ht="15" hidden="false" customHeight="false" outlineLevel="0" collapsed="false">
      <c r="A527" s="24"/>
      <c r="B527" s="24"/>
      <c r="C527" s="24"/>
      <c r="D527" s="24"/>
      <c r="E527" s="24"/>
      <c r="F527" s="28" t="str">
        <f aca="false">IF(A527="","",COUNTIF(Trabalhos!$C$2:$C$1001,A527))</f>
        <v/>
      </c>
      <c r="G527" s="26" t="str">
        <f aca="false">IF(A527="","",SUMIFS(Trabalhos!$G$2:$G$1001,Trabalhos!$C$2:$C$1001,A527))</f>
        <v/>
      </c>
      <c r="H527" s="24"/>
    </row>
    <row r="528" customFormat="false" ht="15" hidden="false" customHeight="false" outlineLevel="0" collapsed="false">
      <c r="A528" s="24"/>
      <c r="B528" s="24"/>
      <c r="C528" s="24"/>
      <c r="D528" s="24"/>
      <c r="E528" s="24"/>
      <c r="F528" s="28" t="str">
        <f aca="false">IF(A528="","",COUNTIF(Trabalhos!$C$2:$C$1001,A528))</f>
        <v/>
      </c>
      <c r="G528" s="26" t="str">
        <f aca="false">IF(A528="","",SUMIFS(Trabalhos!$G$2:$G$1001,Trabalhos!$C$2:$C$1001,A528))</f>
        <v/>
      </c>
      <c r="H528" s="24"/>
    </row>
    <row r="529" customFormat="false" ht="15" hidden="false" customHeight="false" outlineLevel="0" collapsed="false">
      <c r="A529" s="24"/>
      <c r="B529" s="24"/>
      <c r="C529" s="24"/>
      <c r="D529" s="24"/>
      <c r="E529" s="24"/>
      <c r="F529" s="28" t="str">
        <f aca="false">IF(A529="","",COUNTIF(Trabalhos!$C$2:$C$1001,A529))</f>
        <v/>
      </c>
      <c r="G529" s="26" t="str">
        <f aca="false">IF(A529="","",SUMIFS(Trabalhos!$G$2:$G$1001,Trabalhos!$C$2:$C$1001,A529))</f>
        <v/>
      </c>
      <c r="H529" s="24"/>
    </row>
    <row r="530" customFormat="false" ht="15" hidden="false" customHeight="false" outlineLevel="0" collapsed="false">
      <c r="A530" s="24"/>
      <c r="B530" s="24"/>
      <c r="C530" s="24"/>
      <c r="D530" s="24"/>
      <c r="E530" s="24"/>
      <c r="F530" s="28" t="str">
        <f aca="false">IF(A530="","",COUNTIF(Trabalhos!$C$2:$C$1001,A530))</f>
        <v/>
      </c>
      <c r="G530" s="26" t="str">
        <f aca="false">IF(A530="","",SUMIFS(Trabalhos!$G$2:$G$1001,Trabalhos!$C$2:$C$1001,A530))</f>
        <v/>
      </c>
      <c r="H530" s="24"/>
    </row>
    <row r="531" customFormat="false" ht="15" hidden="false" customHeight="false" outlineLevel="0" collapsed="false">
      <c r="A531" s="24"/>
      <c r="B531" s="24"/>
      <c r="C531" s="24"/>
      <c r="D531" s="24"/>
      <c r="E531" s="24"/>
      <c r="F531" s="28" t="str">
        <f aca="false">IF(A531="","",COUNTIF(Trabalhos!$C$2:$C$1001,A531))</f>
        <v/>
      </c>
      <c r="G531" s="26" t="str">
        <f aca="false">IF(A531="","",SUMIFS(Trabalhos!$G$2:$G$1001,Trabalhos!$C$2:$C$1001,A531))</f>
        <v/>
      </c>
      <c r="H531" s="24"/>
    </row>
    <row r="532" customFormat="false" ht="15" hidden="false" customHeight="false" outlineLevel="0" collapsed="false">
      <c r="A532" s="24"/>
      <c r="B532" s="24"/>
      <c r="C532" s="24"/>
      <c r="D532" s="24"/>
      <c r="E532" s="24"/>
      <c r="F532" s="28" t="str">
        <f aca="false">IF(A532="","",COUNTIF(Trabalhos!$C$2:$C$1001,A532))</f>
        <v/>
      </c>
      <c r="G532" s="26" t="str">
        <f aca="false">IF(A532="","",SUMIFS(Trabalhos!$G$2:$G$1001,Trabalhos!$C$2:$C$1001,A532))</f>
        <v/>
      </c>
      <c r="H532" s="24"/>
    </row>
    <row r="533" customFormat="false" ht="15" hidden="false" customHeight="false" outlineLevel="0" collapsed="false">
      <c r="A533" s="24"/>
      <c r="B533" s="24"/>
      <c r="C533" s="24"/>
      <c r="D533" s="24"/>
      <c r="E533" s="24"/>
      <c r="F533" s="28" t="str">
        <f aca="false">IF(A533="","",COUNTIF(Trabalhos!$C$2:$C$1001,A533))</f>
        <v/>
      </c>
      <c r="G533" s="26" t="str">
        <f aca="false">IF(A533="","",SUMIFS(Trabalhos!$G$2:$G$1001,Trabalhos!$C$2:$C$1001,A533))</f>
        <v/>
      </c>
      <c r="H533" s="24"/>
    </row>
    <row r="534" customFormat="false" ht="15" hidden="false" customHeight="false" outlineLevel="0" collapsed="false">
      <c r="A534" s="24"/>
      <c r="B534" s="24"/>
      <c r="C534" s="24"/>
      <c r="D534" s="24"/>
      <c r="E534" s="24"/>
      <c r="F534" s="28" t="str">
        <f aca="false">IF(A534="","",COUNTIF(Trabalhos!$C$2:$C$1001,A534))</f>
        <v/>
      </c>
      <c r="G534" s="26" t="str">
        <f aca="false">IF(A534="","",SUMIFS(Trabalhos!$G$2:$G$1001,Trabalhos!$C$2:$C$1001,A534))</f>
        <v/>
      </c>
      <c r="H534" s="24"/>
    </row>
    <row r="535" customFormat="false" ht="15" hidden="false" customHeight="false" outlineLevel="0" collapsed="false">
      <c r="A535" s="24"/>
      <c r="B535" s="24"/>
      <c r="C535" s="24"/>
      <c r="D535" s="24"/>
      <c r="E535" s="24"/>
      <c r="F535" s="28" t="str">
        <f aca="false">IF(A535="","",COUNTIF(Trabalhos!$C$2:$C$1001,A535))</f>
        <v/>
      </c>
      <c r="G535" s="26" t="str">
        <f aca="false">IF(A535="","",SUMIFS(Trabalhos!$G$2:$G$1001,Trabalhos!$C$2:$C$1001,A535))</f>
        <v/>
      </c>
      <c r="H535" s="24"/>
    </row>
    <row r="536" customFormat="false" ht="15" hidden="false" customHeight="false" outlineLevel="0" collapsed="false">
      <c r="A536" s="24"/>
      <c r="B536" s="24"/>
      <c r="C536" s="24"/>
      <c r="D536" s="24"/>
      <c r="E536" s="24"/>
      <c r="F536" s="28" t="str">
        <f aca="false">IF(A536="","",COUNTIF(Trabalhos!$C$2:$C$1001,A536))</f>
        <v/>
      </c>
      <c r="G536" s="26" t="str">
        <f aca="false">IF(A536="","",SUMIFS(Trabalhos!$G$2:$G$1001,Trabalhos!$C$2:$C$1001,A536))</f>
        <v/>
      </c>
      <c r="H536" s="24"/>
    </row>
    <row r="537" customFormat="false" ht="15" hidden="false" customHeight="false" outlineLevel="0" collapsed="false">
      <c r="A537" s="24"/>
      <c r="B537" s="24"/>
      <c r="C537" s="24"/>
      <c r="D537" s="24"/>
      <c r="E537" s="24"/>
      <c r="F537" s="28" t="str">
        <f aca="false">IF(A537="","",COUNTIF(Trabalhos!$C$2:$C$1001,A537))</f>
        <v/>
      </c>
      <c r="G537" s="26" t="str">
        <f aca="false">IF(A537="","",SUMIFS(Trabalhos!$G$2:$G$1001,Trabalhos!$C$2:$C$1001,A537))</f>
        <v/>
      </c>
      <c r="H537" s="24"/>
    </row>
    <row r="538" customFormat="false" ht="15" hidden="false" customHeight="false" outlineLevel="0" collapsed="false">
      <c r="A538" s="24"/>
      <c r="B538" s="24"/>
      <c r="C538" s="24"/>
      <c r="D538" s="24"/>
      <c r="E538" s="24"/>
      <c r="F538" s="28" t="str">
        <f aca="false">IF(A538="","",COUNTIF(Trabalhos!$C$2:$C$1001,A538))</f>
        <v/>
      </c>
      <c r="G538" s="26" t="str">
        <f aca="false">IF(A538="","",SUMIFS(Trabalhos!$G$2:$G$1001,Trabalhos!$C$2:$C$1001,A538))</f>
        <v/>
      </c>
      <c r="H538" s="24"/>
    </row>
    <row r="539" customFormat="false" ht="15" hidden="false" customHeight="false" outlineLevel="0" collapsed="false">
      <c r="A539" s="24"/>
      <c r="B539" s="24"/>
      <c r="C539" s="24"/>
      <c r="D539" s="24"/>
      <c r="E539" s="24"/>
      <c r="F539" s="28" t="str">
        <f aca="false">IF(A539="","",COUNTIF(Trabalhos!$C$2:$C$1001,A539))</f>
        <v/>
      </c>
      <c r="G539" s="26" t="str">
        <f aca="false">IF(A539="","",SUMIFS(Trabalhos!$G$2:$G$1001,Trabalhos!$C$2:$C$1001,A539))</f>
        <v/>
      </c>
      <c r="H539" s="24"/>
    </row>
    <row r="540" customFormat="false" ht="15" hidden="false" customHeight="false" outlineLevel="0" collapsed="false">
      <c r="A540" s="24"/>
      <c r="B540" s="24"/>
      <c r="C540" s="24"/>
      <c r="D540" s="24"/>
      <c r="E540" s="24"/>
      <c r="F540" s="28" t="str">
        <f aca="false">IF(A540="","",COUNTIF(Trabalhos!$C$2:$C$1001,A540))</f>
        <v/>
      </c>
      <c r="G540" s="26" t="str">
        <f aca="false">IF(A540="","",SUMIFS(Trabalhos!$G$2:$G$1001,Trabalhos!$C$2:$C$1001,A540))</f>
        <v/>
      </c>
      <c r="H540" s="24"/>
    </row>
    <row r="541" customFormat="false" ht="15" hidden="false" customHeight="false" outlineLevel="0" collapsed="false">
      <c r="A541" s="24"/>
      <c r="B541" s="24"/>
      <c r="C541" s="24"/>
      <c r="D541" s="24"/>
      <c r="E541" s="24"/>
      <c r="F541" s="28" t="str">
        <f aca="false">IF(A541="","",COUNTIF(Trabalhos!$C$2:$C$1001,A541))</f>
        <v/>
      </c>
      <c r="G541" s="26" t="str">
        <f aca="false">IF(A541="","",SUMIFS(Trabalhos!$G$2:$G$1001,Trabalhos!$C$2:$C$1001,A541))</f>
        <v/>
      </c>
      <c r="H541" s="24"/>
    </row>
    <row r="542" customFormat="false" ht="15" hidden="false" customHeight="false" outlineLevel="0" collapsed="false">
      <c r="A542" s="24"/>
      <c r="B542" s="24"/>
      <c r="C542" s="24"/>
      <c r="D542" s="24"/>
      <c r="E542" s="24"/>
      <c r="F542" s="28" t="str">
        <f aca="false">IF(A542="","",COUNTIF(Trabalhos!$C$2:$C$1001,A542))</f>
        <v/>
      </c>
      <c r="G542" s="26" t="str">
        <f aca="false">IF(A542="","",SUMIFS(Trabalhos!$G$2:$G$1001,Trabalhos!$C$2:$C$1001,A542))</f>
        <v/>
      </c>
      <c r="H542" s="24"/>
    </row>
    <row r="543" customFormat="false" ht="15" hidden="false" customHeight="false" outlineLevel="0" collapsed="false">
      <c r="A543" s="24"/>
      <c r="B543" s="24"/>
      <c r="C543" s="24"/>
      <c r="D543" s="24"/>
      <c r="E543" s="24"/>
      <c r="F543" s="28" t="str">
        <f aca="false">IF(A543="","",COUNTIF(Trabalhos!$C$2:$C$1001,A543))</f>
        <v/>
      </c>
      <c r="G543" s="26" t="str">
        <f aca="false">IF(A543="","",SUMIFS(Trabalhos!$G$2:$G$1001,Trabalhos!$C$2:$C$1001,A543))</f>
        <v/>
      </c>
      <c r="H543" s="24"/>
    </row>
    <row r="544" customFormat="false" ht="15" hidden="false" customHeight="false" outlineLevel="0" collapsed="false">
      <c r="A544" s="24"/>
      <c r="B544" s="24"/>
      <c r="C544" s="24"/>
      <c r="D544" s="24"/>
      <c r="E544" s="24"/>
      <c r="F544" s="28" t="str">
        <f aca="false">IF(A544="","",COUNTIF(Trabalhos!$C$2:$C$1001,A544))</f>
        <v/>
      </c>
      <c r="G544" s="26" t="str">
        <f aca="false">IF(A544="","",SUMIFS(Trabalhos!$G$2:$G$1001,Trabalhos!$C$2:$C$1001,A544))</f>
        <v/>
      </c>
      <c r="H544" s="24"/>
    </row>
    <row r="545" customFormat="false" ht="15" hidden="false" customHeight="false" outlineLevel="0" collapsed="false">
      <c r="A545" s="24"/>
      <c r="B545" s="24"/>
      <c r="C545" s="24"/>
      <c r="D545" s="24"/>
      <c r="E545" s="24"/>
      <c r="F545" s="28" t="str">
        <f aca="false">IF(A545="","",COUNTIF(Trabalhos!$C$2:$C$1001,A545))</f>
        <v/>
      </c>
      <c r="G545" s="26" t="str">
        <f aca="false">IF(A545="","",SUMIFS(Trabalhos!$G$2:$G$1001,Trabalhos!$C$2:$C$1001,A545))</f>
        <v/>
      </c>
      <c r="H545" s="24"/>
    </row>
    <row r="546" customFormat="false" ht="15" hidden="false" customHeight="false" outlineLevel="0" collapsed="false">
      <c r="A546" s="24"/>
      <c r="B546" s="24"/>
      <c r="C546" s="24"/>
      <c r="D546" s="24"/>
      <c r="E546" s="24"/>
      <c r="F546" s="28" t="str">
        <f aca="false">IF(A546="","",COUNTIF(Trabalhos!$C$2:$C$1001,A546))</f>
        <v/>
      </c>
      <c r="G546" s="26" t="str">
        <f aca="false">IF(A546="","",SUMIFS(Trabalhos!$G$2:$G$1001,Trabalhos!$C$2:$C$1001,A546))</f>
        <v/>
      </c>
      <c r="H546" s="24"/>
    </row>
    <row r="547" customFormat="false" ht="15" hidden="false" customHeight="false" outlineLevel="0" collapsed="false">
      <c r="A547" s="24"/>
      <c r="B547" s="24"/>
      <c r="C547" s="24"/>
      <c r="D547" s="24"/>
      <c r="E547" s="24"/>
      <c r="F547" s="28" t="str">
        <f aca="false">IF(A547="","",COUNTIF(Trabalhos!$C$2:$C$1001,A547))</f>
        <v/>
      </c>
      <c r="G547" s="26" t="str">
        <f aca="false">IF(A547="","",SUMIFS(Trabalhos!$G$2:$G$1001,Trabalhos!$C$2:$C$1001,A547))</f>
        <v/>
      </c>
      <c r="H547" s="24"/>
    </row>
    <row r="548" customFormat="false" ht="15" hidden="false" customHeight="false" outlineLevel="0" collapsed="false">
      <c r="A548" s="24"/>
      <c r="B548" s="24"/>
      <c r="C548" s="24"/>
      <c r="D548" s="24"/>
      <c r="E548" s="24"/>
      <c r="F548" s="28" t="str">
        <f aca="false">IF(A548="","",COUNTIF(Trabalhos!$C$2:$C$1001,A548))</f>
        <v/>
      </c>
      <c r="G548" s="26" t="str">
        <f aca="false">IF(A548="","",SUMIFS(Trabalhos!$G$2:$G$1001,Trabalhos!$C$2:$C$1001,A548))</f>
        <v/>
      </c>
      <c r="H548" s="24"/>
    </row>
    <row r="549" customFormat="false" ht="15" hidden="false" customHeight="false" outlineLevel="0" collapsed="false">
      <c r="A549" s="24"/>
      <c r="B549" s="24"/>
      <c r="C549" s="24"/>
      <c r="D549" s="24"/>
      <c r="E549" s="24"/>
      <c r="F549" s="28" t="str">
        <f aca="false">IF(A549="","",COUNTIF(Trabalhos!$C$2:$C$1001,A549))</f>
        <v/>
      </c>
      <c r="G549" s="26" t="str">
        <f aca="false">IF(A549="","",SUMIFS(Trabalhos!$G$2:$G$1001,Trabalhos!$C$2:$C$1001,A549))</f>
        <v/>
      </c>
      <c r="H549" s="24"/>
    </row>
    <row r="550" customFormat="false" ht="15" hidden="false" customHeight="false" outlineLevel="0" collapsed="false">
      <c r="A550" s="24"/>
      <c r="B550" s="24"/>
      <c r="C550" s="24"/>
      <c r="D550" s="24"/>
      <c r="E550" s="24"/>
      <c r="F550" s="28" t="str">
        <f aca="false">IF(A550="","",COUNTIF(Trabalhos!$C$2:$C$1001,A550))</f>
        <v/>
      </c>
      <c r="G550" s="26" t="str">
        <f aca="false">IF(A550="","",SUMIFS(Trabalhos!$G$2:$G$1001,Trabalhos!$C$2:$C$1001,A550))</f>
        <v/>
      </c>
      <c r="H550" s="24"/>
    </row>
    <row r="551" customFormat="false" ht="15" hidden="false" customHeight="false" outlineLevel="0" collapsed="false">
      <c r="A551" s="24"/>
      <c r="B551" s="24"/>
      <c r="C551" s="24"/>
      <c r="D551" s="24"/>
      <c r="E551" s="24"/>
      <c r="F551" s="28" t="str">
        <f aca="false">IF(A551="","",COUNTIF(Trabalhos!$C$2:$C$1001,A551))</f>
        <v/>
      </c>
      <c r="G551" s="26" t="str">
        <f aca="false">IF(A551="","",SUMIFS(Trabalhos!$G$2:$G$1001,Trabalhos!$C$2:$C$1001,A551))</f>
        <v/>
      </c>
      <c r="H551" s="24"/>
    </row>
    <row r="552" customFormat="false" ht="15" hidden="false" customHeight="false" outlineLevel="0" collapsed="false">
      <c r="A552" s="24"/>
      <c r="B552" s="24"/>
      <c r="C552" s="24"/>
      <c r="D552" s="24"/>
      <c r="E552" s="24"/>
      <c r="F552" s="28" t="str">
        <f aca="false">IF(A552="","",COUNTIF(Trabalhos!$C$2:$C$1001,A552))</f>
        <v/>
      </c>
      <c r="G552" s="26" t="str">
        <f aca="false">IF(A552="","",SUMIFS(Trabalhos!$G$2:$G$1001,Trabalhos!$C$2:$C$1001,A552))</f>
        <v/>
      </c>
      <c r="H552" s="24"/>
    </row>
    <row r="553" customFormat="false" ht="15" hidden="false" customHeight="false" outlineLevel="0" collapsed="false">
      <c r="A553" s="24"/>
      <c r="B553" s="24"/>
      <c r="C553" s="24"/>
      <c r="D553" s="24"/>
      <c r="E553" s="24"/>
      <c r="F553" s="28" t="str">
        <f aca="false">IF(A553="","",COUNTIF(Trabalhos!$C$2:$C$1001,A553))</f>
        <v/>
      </c>
      <c r="G553" s="26" t="str">
        <f aca="false">IF(A553="","",SUMIFS(Trabalhos!$G$2:$G$1001,Trabalhos!$C$2:$C$1001,A553))</f>
        <v/>
      </c>
      <c r="H553" s="24"/>
    </row>
    <row r="554" customFormat="false" ht="15" hidden="false" customHeight="false" outlineLevel="0" collapsed="false">
      <c r="A554" s="24"/>
      <c r="B554" s="24"/>
      <c r="C554" s="24"/>
      <c r="D554" s="24"/>
      <c r="E554" s="24"/>
      <c r="F554" s="28" t="str">
        <f aca="false">IF(A554="","",COUNTIF(Trabalhos!$C$2:$C$1001,A554))</f>
        <v/>
      </c>
      <c r="G554" s="26" t="str">
        <f aca="false">IF(A554="","",SUMIFS(Trabalhos!$G$2:$G$1001,Trabalhos!$C$2:$C$1001,A554))</f>
        <v/>
      </c>
      <c r="H554" s="24"/>
    </row>
    <row r="555" customFormat="false" ht="15" hidden="false" customHeight="false" outlineLevel="0" collapsed="false">
      <c r="A555" s="24"/>
      <c r="B555" s="24"/>
      <c r="C555" s="24"/>
      <c r="D555" s="24"/>
      <c r="E555" s="24"/>
      <c r="F555" s="28" t="str">
        <f aca="false">IF(A555="","",COUNTIF(Trabalhos!$C$2:$C$1001,A555))</f>
        <v/>
      </c>
      <c r="G555" s="26" t="str">
        <f aca="false">IF(A555="","",SUMIFS(Trabalhos!$G$2:$G$1001,Trabalhos!$C$2:$C$1001,A555))</f>
        <v/>
      </c>
      <c r="H555" s="24"/>
    </row>
    <row r="556" customFormat="false" ht="15" hidden="false" customHeight="false" outlineLevel="0" collapsed="false">
      <c r="A556" s="24"/>
      <c r="B556" s="24"/>
      <c r="C556" s="24"/>
      <c r="D556" s="24"/>
      <c r="E556" s="24"/>
      <c r="F556" s="28" t="str">
        <f aca="false">IF(A556="","",COUNTIF(Trabalhos!$C$2:$C$1001,A556))</f>
        <v/>
      </c>
      <c r="G556" s="26" t="str">
        <f aca="false">IF(A556="","",SUMIFS(Trabalhos!$G$2:$G$1001,Trabalhos!$C$2:$C$1001,A556))</f>
        <v/>
      </c>
      <c r="H556" s="24"/>
    </row>
    <row r="557" customFormat="false" ht="15" hidden="false" customHeight="false" outlineLevel="0" collapsed="false">
      <c r="A557" s="24"/>
      <c r="B557" s="24"/>
      <c r="C557" s="24"/>
      <c r="D557" s="24"/>
      <c r="E557" s="24"/>
      <c r="F557" s="28" t="str">
        <f aca="false">IF(A557="","",COUNTIF(Trabalhos!$C$2:$C$1001,A557))</f>
        <v/>
      </c>
      <c r="G557" s="26" t="str">
        <f aca="false">IF(A557="","",SUMIFS(Trabalhos!$G$2:$G$1001,Trabalhos!$C$2:$C$1001,A557))</f>
        <v/>
      </c>
      <c r="H557" s="24"/>
    </row>
    <row r="558" customFormat="false" ht="15" hidden="false" customHeight="false" outlineLevel="0" collapsed="false">
      <c r="A558" s="24"/>
      <c r="B558" s="24"/>
      <c r="C558" s="24"/>
      <c r="D558" s="24"/>
      <c r="E558" s="24"/>
      <c r="F558" s="28" t="str">
        <f aca="false">IF(A558="","",COUNTIF(Trabalhos!$C$2:$C$1001,A558))</f>
        <v/>
      </c>
      <c r="G558" s="26" t="str">
        <f aca="false">IF(A558="","",SUMIFS(Trabalhos!$G$2:$G$1001,Trabalhos!$C$2:$C$1001,A558))</f>
        <v/>
      </c>
      <c r="H558" s="24"/>
    </row>
    <row r="559" customFormat="false" ht="15" hidden="false" customHeight="false" outlineLevel="0" collapsed="false">
      <c r="A559" s="24"/>
      <c r="B559" s="24"/>
      <c r="C559" s="24"/>
      <c r="D559" s="24"/>
      <c r="E559" s="24"/>
      <c r="F559" s="28" t="str">
        <f aca="false">IF(A559="","",COUNTIF(Trabalhos!$C$2:$C$1001,A559))</f>
        <v/>
      </c>
      <c r="G559" s="26" t="str">
        <f aca="false">IF(A559="","",SUMIFS(Trabalhos!$G$2:$G$1001,Trabalhos!$C$2:$C$1001,A559))</f>
        <v/>
      </c>
      <c r="H559" s="24"/>
    </row>
    <row r="560" customFormat="false" ht="15" hidden="false" customHeight="false" outlineLevel="0" collapsed="false">
      <c r="A560" s="24"/>
      <c r="B560" s="24"/>
      <c r="C560" s="24"/>
      <c r="D560" s="24"/>
      <c r="E560" s="24"/>
      <c r="F560" s="28" t="str">
        <f aca="false">IF(A560="","",COUNTIF(Trabalhos!$C$2:$C$1001,A560))</f>
        <v/>
      </c>
      <c r="G560" s="26" t="str">
        <f aca="false">IF(A560="","",SUMIFS(Trabalhos!$G$2:$G$1001,Trabalhos!$C$2:$C$1001,A560))</f>
        <v/>
      </c>
      <c r="H560" s="24"/>
    </row>
    <row r="561" customFormat="false" ht="15" hidden="false" customHeight="false" outlineLevel="0" collapsed="false">
      <c r="A561" s="24"/>
      <c r="B561" s="24"/>
      <c r="C561" s="24"/>
      <c r="D561" s="24"/>
      <c r="E561" s="24"/>
      <c r="F561" s="28" t="str">
        <f aca="false">IF(A561="","",COUNTIF(Trabalhos!$C$2:$C$1001,A561))</f>
        <v/>
      </c>
      <c r="G561" s="26" t="str">
        <f aca="false">IF(A561="","",SUMIFS(Trabalhos!$G$2:$G$1001,Trabalhos!$C$2:$C$1001,A561))</f>
        <v/>
      </c>
      <c r="H561" s="24"/>
    </row>
    <row r="562" customFormat="false" ht="15" hidden="false" customHeight="false" outlineLevel="0" collapsed="false">
      <c r="A562" s="24"/>
      <c r="B562" s="24"/>
      <c r="C562" s="24"/>
      <c r="D562" s="24"/>
      <c r="E562" s="24"/>
      <c r="F562" s="28" t="str">
        <f aca="false">IF(A562="","",COUNTIF(Trabalhos!$C$2:$C$1001,A562))</f>
        <v/>
      </c>
      <c r="G562" s="26" t="str">
        <f aca="false">IF(A562="","",SUMIFS(Trabalhos!$G$2:$G$1001,Trabalhos!$C$2:$C$1001,A562))</f>
        <v/>
      </c>
      <c r="H562" s="24"/>
    </row>
    <row r="563" customFormat="false" ht="15" hidden="false" customHeight="false" outlineLevel="0" collapsed="false">
      <c r="A563" s="24"/>
      <c r="B563" s="24"/>
      <c r="C563" s="24"/>
      <c r="D563" s="24"/>
      <c r="E563" s="24"/>
      <c r="F563" s="28" t="str">
        <f aca="false">IF(A563="","",COUNTIF(Trabalhos!$C$2:$C$1001,A563))</f>
        <v/>
      </c>
      <c r="G563" s="26" t="str">
        <f aca="false">IF(A563="","",SUMIFS(Trabalhos!$G$2:$G$1001,Trabalhos!$C$2:$C$1001,A563))</f>
        <v/>
      </c>
      <c r="H563" s="24"/>
    </row>
    <row r="564" customFormat="false" ht="15" hidden="false" customHeight="false" outlineLevel="0" collapsed="false">
      <c r="A564" s="24"/>
      <c r="B564" s="24"/>
      <c r="C564" s="24"/>
      <c r="D564" s="24"/>
      <c r="E564" s="24"/>
      <c r="F564" s="28" t="str">
        <f aca="false">IF(A564="","",COUNTIF(Trabalhos!$C$2:$C$1001,A564))</f>
        <v/>
      </c>
      <c r="G564" s="26" t="str">
        <f aca="false">IF(A564="","",SUMIFS(Trabalhos!$G$2:$G$1001,Trabalhos!$C$2:$C$1001,A564))</f>
        <v/>
      </c>
      <c r="H564" s="24"/>
    </row>
    <row r="565" customFormat="false" ht="15" hidden="false" customHeight="false" outlineLevel="0" collapsed="false">
      <c r="A565" s="24"/>
      <c r="B565" s="24"/>
      <c r="C565" s="24"/>
      <c r="D565" s="24"/>
      <c r="E565" s="24"/>
      <c r="F565" s="28" t="str">
        <f aca="false">IF(A565="","",COUNTIF(Trabalhos!$C$2:$C$1001,A565))</f>
        <v/>
      </c>
      <c r="G565" s="26" t="str">
        <f aca="false">IF(A565="","",SUMIFS(Trabalhos!$G$2:$G$1001,Trabalhos!$C$2:$C$1001,A565))</f>
        <v/>
      </c>
      <c r="H565" s="24"/>
    </row>
    <row r="566" customFormat="false" ht="15" hidden="false" customHeight="false" outlineLevel="0" collapsed="false">
      <c r="A566" s="24"/>
      <c r="B566" s="24"/>
      <c r="C566" s="24"/>
      <c r="D566" s="24"/>
      <c r="E566" s="24"/>
      <c r="F566" s="28" t="str">
        <f aca="false">IF(A566="","",COUNTIF(Trabalhos!$C$2:$C$1001,A566))</f>
        <v/>
      </c>
      <c r="G566" s="26" t="str">
        <f aca="false">IF(A566="","",SUMIFS(Trabalhos!$G$2:$G$1001,Trabalhos!$C$2:$C$1001,A566))</f>
        <v/>
      </c>
      <c r="H566" s="24"/>
    </row>
    <row r="567" customFormat="false" ht="15" hidden="false" customHeight="false" outlineLevel="0" collapsed="false">
      <c r="A567" s="24"/>
      <c r="B567" s="24"/>
      <c r="C567" s="24"/>
      <c r="D567" s="24"/>
      <c r="E567" s="24"/>
      <c r="F567" s="28" t="str">
        <f aca="false">IF(A567="","",COUNTIF(Trabalhos!$C$2:$C$1001,A567))</f>
        <v/>
      </c>
      <c r="G567" s="26" t="str">
        <f aca="false">IF(A567="","",SUMIFS(Trabalhos!$G$2:$G$1001,Trabalhos!$C$2:$C$1001,A567))</f>
        <v/>
      </c>
      <c r="H567" s="24"/>
    </row>
    <row r="568" customFormat="false" ht="15" hidden="false" customHeight="false" outlineLevel="0" collapsed="false">
      <c r="A568" s="24"/>
      <c r="B568" s="24"/>
      <c r="C568" s="24"/>
      <c r="D568" s="24"/>
      <c r="E568" s="24"/>
      <c r="F568" s="28" t="str">
        <f aca="false">IF(A568="","",COUNTIF(Trabalhos!$C$2:$C$1001,A568))</f>
        <v/>
      </c>
      <c r="G568" s="26" t="str">
        <f aca="false">IF(A568="","",SUMIFS(Trabalhos!$G$2:$G$1001,Trabalhos!$C$2:$C$1001,A568))</f>
        <v/>
      </c>
      <c r="H568" s="24"/>
    </row>
    <row r="569" customFormat="false" ht="15" hidden="false" customHeight="false" outlineLevel="0" collapsed="false">
      <c r="A569" s="24"/>
      <c r="B569" s="24"/>
      <c r="C569" s="24"/>
      <c r="D569" s="24"/>
      <c r="E569" s="24"/>
      <c r="F569" s="28" t="str">
        <f aca="false">IF(A569="","",COUNTIF(Trabalhos!$C$2:$C$1001,A569))</f>
        <v/>
      </c>
      <c r="G569" s="26" t="str">
        <f aca="false">IF(A569="","",SUMIFS(Trabalhos!$G$2:$G$1001,Trabalhos!$C$2:$C$1001,A569))</f>
        <v/>
      </c>
      <c r="H569" s="24"/>
    </row>
    <row r="570" customFormat="false" ht="15" hidden="false" customHeight="false" outlineLevel="0" collapsed="false">
      <c r="A570" s="24"/>
      <c r="B570" s="24"/>
      <c r="C570" s="24"/>
      <c r="D570" s="24"/>
      <c r="E570" s="24"/>
      <c r="F570" s="28" t="str">
        <f aca="false">IF(A570="","",COUNTIF(Trabalhos!$C$2:$C$1001,A570))</f>
        <v/>
      </c>
      <c r="G570" s="26" t="str">
        <f aca="false">IF(A570="","",SUMIFS(Trabalhos!$G$2:$G$1001,Trabalhos!$C$2:$C$1001,A570))</f>
        <v/>
      </c>
      <c r="H570" s="24"/>
    </row>
    <row r="571" customFormat="false" ht="15" hidden="false" customHeight="false" outlineLevel="0" collapsed="false">
      <c r="A571" s="24"/>
      <c r="B571" s="24"/>
      <c r="C571" s="24"/>
      <c r="D571" s="24"/>
      <c r="E571" s="24"/>
      <c r="F571" s="28" t="str">
        <f aca="false">IF(A571="","",COUNTIF(Trabalhos!$C$2:$C$1001,A571))</f>
        <v/>
      </c>
      <c r="G571" s="26" t="str">
        <f aca="false">IF(A571="","",SUMIFS(Trabalhos!$G$2:$G$1001,Trabalhos!$C$2:$C$1001,A571))</f>
        <v/>
      </c>
      <c r="H571" s="24"/>
    </row>
    <row r="572" customFormat="false" ht="15" hidden="false" customHeight="false" outlineLevel="0" collapsed="false">
      <c r="A572" s="24"/>
      <c r="B572" s="24"/>
      <c r="C572" s="24"/>
      <c r="D572" s="24"/>
      <c r="E572" s="24"/>
      <c r="F572" s="28" t="str">
        <f aca="false">IF(A572="","",COUNTIF(Trabalhos!$C$2:$C$1001,A572))</f>
        <v/>
      </c>
      <c r="G572" s="26" t="str">
        <f aca="false">IF(A572="","",SUMIFS(Trabalhos!$G$2:$G$1001,Trabalhos!$C$2:$C$1001,A572))</f>
        <v/>
      </c>
      <c r="H572" s="24"/>
    </row>
    <row r="573" customFormat="false" ht="15" hidden="false" customHeight="false" outlineLevel="0" collapsed="false">
      <c r="A573" s="24"/>
      <c r="B573" s="24"/>
      <c r="C573" s="24"/>
      <c r="D573" s="24"/>
      <c r="E573" s="24"/>
      <c r="F573" s="28" t="str">
        <f aca="false">IF(A573="","",COUNTIF(Trabalhos!$C$2:$C$1001,A573))</f>
        <v/>
      </c>
      <c r="G573" s="26" t="str">
        <f aca="false">IF(A573="","",SUMIFS(Trabalhos!$G$2:$G$1001,Trabalhos!$C$2:$C$1001,A573))</f>
        <v/>
      </c>
      <c r="H573" s="24"/>
    </row>
    <row r="574" customFormat="false" ht="15" hidden="false" customHeight="false" outlineLevel="0" collapsed="false">
      <c r="A574" s="24"/>
      <c r="B574" s="24"/>
      <c r="C574" s="24"/>
      <c r="D574" s="24"/>
      <c r="E574" s="24"/>
      <c r="F574" s="28" t="str">
        <f aca="false">IF(A574="","",COUNTIF(Trabalhos!$C$2:$C$1001,A574))</f>
        <v/>
      </c>
      <c r="G574" s="26" t="str">
        <f aca="false">IF(A574="","",SUMIFS(Trabalhos!$G$2:$G$1001,Trabalhos!$C$2:$C$1001,A574))</f>
        <v/>
      </c>
      <c r="H574" s="24"/>
    </row>
    <row r="575" customFormat="false" ht="15" hidden="false" customHeight="false" outlineLevel="0" collapsed="false">
      <c r="A575" s="24"/>
      <c r="B575" s="24"/>
      <c r="C575" s="24"/>
      <c r="D575" s="24"/>
      <c r="E575" s="24"/>
      <c r="F575" s="28" t="str">
        <f aca="false">IF(A575="","",COUNTIF(Trabalhos!$C$2:$C$1001,A575))</f>
        <v/>
      </c>
      <c r="G575" s="26" t="str">
        <f aca="false">IF(A575="","",SUMIFS(Trabalhos!$G$2:$G$1001,Trabalhos!$C$2:$C$1001,A575))</f>
        <v/>
      </c>
      <c r="H575" s="24"/>
    </row>
    <row r="576" customFormat="false" ht="15" hidden="false" customHeight="false" outlineLevel="0" collapsed="false">
      <c r="A576" s="24"/>
      <c r="B576" s="24"/>
      <c r="C576" s="24"/>
      <c r="D576" s="24"/>
      <c r="E576" s="24"/>
      <c r="F576" s="28" t="str">
        <f aca="false">IF(A576="","",COUNTIF(Trabalhos!$C$2:$C$1001,A576))</f>
        <v/>
      </c>
      <c r="G576" s="26" t="str">
        <f aca="false">IF(A576="","",SUMIFS(Trabalhos!$G$2:$G$1001,Trabalhos!$C$2:$C$1001,A576))</f>
        <v/>
      </c>
      <c r="H576" s="24"/>
    </row>
    <row r="577" customFormat="false" ht="15" hidden="false" customHeight="false" outlineLevel="0" collapsed="false">
      <c r="A577" s="24"/>
      <c r="B577" s="24"/>
      <c r="C577" s="24"/>
      <c r="D577" s="24"/>
      <c r="E577" s="24"/>
      <c r="F577" s="28" t="str">
        <f aca="false">IF(A577="","",COUNTIF(Trabalhos!$C$2:$C$1001,A577))</f>
        <v/>
      </c>
      <c r="G577" s="26" t="str">
        <f aca="false">IF(A577="","",SUMIFS(Trabalhos!$G$2:$G$1001,Trabalhos!$C$2:$C$1001,A577))</f>
        <v/>
      </c>
      <c r="H577" s="24"/>
    </row>
    <row r="578" customFormat="false" ht="15" hidden="false" customHeight="false" outlineLevel="0" collapsed="false">
      <c r="A578" s="24"/>
      <c r="B578" s="24"/>
      <c r="C578" s="24"/>
      <c r="D578" s="24"/>
      <c r="E578" s="24"/>
      <c r="F578" s="28" t="str">
        <f aca="false">IF(A578="","",COUNTIF(Trabalhos!$C$2:$C$1001,A578))</f>
        <v/>
      </c>
      <c r="G578" s="26" t="str">
        <f aca="false">IF(A578="","",SUMIFS(Trabalhos!$G$2:$G$1001,Trabalhos!$C$2:$C$1001,A578))</f>
        <v/>
      </c>
      <c r="H578" s="24"/>
    </row>
    <row r="579" customFormat="false" ht="15" hidden="false" customHeight="false" outlineLevel="0" collapsed="false">
      <c r="A579" s="24"/>
      <c r="B579" s="24"/>
      <c r="C579" s="24"/>
      <c r="D579" s="24"/>
      <c r="E579" s="24"/>
      <c r="F579" s="28" t="str">
        <f aca="false">IF(A579="","",COUNTIF(Trabalhos!$C$2:$C$1001,A579))</f>
        <v/>
      </c>
      <c r="G579" s="26" t="str">
        <f aca="false">IF(A579="","",SUMIFS(Trabalhos!$G$2:$G$1001,Trabalhos!$C$2:$C$1001,A579))</f>
        <v/>
      </c>
      <c r="H579" s="24"/>
    </row>
    <row r="580" customFormat="false" ht="15" hidden="false" customHeight="false" outlineLevel="0" collapsed="false">
      <c r="A580" s="24"/>
      <c r="B580" s="24"/>
      <c r="C580" s="24"/>
      <c r="D580" s="24"/>
      <c r="E580" s="24"/>
      <c r="F580" s="28" t="str">
        <f aca="false">IF(A580="","",COUNTIF(Trabalhos!$C$2:$C$1001,A580))</f>
        <v/>
      </c>
      <c r="G580" s="26" t="str">
        <f aca="false">IF(A580="","",SUMIFS(Trabalhos!$G$2:$G$1001,Trabalhos!$C$2:$C$1001,A580))</f>
        <v/>
      </c>
      <c r="H580" s="24"/>
    </row>
    <row r="581" customFormat="false" ht="15" hidden="false" customHeight="false" outlineLevel="0" collapsed="false">
      <c r="A581" s="24"/>
      <c r="B581" s="24"/>
      <c r="C581" s="24"/>
      <c r="D581" s="24"/>
      <c r="E581" s="24"/>
      <c r="F581" s="28" t="str">
        <f aca="false">IF(A581="","",COUNTIF(Trabalhos!$C$2:$C$1001,A581))</f>
        <v/>
      </c>
      <c r="G581" s="26" t="str">
        <f aca="false">IF(A581="","",SUMIFS(Trabalhos!$G$2:$G$1001,Trabalhos!$C$2:$C$1001,A581))</f>
        <v/>
      </c>
      <c r="H581" s="24"/>
    </row>
    <row r="582" customFormat="false" ht="15" hidden="false" customHeight="false" outlineLevel="0" collapsed="false">
      <c r="A582" s="24"/>
      <c r="B582" s="24"/>
      <c r="C582" s="24"/>
      <c r="D582" s="24"/>
      <c r="E582" s="24"/>
      <c r="F582" s="28" t="str">
        <f aca="false">IF(A582="","",COUNTIF(Trabalhos!$C$2:$C$1001,A582))</f>
        <v/>
      </c>
      <c r="G582" s="26" t="str">
        <f aca="false">IF(A582="","",SUMIFS(Trabalhos!$G$2:$G$1001,Trabalhos!$C$2:$C$1001,A582))</f>
        <v/>
      </c>
      <c r="H582" s="24"/>
    </row>
    <row r="583" customFormat="false" ht="15" hidden="false" customHeight="false" outlineLevel="0" collapsed="false">
      <c r="A583" s="24"/>
      <c r="B583" s="24"/>
      <c r="C583" s="24"/>
      <c r="D583" s="24"/>
      <c r="E583" s="24"/>
      <c r="F583" s="28" t="str">
        <f aca="false">IF(A583="","",COUNTIF(Trabalhos!$C$2:$C$1001,A583))</f>
        <v/>
      </c>
      <c r="G583" s="26" t="str">
        <f aca="false">IF(A583="","",SUMIFS(Trabalhos!$G$2:$G$1001,Trabalhos!$C$2:$C$1001,A583))</f>
        <v/>
      </c>
      <c r="H583" s="24"/>
    </row>
    <row r="584" customFormat="false" ht="15" hidden="false" customHeight="false" outlineLevel="0" collapsed="false">
      <c r="A584" s="24"/>
      <c r="B584" s="24"/>
      <c r="C584" s="24"/>
      <c r="D584" s="24"/>
      <c r="E584" s="24"/>
      <c r="F584" s="28" t="str">
        <f aca="false">IF(A584="","",COUNTIF(Trabalhos!$C$2:$C$1001,A584))</f>
        <v/>
      </c>
      <c r="G584" s="26" t="str">
        <f aca="false">IF(A584="","",SUMIFS(Trabalhos!$G$2:$G$1001,Trabalhos!$C$2:$C$1001,A584))</f>
        <v/>
      </c>
      <c r="H584" s="24"/>
    </row>
    <row r="585" customFormat="false" ht="15" hidden="false" customHeight="false" outlineLevel="0" collapsed="false">
      <c r="A585" s="24"/>
      <c r="B585" s="24"/>
      <c r="C585" s="24"/>
      <c r="D585" s="24"/>
      <c r="E585" s="24"/>
      <c r="F585" s="28" t="str">
        <f aca="false">IF(A585="","",COUNTIF(Trabalhos!$C$2:$C$1001,A585))</f>
        <v/>
      </c>
      <c r="G585" s="26" t="str">
        <f aca="false">IF(A585="","",SUMIFS(Trabalhos!$G$2:$G$1001,Trabalhos!$C$2:$C$1001,A585))</f>
        <v/>
      </c>
      <c r="H585" s="24"/>
    </row>
    <row r="586" customFormat="false" ht="15" hidden="false" customHeight="false" outlineLevel="0" collapsed="false">
      <c r="A586" s="24"/>
      <c r="B586" s="24"/>
      <c r="C586" s="24"/>
      <c r="D586" s="24"/>
      <c r="E586" s="24"/>
      <c r="F586" s="28" t="str">
        <f aca="false">IF(A586="","",COUNTIF(Trabalhos!$C$2:$C$1001,A586))</f>
        <v/>
      </c>
      <c r="G586" s="26" t="str">
        <f aca="false">IF(A586="","",SUMIFS(Trabalhos!$G$2:$G$1001,Trabalhos!$C$2:$C$1001,A586))</f>
        <v/>
      </c>
      <c r="H586" s="24"/>
    </row>
    <row r="587" customFormat="false" ht="15" hidden="false" customHeight="false" outlineLevel="0" collapsed="false">
      <c r="A587" s="24"/>
      <c r="B587" s="24"/>
      <c r="C587" s="24"/>
      <c r="D587" s="24"/>
      <c r="E587" s="24"/>
      <c r="F587" s="28" t="str">
        <f aca="false">IF(A587="","",COUNTIF(Trabalhos!$C$2:$C$1001,A587))</f>
        <v/>
      </c>
      <c r="G587" s="26" t="str">
        <f aca="false">IF(A587="","",SUMIFS(Trabalhos!$G$2:$G$1001,Trabalhos!$C$2:$C$1001,A587))</f>
        <v/>
      </c>
      <c r="H587" s="24"/>
    </row>
    <row r="588" customFormat="false" ht="15" hidden="false" customHeight="false" outlineLevel="0" collapsed="false">
      <c r="A588" s="24"/>
      <c r="B588" s="24"/>
      <c r="C588" s="24"/>
      <c r="D588" s="24"/>
      <c r="E588" s="24"/>
      <c r="F588" s="28" t="str">
        <f aca="false">IF(A588="","",COUNTIF(Trabalhos!$C$2:$C$1001,A588))</f>
        <v/>
      </c>
      <c r="G588" s="26" t="str">
        <f aca="false">IF(A588="","",SUMIFS(Trabalhos!$G$2:$G$1001,Trabalhos!$C$2:$C$1001,A588))</f>
        <v/>
      </c>
      <c r="H588" s="24"/>
    </row>
    <row r="589" customFormat="false" ht="15" hidden="false" customHeight="false" outlineLevel="0" collapsed="false">
      <c r="A589" s="24"/>
      <c r="B589" s="24"/>
      <c r="C589" s="24"/>
      <c r="D589" s="24"/>
      <c r="E589" s="24"/>
      <c r="F589" s="28" t="str">
        <f aca="false">IF(A589="","",COUNTIF(Trabalhos!$C$2:$C$1001,A589))</f>
        <v/>
      </c>
      <c r="G589" s="26" t="str">
        <f aca="false">IF(A589="","",SUMIFS(Trabalhos!$G$2:$G$1001,Trabalhos!$C$2:$C$1001,A589))</f>
        <v/>
      </c>
      <c r="H589" s="24"/>
    </row>
    <row r="590" customFormat="false" ht="15" hidden="false" customHeight="false" outlineLevel="0" collapsed="false">
      <c r="A590" s="24"/>
      <c r="B590" s="24"/>
      <c r="C590" s="24"/>
      <c r="D590" s="24"/>
      <c r="E590" s="24"/>
      <c r="F590" s="28" t="str">
        <f aca="false">IF(A590="","",COUNTIF(Trabalhos!$C$2:$C$1001,A590))</f>
        <v/>
      </c>
      <c r="G590" s="26" t="str">
        <f aca="false">IF(A590="","",SUMIFS(Trabalhos!$G$2:$G$1001,Trabalhos!$C$2:$C$1001,A590))</f>
        <v/>
      </c>
      <c r="H590" s="24"/>
    </row>
    <row r="591" customFormat="false" ht="15" hidden="false" customHeight="false" outlineLevel="0" collapsed="false">
      <c r="A591" s="24"/>
      <c r="B591" s="24"/>
      <c r="C591" s="24"/>
      <c r="D591" s="24"/>
      <c r="E591" s="24"/>
      <c r="F591" s="28" t="str">
        <f aca="false">IF(A591="","",COUNTIF(Trabalhos!$C$2:$C$1001,A591))</f>
        <v/>
      </c>
      <c r="G591" s="26" t="str">
        <f aca="false">IF(A591="","",SUMIFS(Trabalhos!$G$2:$G$1001,Trabalhos!$C$2:$C$1001,A591))</f>
        <v/>
      </c>
      <c r="H591" s="24"/>
    </row>
    <row r="592" customFormat="false" ht="15" hidden="false" customHeight="false" outlineLevel="0" collapsed="false">
      <c r="A592" s="24"/>
      <c r="B592" s="24"/>
      <c r="C592" s="24"/>
      <c r="D592" s="24"/>
      <c r="E592" s="24"/>
      <c r="F592" s="28" t="str">
        <f aca="false">IF(A592="","",COUNTIF(Trabalhos!$C$2:$C$1001,A592))</f>
        <v/>
      </c>
      <c r="G592" s="26" t="str">
        <f aca="false">IF(A592="","",SUMIFS(Trabalhos!$G$2:$G$1001,Trabalhos!$C$2:$C$1001,A592))</f>
        <v/>
      </c>
      <c r="H592" s="24"/>
    </row>
    <row r="593" customFormat="false" ht="15" hidden="false" customHeight="false" outlineLevel="0" collapsed="false">
      <c r="A593" s="24"/>
      <c r="B593" s="24"/>
      <c r="C593" s="24"/>
      <c r="D593" s="24"/>
      <c r="E593" s="24"/>
      <c r="F593" s="28" t="str">
        <f aca="false">IF(A593="","",COUNTIF(Trabalhos!$C$2:$C$1001,A593))</f>
        <v/>
      </c>
      <c r="G593" s="26" t="str">
        <f aca="false">IF(A593="","",SUMIFS(Trabalhos!$G$2:$G$1001,Trabalhos!$C$2:$C$1001,A593))</f>
        <v/>
      </c>
      <c r="H593" s="24"/>
    </row>
    <row r="594" customFormat="false" ht="15" hidden="false" customHeight="false" outlineLevel="0" collapsed="false">
      <c r="A594" s="24"/>
      <c r="B594" s="24"/>
      <c r="C594" s="24"/>
      <c r="D594" s="24"/>
      <c r="E594" s="24"/>
      <c r="F594" s="28" t="str">
        <f aca="false">IF(A594="","",COUNTIF(Trabalhos!$C$2:$C$1001,A594))</f>
        <v/>
      </c>
      <c r="G594" s="26" t="str">
        <f aca="false">IF(A594="","",SUMIFS(Trabalhos!$G$2:$G$1001,Trabalhos!$C$2:$C$1001,A594))</f>
        <v/>
      </c>
      <c r="H594" s="24"/>
    </row>
    <row r="595" customFormat="false" ht="15" hidden="false" customHeight="false" outlineLevel="0" collapsed="false">
      <c r="A595" s="24"/>
      <c r="B595" s="24"/>
      <c r="C595" s="24"/>
      <c r="D595" s="24"/>
      <c r="E595" s="24"/>
      <c r="F595" s="28" t="str">
        <f aca="false">IF(A595="","",COUNTIF(Trabalhos!$C$2:$C$1001,A595))</f>
        <v/>
      </c>
      <c r="G595" s="26" t="str">
        <f aca="false">IF(A595="","",SUMIFS(Trabalhos!$G$2:$G$1001,Trabalhos!$C$2:$C$1001,A595))</f>
        <v/>
      </c>
      <c r="H595" s="24"/>
    </row>
    <row r="596" customFormat="false" ht="15" hidden="false" customHeight="false" outlineLevel="0" collapsed="false">
      <c r="A596" s="24"/>
      <c r="B596" s="24"/>
      <c r="C596" s="24"/>
      <c r="D596" s="24"/>
      <c r="E596" s="24"/>
      <c r="F596" s="28" t="str">
        <f aca="false">IF(A596="","",COUNTIF(Trabalhos!$C$2:$C$1001,A596))</f>
        <v/>
      </c>
      <c r="G596" s="26" t="str">
        <f aca="false">IF(A596="","",SUMIFS(Trabalhos!$G$2:$G$1001,Trabalhos!$C$2:$C$1001,A596))</f>
        <v/>
      </c>
      <c r="H596" s="24"/>
    </row>
    <row r="597" customFormat="false" ht="15" hidden="false" customHeight="false" outlineLevel="0" collapsed="false">
      <c r="A597" s="24"/>
      <c r="B597" s="24"/>
      <c r="C597" s="24"/>
      <c r="D597" s="24"/>
      <c r="E597" s="24"/>
      <c r="F597" s="28" t="str">
        <f aca="false">IF(A597="","",COUNTIF(Trabalhos!$C$2:$C$1001,A597))</f>
        <v/>
      </c>
      <c r="G597" s="26" t="str">
        <f aca="false">IF(A597="","",SUMIFS(Trabalhos!$G$2:$G$1001,Trabalhos!$C$2:$C$1001,A597))</f>
        <v/>
      </c>
      <c r="H597" s="24"/>
    </row>
    <row r="598" customFormat="false" ht="15" hidden="false" customHeight="false" outlineLevel="0" collapsed="false">
      <c r="A598" s="24"/>
      <c r="B598" s="24"/>
      <c r="C598" s="24"/>
      <c r="D598" s="24"/>
      <c r="E598" s="24"/>
      <c r="F598" s="28" t="str">
        <f aca="false">IF(A598="","",COUNTIF(Trabalhos!$C$2:$C$1001,A598))</f>
        <v/>
      </c>
      <c r="G598" s="26" t="str">
        <f aca="false">IF(A598="","",SUMIFS(Trabalhos!$G$2:$G$1001,Trabalhos!$C$2:$C$1001,A598))</f>
        <v/>
      </c>
      <c r="H598" s="24"/>
    </row>
    <row r="599" customFormat="false" ht="15" hidden="false" customHeight="false" outlineLevel="0" collapsed="false">
      <c r="A599" s="24"/>
      <c r="B599" s="24"/>
      <c r="C599" s="24"/>
      <c r="D599" s="24"/>
      <c r="E599" s="24"/>
      <c r="F599" s="28" t="str">
        <f aca="false">IF(A599="","",COUNTIF(Trabalhos!$C$2:$C$1001,A599))</f>
        <v/>
      </c>
      <c r="G599" s="26" t="str">
        <f aca="false">IF(A599="","",SUMIFS(Trabalhos!$G$2:$G$1001,Trabalhos!$C$2:$C$1001,A599))</f>
        <v/>
      </c>
      <c r="H599" s="24"/>
    </row>
    <row r="600" customFormat="false" ht="15" hidden="false" customHeight="false" outlineLevel="0" collapsed="false">
      <c r="A600" s="24"/>
      <c r="B600" s="24"/>
      <c r="C600" s="24"/>
      <c r="D600" s="24"/>
      <c r="E600" s="24"/>
      <c r="F600" s="28" t="str">
        <f aca="false">IF(A600="","",COUNTIF(Trabalhos!$C$2:$C$1001,A600))</f>
        <v/>
      </c>
      <c r="G600" s="26" t="str">
        <f aca="false">IF(A600="","",SUMIFS(Trabalhos!$G$2:$G$1001,Trabalhos!$C$2:$C$1001,A600))</f>
        <v/>
      </c>
      <c r="H600" s="24"/>
    </row>
    <row r="601" customFormat="false" ht="15" hidden="false" customHeight="false" outlineLevel="0" collapsed="false">
      <c r="A601" s="24"/>
      <c r="B601" s="24"/>
      <c r="C601" s="24"/>
      <c r="D601" s="24"/>
      <c r="E601" s="24"/>
      <c r="F601" s="28" t="str">
        <f aca="false">IF(A601="","",COUNTIF(Trabalhos!$C$2:$C$1001,A601))</f>
        <v/>
      </c>
      <c r="G601" s="26" t="str">
        <f aca="false">IF(A601="","",SUMIFS(Trabalhos!$G$2:$G$1001,Trabalhos!$C$2:$C$1001,A601))</f>
        <v/>
      </c>
      <c r="H601" s="24"/>
    </row>
    <row r="602" customFormat="false" ht="15" hidden="false" customHeight="false" outlineLevel="0" collapsed="false">
      <c r="A602" s="24"/>
      <c r="B602" s="24"/>
      <c r="C602" s="24"/>
      <c r="D602" s="24"/>
      <c r="E602" s="24"/>
      <c r="F602" s="28" t="str">
        <f aca="false">IF(A602="","",COUNTIF(Trabalhos!$C$2:$C$1001,A602))</f>
        <v/>
      </c>
      <c r="G602" s="26" t="str">
        <f aca="false">IF(A602="","",SUMIFS(Trabalhos!$G$2:$G$1001,Trabalhos!$C$2:$C$1001,A602))</f>
        <v/>
      </c>
      <c r="H602" s="24"/>
    </row>
    <row r="603" customFormat="false" ht="15" hidden="false" customHeight="false" outlineLevel="0" collapsed="false">
      <c r="A603" s="24"/>
      <c r="B603" s="24"/>
      <c r="C603" s="24"/>
      <c r="D603" s="24"/>
      <c r="E603" s="24"/>
      <c r="F603" s="28" t="str">
        <f aca="false">IF(A603="","",COUNTIF(Trabalhos!$C$2:$C$1001,A603))</f>
        <v/>
      </c>
      <c r="G603" s="26" t="str">
        <f aca="false">IF(A603="","",SUMIFS(Trabalhos!$G$2:$G$1001,Trabalhos!$C$2:$C$1001,A603))</f>
        <v/>
      </c>
      <c r="H603" s="24"/>
    </row>
    <row r="604" customFormat="false" ht="15" hidden="false" customHeight="false" outlineLevel="0" collapsed="false">
      <c r="A604" s="24"/>
      <c r="B604" s="24"/>
      <c r="C604" s="24"/>
      <c r="D604" s="24"/>
      <c r="E604" s="24"/>
      <c r="F604" s="28" t="str">
        <f aca="false">IF(A604="","",COUNTIF(Trabalhos!$C$2:$C$1001,A604))</f>
        <v/>
      </c>
      <c r="G604" s="26" t="str">
        <f aca="false">IF(A604="","",SUMIFS(Trabalhos!$G$2:$G$1001,Trabalhos!$C$2:$C$1001,A604))</f>
        <v/>
      </c>
      <c r="H604" s="24"/>
    </row>
    <row r="605" customFormat="false" ht="15" hidden="false" customHeight="false" outlineLevel="0" collapsed="false">
      <c r="A605" s="24"/>
      <c r="B605" s="24"/>
      <c r="C605" s="24"/>
      <c r="D605" s="24"/>
      <c r="E605" s="24"/>
      <c r="F605" s="28" t="str">
        <f aca="false">IF(A605="","",COUNTIF(Trabalhos!$C$2:$C$1001,A605))</f>
        <v/>
      </c>
      <c r="G605" s="26" t="str">
        <f aca="false">IF(A605="","",SUMIFS(Trabalhos!$G$2:$G$1001,Trabalhos!$C$2:$C$1001,A605))</f>
        <v/>
      </c>
      <c r="H605" s="24"/>
    </row>
    <row r="606" customFormat="false" ht="15" hidden="false" customHeight="false" outlineLevel="0" collapsed="false">
      <c r="A606" s="24"/>
      <c r="B606" s="24"/>
      <c r="C606" s="24"/>
      <c r="D606" s="24"/>
      <c r="E606" s="24"/>
      <c r="F606" s="28" t="str">
        <f aca="false">IF(A606="","",COUNTIF(Trabalhos!$C$2:$C$1001,A606))</f>
        <v/>
      </c>
      <c r="G606" s="26" t="str">
        <f aca="false">IF(A606="","",SUMIFS(Trabalhos!$G$2:$G$1001,Trabalhos!$C$2:$C$1001,A606))</f>
        <v/>
      </c>
      <c r="H606" s="24"/>
    </row>
    <row r="607" customFormat="false" ht="15" hidden="false" customHeight="false" outlineLevel="0" collapsed="false">
      <c r="A607" s="24"/>
      <c r="B607" s="24"/>
      <c r="C607" s="24"/>
      <c r="D607" s="24"/>
      <c r="E607" s="24"/>
      <c r="F607" s="28" t="str">
        <f aca="false">IF(A607="","",COUNTIF(Trabalhos!$C$2:$C$1001,A607))</f>
        <v/>
      </c>
      <c r="G607" s="26" t="str">
        <f aca="false">IF(A607="","",SUMIFS(Trabalhos!$G$2:$G$1001,Trabalhos!$C$2:$C$1001,A607))</f>
        <v/>
      </c>
      <c r="H607" s="24"/>
    </row>
    <row r="608" customFormat="false" ht="15" hidden="false" customHeight="false" outlineLevel="0" collapsed="false">
      <c r="A608" s="24"/>
      <c r="B608" s="24"/>
      <c r="C608" s="24"/>
      <c r="D608" s="24"/>
      <c r="E608" s="24"/>
      <c r="F608" s="28" t="str">
        <f aca="false">IF(A608="","",COUNTIF(Trabalhos!$C$2:$C$1001,A608))</f>
        <v/>
      </c>
      <c r="G608" s="26" t="str">
        <f aca="false">IF(A608="","",SUMIFS(Trabalhos!$G$2:$G$1001,Trabalhos!$C$2:$C$1001,A608))</f>
        <v/>
      </c>
      <c r="H608" s="24"/>
    </row>
    <row r="609" customFormat="false" ht="15" hidden="false" customHeight="false" outlineLevel="0" collapsed="false">
      <c r="A609" s="24"/>
      <c r="B609" s="24"/>
      <c r="C609" s="24"/>
      <c r="D609" s="24"/>
      <c r="E609" s="24"/>
      <c r="F609" s="28" t="str">
        <f aca="false">IF(A609="","",COUNTIF(Trabalhos!$C$2:$C$1001,A609))</f>
        <v/>
      </c>
      <c r="G609" s="26" t="str">
        <f aca="false">IF(A609="","",SUMIFS(Trabalhos!$G$2:$G$1001,Trabalhos!$C$2:$C$1001,A609))</f>
        <v/>
      </c>
      <c r="H609" s="24"/>
    </row>
    <row r="610" customFormat="false" ht="15" hidden="false" customHeight="false" outlineLevel="0" collapsed="false">
      <c r="A610" s="24"/>
      <c r="B610" s="24"/>
      <c r="C610" s="24"/>
      <c r="D610" s="24"/>
      <c r="E610" s="24"/>
      <c r="F610" s="28" t="str">
        <f aca="false">IF(A610="","",COUNTIF(Trabalhos!$C$2:$C$1001,A610))</f>
        <v/>
      </c>
      <c r="G610" s="26" t="str">
        <f aca="false">IF(A610="","",SUMIFS(Trabalhos!$G$2:$G$1001,Trabalhos!$C$2:$C$1001,A610))</f>
        <v/>
      </c>
      <c r="H610" s="24"/>
    </row>
    <row r="611" customFormat="false" ht="15" hidden="false" customHeight="false" outlineLevel="0" collapsed="false">
      <c r="A611" s="24"/>
      <c r="B611" s="24"/>
      <c r="C611" s="24"/>
      <c r="D611" s="24"/>
      <c r="E611" s="24"/>
      <c r="F611" s="28" t="str">
        <f aca="false">IF(A611="","",COUNTIF(Trabalhos!$C$2:$C$1001,A611))</f>
        <v/>
      </c>
      <c r="G611" s="26" t="str">
        <f aca="false">IF(A611="","",SUMIFS(Trabalhos!$G$2:$G$1001,Trabalhos!$C$2:$C$1001,A611))</f>
        <v/>
      </c>
      <c r="H611" s="24"/>
    </row>
    <row r="612" customFormat="false" ht="15" hidden="false" customHeight="false" outlineLevel="0" collapsed="false">
      <c r="A612" s="24"/>
      <c r="B612" s="24"/>
      <c r="C612" s="24"/>
      <c r="D612" s="24"/>
      <c r="E612" s="24"/>
      <c r="F612" s="28" t="str">
        <f aca="false">IF(A612="","",COUNTIF(Trabalhos!$C$2:$C$1001,A612))</f>
        <v/>
      </c>
      <c r="G612" s="26" t="str">
        <f aca="false">IF(A612="","",SUMIFS(Trabalhos!$G$2:$G$1001,Trabalhos!$C$2:$C$1001,A612))</f>
        <v/>
      </c>
      <c r="H612" s="24"/>
    </row>
    <row r="613" customFormat="false" ht="15" hidden="false" customHeight="false" outlineLevel="0" collapsed="false">
      <c r="A613" s="24"/>
      <c r="B613" s="24"/>
      <c r="C613" s="24"/>
      <c r="D613" s="24"/>
      <c r="E613" s="24"/>
      <c r="F613" s="28" t="str">
        <f aca="false">IF(A613="","",COUNTIF(Trabalhos!$C$2:$C$1001,A613))</f>
        <v/>
      </c>
      <c r="G613" s="26" t="str">
        <f aca="false">IF(A613="","",SUMIFS(Trabalhos!$G$2:$G$1001,Trabalhos!$C$2:$C$1001,A613))</f>
        <v/>
      </c>
      <c r="H613" s="24"/>
    </row>
    <row r="614" customFormat="false" ht="15" hidden="false" customHeight="false" outlineLevel="0" collapsed="false">
      <c r="A614" s="24"/>
      <c r="B614" s="24"/>
      <c r="C614" s="24"/>
      <c r="D614" s="24"/>
      <c r="E614" s="24"/>
      <c r="F614" s="28" t="str">
        <f aca="false">IF(A614="","",COUNTIF(Trabalhos!$C$2:$C$1001,A614))</f>
        <v/>
      </c>
      <c r="G614" s="26" t="str">
        <f aca="false">IF(A614="","",SUMIFS(Trabalhos!$G$2:$G$1001,Trabalhos!$C$2:$C$1001,A614))</f>
        <v/>
      </c>
      <c r="H614" s="24"/>
    </row>
    <row r="615" customFormat="false" ht="15" hidden="false" customHeight="false" outlineLevel="0" collapsed="false">
      <c r="A615" s="24"/>
      <c r="B615" s="24"/>
      <c r="C615" s="24"/>
      <c r="D615" s="24"/>
      <c r="E615" s="24"/>
      <c r="F615" s="28" t="str">
        <f aca="false">IF(A615="","",COUNTIF(Trabalhos!$C$2:$C$1001,A615))</f>
        <v/>
      </c>
      <c r="G615" s="26" t="str">
        <f aca="false">IF(A615="","",SUMIFS(Trabalhos!$G$2:$G$1001,Trabalhos!$C$2:$C$1001,A615))</f>
        <v/>
      </c>
      <c r="H615" s="24"/>
    </row>
    <row r="616" customFormat="false" ht="15" hidden="false" customHeight="false" outlineLevel="0" collapsed="false">
      <c r="A616" s="24"/>
      <c r="B616" s="24"/>
      <c r="C616" s="24"/>
      <c r="D616" s="24"/>
      <c r="E616" s="24"/>
      <c r="F616" s="28" t="str">
        <f aca="false">IF(A616="","",COUNTIF(Trabalhos!$C$2:$C$1001,A616))</f>
        <v/>
      </c>
      <c r="G616" s="26" t="str">
        <f aca="false">IF(A616="","",SUMIFS(Trabalhos!$G$2:$G$1001,Trabalhos!$C$2:$C$1001,A616))</f>
        <v/>
      </c>
      <c r="H616" s="24"/>
    </row>
    <row r="617" customFormat="false" ht="15" hidden="false" customHeight="false" outlineLevel="0" collapsed="false">
      <c r="A617" s="24"/>
      <c r="B617" s="24"/>
      <c r="C617" s="24"/>
      <c r="D617" s="24"/>
      <c r="E617" s="24"/>
      <c r="F617" s="28" t="str">
        <f aca="false">IF(A617="","",COUNTIF(Trabalhos!$C$2:$C$1001,A617))</f>
        <v/>
      </c>
      <c r="G617" s="26" t="str">
        <f aca="false">IF(A617="","",SUMIFS(Trabalhos!$G$2:$G$1001,Trabalhos!$C$2:$C$1001,A617))</f>
        <v/>
      </c>
      <c r="H617" s="24"/>
    </row>
    <row r="618" customFormat="false" ht="15" hidden="false" customHeight="false" outlineLevel="0" collapsed="false">
      <c r="A618" s="24"/>
      <c r="B618" s="24"/>
      <c r="C618" s="24"/>
      <c r="D618" s="24"/>
      <c r="E618" s="24"/>
      <c r="F618" s="28" t="str">
        <f aca="false">IF(A618="","",COUNTIF(Trabalhos!$C$2:$C$1001,A618))</f>
        <v/>
      </c>
      <c r="G618" s="26" t="str">
        <f aca="false">IF(A618="","",SUMIFS(Trabalhos!$G$2:$G$1001,Trabalhos!$C$2:$C$1001,A618))</f>
        <v/>
      </c>
      <c r="H618" s="24"/>
    </row>
    <row r="619" customFormat="false" ht="15" hidden="false" customHeight="false" outlineLevel="0" collapsed="false">
      <c r="A619" s="24"/>
      <c r="B619" s="24"/>
      <c r="C619" s="24"/>
      <c r="D619" s="24"/>
      <c r="E619" s="24"/>
      <c r="F619" s="28" t="str">
        <f aca="false">IF(A619="","",COUNTIF(Trabalhos!$C$2:$C$1001,A619))</f>
        <v/>
      </c>
      <c r="G619" s="26" t="str">
        <f aca="false">IF(A619="","",SUMIFS(Trabalhos!$G$2:$G$1001,Trabalhos!$C$2:$C$1001,A619))</f>
        <v/>
      </c>
      <c r="H619" s="24"/>
    </row>
    <row r="620" customFormat="false" ht="15" hidden="false" customHeight="false" outlineLevel="0" collapsed="false">
      <c r="A620" s="24"/>
      <c r="B620" s="24"/>
      <c r="C620" s="24"/>
      <c r="D620" s="24"/>
      <c r="E620" s="24"/>
      <c r="F620" s="28" t="str">
        <f aca="false">IF(A620="","",COUNTIF(Trabalhos!$C$2:$C$1001,A620))</f>
        <v/>
      </c>
      <c r="G620" s="26" t="str">
        <f aca="false">IF(A620="","",SUMIFS(Trabalhos!$G$2:$G$1001,Trabalhos!$C$2:$C$1001,A620))</f>
        <v/>
      </c>
      <c r="H620" s="24"/>
    </row>
    <row r="621" customFormat="false" ht="15" hidden="false" customHeight="false" outlineLevel="0" collapsed="false">
      <c r="A621" s="24"/>
      <c r="B621" s="24"/>
      <c r="C621" s="24"/>
      <c r="D621" s="24"/>
      <c r="E621" s="24"/>
      <c r="F621" s="28" t="str">
        <f aca="false">IF(A621="","",COUNTIF(Trabalhos!$C$2:$C$1001,A621))</f>
        <v/>
      </c>
      <c r="G621" s="26" t="str">
        <f aca="false">IF(A621="","",SUMIFS(Trabalhos!$G$2:$G$1001,Trabalhos!$C$2:$C$1001,A621))</f>
        <v/>
      </c>
      <c r="H621" s="24"/>
    </row>
    <row r="622" customFormat="false" ht="15" hidden="false" customHeight="false" outlineLevel="0" collapsed="false">
      <c r="A622" s="24"/>
      <c r="B622" s="24"/>
      <c r="C622" s="24"/>
      <c r="D622" s="24"/>
      <c r="E622" s="24"/>
      <c r="F622" s="28" t="str">
        <f aca="false">IF(A622="","",COUNTIF(Trabalhos!$C$2:$C$1001,A622))</f>
        <v/>
      </c>
      <c r="G622" s="26" t="str">
        <f aca="false">IF(A622="","",SUMIFS(Trabalhos!$G$2:$G$1001,Trabalhos!$C$2:$C$1001,A622))</f>
        <v/>
      </c>
      <c r="H622" s="24"/>
    </row>
    <row r="623" customFormat="false" ht="15" hidden="false" customHeight="false" outlineLevel="0" collapsed="false">
      <c r="A623" s="24"/>
      <c r="B623" s="24"/>
      <c r="C623" s="24"/>
      <c r="D623" s="24"/>
      <c r="E623" s="24"/>
      <c r="F623" s="28" t="str">
        <f aca="false">IF(A623="","",COUNTIF(Trabalhos!$C$2:$C$1001,A623))</f>
        <v/>
      </c>
      <c r="G623" s="26" t="str">
        <f aca="false">IF(A623="","",SUMIFS(Trabalhos!$G$2:$G$1001,Trabalhos!$C$2:$C$1001,A623))</f>
        <v/>
      </c>
      <c r="H623" s="24"/>
    </row>
    <row r="624" customFormat="false" ht="15" hidden="false" customHeight="false" outlineLevel="0" collapsed="false">
      <c r="A624" s="24"/>
      <c r="B624" s="24"/>
      <c r="C624" s="24"/>
      <c r="D624" s="24"/>
      <c r="E624" s="24"/>
      <c r="F624" s="28" t="str">
        <f aca="false">IF(A624="","",COUNTIF(Trabalhos!$C$2:$C$1001,A624))</f>
        <v/>
      </c>
      <c r="G624" s="26" t="str">
        <f aca="false">IF(A624="","",SUMIFS(Trabalhos!$G$2:$G$1001,Trabalhos!$C$2:$C$1001,A624))</f>
        <v/>
      </c>
      <c r="H624" s="24"/>
    </row>
    <row r="625" customFormat="false" ht="15" hidden="false" customHeight="false" outlineLevel="0" collapsed="false">
      <c r="A625" s="24"/>
      <c r="B625" s="24"/>
      <c r="C625" s="24"/>
      <c r="D625" s="24"/>
      <c r="E625" s="24"/>
      <c r="F625" s="28" t="str">
        <f aca="false">IF(A625="","",COUNTIF(Trabalhos!$C$2:$C$1001,A625))</f>
        <v/>
      </c>
      <c r="G625" s="26" t="str">
        <f aca="false">IF(A625="","",SUMIFS(Trabalhos!$G$2:$G$1001,Trabalhos!$C$2:$C$1001,A625))</f>
        <v/>
      </c>
      <c r="H625" s="24"/>
    </row>
    <row r="626" customFormat="false" ht="15" hidden="false" customHeight="false" outlineLevel="0" collapsed="false">
      <c r="A626" s="24"/>
      <c r="B626" s="24"/>
      <c r="C626" s="24"/>
      <c r="D626" s="24"/>
      <c r="E626" s="24"/>
      <c r="F626" s="28" t="str">
        <f aca="false">IF(A626="","",COUNTIF(Trabalhos!$C$2:$C$1001,A626))</f>
        <v/>
      </c>
      <c r="G626" s="26" t="str">
        <f aca="false">IF(A626="","",SUMIFS(Trabalhos!$G$2:$G$1001,Trabalhos!$C$2:$C$1001,A626))</f>
        <v/>
      </c>
      <c r="H626" s="24"/>
    </row>
    <row r="627" customFormat="false" ht="15" hidden="false" customHeight="false" outlineLevel="0" collapsed="false">
      <c r="A627" s="24"/>
      <c r="B627" s="24"/>
      <c r="C627" s="24"/>
      <c r="D627" s="24"/>
      <c r="E627" s="24"/>
      <c r="F627" s="28" t="str">
        <f aca="false">IF(A627="","",COUNTIF(Trabalhos!$C$2:$C$1001,A627))</f>
        <v/>
      </c>
      <c r="G627" s="26" t="str">
        <f aca="false">IF(A627="","",SUMIFS(Trabalhos!$G$2:$G$1001,Trabalhos!$C$2:$C$1001,A627))</f>
        <v/>
      </c>
      <c r="H627" s="24"/>
    </row>
    <row r="628" customFormat="false" ht="15" hidden="false" customHeight="false" outlineLevel="0" collapsed="false">
      <c r="A628" s="24"/>
      <c r="B628" s="24"/>
      <c r="C628" s="24"/>
      <c r="D628" s="24"/>
      <c r="E628" s="24"/>
      <c r="F628" s="28" t="str">
        <f aca="false">IF(A628="","",COUNTIF(Trabalhos!$C$2:$C$1001,A628))</f>
        <v/>
      </c>
      <c r="G628" s="26" t="str">
        <f aca="false">IF(A628="","",SUMIFS(Trabalhos!$G$2:$G$1001,Trabalhos!$C$2:$C$1001,A628))</f>
        <v/>
      </c>
      <c r="H628" s="24"/>
    </row>
    <row r="629" customFormat="false" ht="15" hidden="false" customHeight="false" outlineLevel="0" collapsed="false">
      <c r="A629" s="24"/>
      <c r="B629" s="24"/>
      <c r="C629" s="24"/>
      <c r="D629" s="24"/>
      <c r="E629" s="24"/>
      <c r="F629" s="28" t="str">
        <f aca="false">IF(A629="","",COUNTIF(Trabalhos!$C$2:$C$1001,A629))</f>
        <v/>
      </c>
      <c r="G629" s="26" t="str">
        <f aca="false">IF(A629="","",SUMIFS(Trabalhos!$G$2:$G$1001,Trabalhos!$C$2:$C$1001,A629))</f>
        <v/>
      </c>
      <c r="H629" s="24"/>
    </row>
    <row r="630" customFormat="false" ht="15" hidden="false" customHeight="false" outlineLevel="0" collapsed="false">
      <c r="A630" s="24"/>
      <c r="B630" s="24"/>
      <c r="C630" s="24"/>
      <c r="D630" s="24"/>
      <c r="E630" s="24"/>
      <c r="F630" s="28" t="str">
        <f aca="false">IF(A630="","",COUNTIF(Trabalhos!$C$2:$C$1001,A630))</f>
        <v/>
      </c>
      <c r="G630" s="26" t="str">
        <f aca="false">IF(A630="","",SUMIFS(Trabalhos!$G$2:$G$1001,Trabalhos!$C$2:$C$1001,A630))</f>
        <v/>
      </c>
      <c r="H630" s="24"/>
    </row>
    <row r="631" customFormat="false" ht="15" hidden="false" customHeight="false" outlineLevel="0" collapsed="false">
      <c r="A631" s="24"/>
      <c r="B631" s="24"/>
      <c r="C631" s="24"/>
      <c r="D631" s="24"/>
      <c r="E631" s="24"/>
      <c r="F631" s="28" t="str">
        <f aca="false">IF(A631="","",COUNTIF(Trabalhos!$C$2:$C$1001,A631))</f>
        <v/>
      </c>
      <c r="G631" s="26" t="str">
        <f aca="false">IF(A631="","",SUMIFS(Trabalhos!$G$2:$G$1001,Trabalhos!$C$2:$C$1001,A631))</f>
        <v/>
      </c>
      <c r="H631" s="24"/>
    </row>
    <row r="632" customFormat="false" ht="15" hidden="false" customHeight="false" outlineLevel="0" collapsed="false">
      <c r="A632" s="24"/>
      <c r="B632" s="24"/>
      <c r="C632" s="24"/>
      <c r="D632" s="24"/>
      <c r="E632" s="24"/>
      <c r="F632" s="28" t="str">
        <f aca="false">IF(A632="","",COUNTIF(Trabalhos!$C$2:$C$1001,A632))</f>
        <v/>
      </c>
      <c r="G632" s="26" t="str">
        <f aca="false">IF(A632="","",SUMIFS(Trabalhos!$G$2:$G$1001,Trabalhos!$C$2:$C$1001,A632))</f>
        <v/>
      </c>
      <c r="H632" s="24"/>
    </row>
    <row r="633" customFormat="false" ht="15" hidden="false" customHeight="false" outlineLevel="0" collapsed="false">
      <c r="A633" s="24"/>
      <c r="B633" s="24"/>
      <c r="C633" s="24"/>
      <c r="D633" s="24"/>
      <c r="E633" s="24"/>
      <c r="F633" s="28" t="str">
        <f aca="false">IF(A633="","",COUNTIF(Trabalhos!$C$2:$C$1001,A633))</f>
        <v/>
      </c>
      <c r="G633" s="26" t="str">
        <f aca="false">IF(A633="","",SUMIFS(Trabalhos!$G$2:$G$1001,Trabalhos!$C$2:$C$1001,A633))</f>
        <v/>
      </c>
      <c r="H633" s="24"/>
    </row>
    <row r="634" customFormat="false" ht="15" hidden="false" customHeight="false" outlineLevel="0" collapsed="false">
      <c r="A634" s="24"/>
      <c r="B634" s="24"/>
      <c r="C634" s="24"/>
      <c r="D634" s="24"/>
      <c r="E634" s="24"/>
      <c r="F634" s="28" t="str">
        <f aca="false">IF(A634="","",COUNTIF(Trabalhos!$C$2:$C$1001,A634))</f>
        <v/>
      </c>
      <c r="G634" s="26" t="str">
        <f aca="false">IF(A634="","",SUMIFS(Trabalhos!$G$2:$G$1001,Trabalhos!$C$2:$C$1001,A634))</f>
        <v/>
      </c>
      <c r="H634" s="24"/>
    </row>
    <row r="635" customFormat="false" ht="15" hidden="false" customHeight="false" outlineLevel="0" collapsed="false">
      <c r="A635" s="24"/>
      <c r="B635" s="24"/>
      <c r="C635" s="24"/>
      <c r="D635" s="24"/>
      <c r="E635" s="24"/>
      <c r="F635" s="28" t="str">
        <f aca="false">IF(A635="","",COUNTIF(Trabalhos!$C$2:$C$1001,A635))</f>
        <v/>
      </c>
      <c r="G635" s="26" t="str">
        <f aca="false">IF(A635="","",SUMIFS(Trabalhos!$G$2:$G$1001,Trabalhos!$C$2:$C$1001,A635))</f>
        <v/>
      </c>
      <c r="H635" s="24"/>
    </row>
    <row r="636" customFormat="false" ht="15" hidden="false" customHeight="false" outlineLevel="0" collapsed="false">
      <c r="A636" s="24"/>
      <c r="B636" s="24"/>
      <c r="C636" s="24"/>
      <c r="D636" s="24"/>
      <c r="E636" s="24"/>
      <c r="F636" s="28" t="str">
        <f aca="false">IF(A636="","",COUNTIF(Trabalhos!$C$2:$C$1001,A636))</f>
        <v/>
      </c>
      <c r="G636" s="26" t="str">
        <f aca="false">IF(A636="","",SUMIFS(Trabalhos!$G$2:$G$1001,Trabalhos!$C$2:$C$1001,A636))</f>
        <v/>
      </c>
      <c r="H636" s="24"/>
    </row>
    <row r="637" customFormat="false" ht="15" hidden="false" customHeight="false" outlineLevel="0" collapsed="false">
      <c r="A637" s="24"/>
      <c r="B637" s="24"/>
      <c r="C637" s="24"/>
      <c r="D637" s="24"/>
      <c r="E637" s="24"/>
      <c r="F637" s="28" t="str">
        <f aca="false">IF(A637="","",COUNTIF(Trabalhos!$C$2:$C$1001,A637))</f>
        <v/>
      </c>
      <c r="G637" s="26" t="str">
        <f aca="false">IF(A637="","",SUMIFS(Trabalhos!$G$2:$G$1001,Trabalhos!$C$2:$C$1001,A637))</f>
        <v/>
      </c>
      <c r="H637" s="24"/>
    </row>
    <row r="638" customFormat="false" ht="15" hidden="false" customHeight="false" outlineLevel="0" collapsed="false">
      <c r="A638" s="24"/>
      <c r="B638" s="24"/>
      <c r="C638" s="24"/>
      <c r="D638" s="24"/>
      <c r="E638" s="24"/>
      <c r="F638" s="28" t="str">
        <f aca="false">IF(A638="","",COUNTIF(Trabalhos!$C$2:$C$1001,A638))</f>
        <v/>
      </c>
      <c r="G638" s="26" t="str">
        <f aca="false">IF(A638="","",SUMIFS(Trabalhos!$G$2:$G$1001,Trabalhos!$C$2:$C$1001,A638))</f>
        <v/>
      </c>
      <c r="H638" s="24"/>
    </row>
    <row r="639" customFormat="false" ht="15" hidden="false" customHeight="false" outlineLevel="0" collapsed="false">
      <c r="A639" s="24"/>
      <c r="B639" s="24"/>
      <c r="C639" s="24"/>
      <c r="D639" s="24"/>
      <c r="E639" s="24"/>
      <c r="F639" s="28" t="str">
        <f aca="false">IF(A639="","",COUNTIF(Trabalhos!$C$2:$C$1001,A639))</f>
        <v/>
      </c>
      <c r="G639" s="26" t="str">
        <f aca="false">IF(A639="","",SUMIFS(Trabalhos!$G$2:$G$1001,Trabalhos!$C$2:$C$1001,A639))</f>
        <v/>
      </c>
      <c r="H639" s="24"/>
    </row>
    <row r="640" customFormat="false" ht="15" hidden="false" customHeight="false" outlineLevel="0" collapsed="false">
      <c r="A640" s="24"/>
      <c r="B640" s="24"/>
      <c r="C640" s="24"/>
      <c r="D640" s="24"/>
      <c r="E640" s="24"/>
      <c r="F640" s="28" t="str">
        <f aca="false">IF(A640="","",COUNTIF(Trabalhos!$C$2:$C$1001,A640))</f>
        <v/>
      </c>
      <c r="G640" s="26" t="str">
        <f aca="false">IF(A640="","",SUMIFS(Trabalhos!$G$2:$G$1001,Trabalhos!$C$2:$C$1001,A640))</f>
        <v/>
      </c>
      <c r="H640" s="24"/>
    </row>
    <row r="641" customFormat="false" ht="15" hidden="false" customHeight="false" outlineLevel="0" collapsed="false">
      <c r="A641" s="24"/>
      <c r="B641" s="24"/>
      <c r="C641" s="24"/>
      <c r="D641" s="24"/>
      <c r="E641" s="24"/>
      <c r="F641" s="28" t="str">
        <f aca="false">IF(A641="","",COUNTIF(Trabalhos!$C$2:$C$1001,A641))</f>
        <v/>
      </c>
      <c r="G641" s="26" t="str">
        <f aca="false">IF(A641="","",SUMIFS(Trabalhos!$G$2:$G$1001,Trabalhos!$C$2:$C$1001,A641))</f>
        <v/>
      </c>
      <c r="H641" s="24"/>
    </row>
    <row r="642" customFormat="false" ht="15" hidden="false" customHeight="false" outlineLevel="0" collapsed="false">
      <c r="A642" s="24"/>
      <c r="B642" s="24"/>
      <c r="C642" s="24"/>
      <c r="D642" s="24"/>
      <c r="E642" s="24"/>
      <c r="F642" s="28" t="str">
        <f aca="false">IF(A642="","",COUNTIF(Trabalhos!$C$2:$C$1001,A642))</f>
        <v/>
      </c>
      <c r="G642" s="26" t="str">
        <f aca="false">IF(A642="","",SUMIFS(Trabalhos!$G$2:$G$1001,Trabalhos!$C$2:$C$1001,A642))</f>
        <v/>
      </c>
      <c r="H642" s="24"/>
    </row>
    <row r="643" customFormat="false" ht="15" hidden="false" customHeight="false" outlineLevel="0" collapsed="false">
      <c r="A643" s="24"/>
      <c r="B643" s="24"/>
      <c r="C643" s="24"/>
      <c r="D643" s="24"/>
      <c r="E643" s="24"/>
      <c r="F643" s="28" t="str">
        <f aca="false">IF(A643="","",COUNTIF(Trabalhos!$C$2:$C$1001,A643))</f>
        <v/>
      </c>
      <c r="G643" s="26" t="str">
        <f aca="false">IF(A643="","",SUMIFS(Trabalhos!$G$2:$G$1001,Trabalhos!$C$2:$C$1001,A643))</f>
        <v/>
      </c>
      <c r="H643" s="24"/>
    </row>
    <row r="644" customFormat="false" ht="15" hidden="false" customHeight="false" outlineLevel="0" collapsed="false">
      <c r="A644" s="24"/>
      <c r="B644" s="24"/>
      <c r="C644" s="24"/>
      <c r="D644" s="24"/>
      <c r="E644" s="24"/>
      <c r="F644" s="28" t="str">
        <f aca="false">IF(A644="","",COUNTIF(Trabalhos!$C$2:$C$1001,A644))</f>
        <v/>
      </c>
      <c r="G644" s="26" t="str">
        <f aca="false">IF(A644="","",SUMIFS(Trabalhos!$G$2:$G$1001,Trabalhos!$C$2:$C$1001,A644))</f>
        <v/>
      </c>
      <c r="H644" s="24"/>
    </row>
    <row r="645" customFormat="false" ht="15" hidden="false" customHeight="false" outlineLevel="0" collapsed="false">
      <c r="A645" s="24"/>
      <c r="B645" s="24"/>
      <c r="C645" s="24"/>
      <c r="D645" s="24"/>
      <c r="E645" s="24"/>
      <c r="F645" s="28" t="str">
        <f aca="false">IF(A645="","",COUNTIF(Trabalhos!$C$2:$C$1001,A645))</f>
        <v/>
      </c>
      <c r="G645" s="26" t="str">
        <f aca="false">IF(A645="","",SUMIFS(Trabalhos!$G$2:$G$1001,Trabalhos!$C$2:$C$1001,A645))</f>
        <v/>
      </c>
      <c r="H645" s="24"/>
    </row>
    <row r="646" customFormat="false" ht="15" hidden="false" customHeight="false" outlineLevel="0" collapsed="false">
      <c r="A646" s="24"/>
      <c r="B646" s="24"/>
      <c r="C646" s="24"/>
      <c r="D646" s="24"/>
      <c r="E646" s="24"/>
      <c r="F646" s="28" t="str">
        <f aca="false">IF(A646="","",COUNTIF(Trabalhos!$C$2:$C$1001,A646))</f>
        <v/>
      </c>
      <c r="G646" s="26" t="str">
        <f aca="false">IF(A646="","",SUMIFS(Trabalhos!$G$2:$G$1001,Trabalhos!$C$2:$C$1001,A646))</f>
        <v/>
      </c>
      <c r="H646" s="24"/>
    </row>
    <row r="647" customFormat="false" ht="15" hidden="false" customHeight="false" outlineLevel="0" collapsed="false">
      <c r="A647" s="24"/>
      <c r="B647" s="24"/>
      <c r="C647" s="24"/>
      <c r="D647" s="24"/>
      <c r="E647" s="24"/>
      <c r="F647" s="28" t="str">
        <f aca="false">IF(A647="","",COUNTIF(Trabalhos!$C$2:$C$1001,A647))</f>
        <v/>
      </c>
      <c r="G647" s="26" t="str">
        <f aca="false">IF(A647="","",SUMIFS(Trabalhos!$G$2:$G$1001,Trabalhos!$C$2:$C$1001,A647))</f>
        <v/>
      </c>
      <c r="H647" s="24"/>
    </row>
    <row r="648" customFormat="false" ht="15" hidden="false" customHeight="false" outlineLevel="0" collapsed="false">
      <c r="A648" s="24"/>
      <c r="B648" s="24"/>
      <c r="C648" s="24"/>
      <c r="D648" s="24"/>
      <c r="E648" s="24"/>
      <c r="F648" s="28" t="str">
        <f aca="false">IF(A648="","",COUNTIF(Trabalhos!$C$2:$C$1001,A648))</f>
        <v/>
      </c>
      <c r="G648" s="26" t="str">
        <f aca="false">IF(A648="","",SUMIFS(Trabalhos!$G$2:$G$1001,Trabalhos!$C$2:$C$1001,A648))</f>
        <v/>
      </c>
      <c r="H648" s="24"/>
    </row>
    <row r="649" customFormat="false" ht="15" hidden="false" customHeight="false" outlineLevel="0" collapsed="false">
      <c r="A649" s="24"/>
      <c r="B649" s="24"/>
      <c r="C649" s="24"/>
      <c r="D649" s="24"/>
      <c r="E649" s="24"/>
      <c r="F649" s="28" t="str">
        <f aca="false">IF(A649="","",COUNTIF(Trabalhos!$C$2:$C$1001,A649))</f>
        <v/>
      </c>
      <c r="G649" s="26" t="str">
        <f aca="false">IF(A649="","",SUMIFS(Trabalhos!$G$2:$G$1001,Trabalhos!$C$2:$C$1001,A649))</f>
        <v/>
      </c>
      <c r="H649" s="24"/>
    </row>
    <row r="650" customFormat="false" ht="15" hidden="false" customHeight="false" outlineLevel="0" collapsed="false">
      <c r="A650" s="24"/>
      <c r="B650" s="24"/>
      <c r="C650" s="24"/>
      <c r="D650" s="24"/>
      <c r="E650" s="24"/>
      <c r="F650" s="28" t="str">
        <f aca="false">IF(A650="","",COUNTIF(Trabalhos!$C$2:$C$1001,A650))</f>
        <v/>
      </c>
      <c r="G650" s="26" t="str">
        <f aca="false">IF(A650="","",SUMIFS(Trabalhos!$G$2:$G$1001,Trabalhos!$C$2:$C$1001,A650))</f>
        <v/>
      </c>
      <c r="H650" s="24"/>
    </row>
    <row r="651" customFormat="false" ht="15" hidden="false" customHeight="false" outlineLevel="0" collapsed="false">
      <c r="A651" s="24"/>
      <c r="B651" s="24"/>
      <c r="C651" s="24"/>
      <c r="D651" s="24"/>
      <c r="E651" s="24"/>
      <c r="F651" s="28" t="str">
        <f aca="false">IF(A651="","",COUNTIF(Trabalhos!$C$2:$C$1001,A651))</f>
        <v/>
      </c>
      <c r="G651" s="26" t="str">
        <f aca="false">IF(A651="","",SUMIFS(Trabalhos!$G$2:$G$1001,Trabalhos!$C$2:$C$1001,A651))</f>
        <v/>
      </c>
      <c r="H651" s="24"/>
    </row>
    <row r="652" customFormat="false" ht="15" hidden="false" customHeight="false" outlineLevel="0" collapsed="false">
      <c r="A652" s="24"/>
      <c r="B652" s="24"/>
      <c r="C652" s="24"/>
      <c r="D652" s="24"/>
      <c r="E652" s="24"/>
      <c r="F652" s="28" t="str">
        <f aca="false">IF(A652="","",COUNTIF(Trabalhos!$C$2:$C$1001,A652))</f>
        <v/>
      </c>
      <c r="G652" s="26" t="str">
        <f aca="false">IF(A652="","",SUMIFS(Trabalhos!$G$2:$G$1001,Trabalhos!$C$2:$C$1001,A652))</f>
        <v/>
      </c>
      <c r="H652" s="24"/>
    </row>
    <row r="653" customFormat="false" ht="15" hidden="false" customHeight="false" outlineLevel="0" collapsed="false">
      <c r="A653" s="24"/>
      <c r="B653" s="24"/>
      <c r="C653" s="24"/>
      <c r="D653" s="24"/>
      <c r="E653" s="24"/>
      <c r="F653" s="28" t="str">
        <f aca="false">IF(A653="","",COUNTIF(Trabalhos!$C$2:$C$1001,A653))</f>
        <v/>
      </c>
      <c r="G653" s="26" t="str">
        <f aca="false">IF(A653="","",SUMIFS(Trabalhos!$G$2:$G$1001,Trabalhos!$C$2:$C$1001,A653))</f>
        <v/>
      </c>
      <c r="H653" s="24"/>
    </row>
    <row r="654" customFormat="false" ht="15" hidden="false" customHeight="false" outlineLevel="0" collapsed="false">
      <c r="A654" s="24"/>
      <c r="B654" s="24"/>
      <c r="C654" s="24"/>
      <c r="D654" s="24"/>
      <c r="E654" s="24"/>
      <c r="F654" s="28" t="str">
        <f aca="false">IF(A654="","",COUNTIF(Trabalhos!$C$2:$C$1001,A654))</f>
        <v/>
      </c>
      <c r="G654" s="26" t="str">
        <f aca="false">IF(A654="","",SUMIFS(Trabalhos!$G$2:$G$1001,Trabalhos!$C$2:$C$1001,A654))</f>
        <v/>
      </c>
      <c r="H654" s="24"/>
    </row>
    <row r="655" customFormat="false" ht="15" hidden="false" customHeight="false" outlineLevel="0" collapsed="false">
      <c r="A655" s="24"/>
      <c r="B655" s="24"/>
      <c r="C655" s="24"/>
      <c r="D655" s="24"/>
      <c r="E655" s="24"/>
      <c r="F655" s="28" t="str">
        <f aca="false">IF(A655="","",COUNTIF(Trabalhos!$C$2:$C$1001,A655))</f>
        <v/>
      </c>
      <c r="G655" s="26" t="str">
        <f aca="false">IF(A655="","",SUMIFS(Trabalhos!$G$2:$G$1001,Trabalhos!$C$2:$C$1001,A655))</f>
        <v/>
      </c>
      <c r="H655" s="24"/>
    </row>
    <row r="656" customFormat="false" ht="15" hidden="false" customHeight="false" outlineLevel="0" collapsed="false">
      <c r="A656" s="24"/>
      <c r="B656" s="24"/>
      <c r="C656" s="24"/>
      <c r="D656" s="24"/>
      <c r="E656" s="24"/>
      <c r="F656" s="28" t="str">
        <f aca="false">IF(A656="","",COUNTIF(Trabalhos!$C$2:$C$1001,A656))</f>
        <v/>
      </c>
      <c r="G656" s="26" t="str">
        <f aca="false">IF(A656="","",SUMIFS(Trabalhos!$G$2:$G$1001,Trabalhos!$C$2:$C$1001,A656))</f>
        <v/>
      </c>
      <c r="H656" s="24"/>
    </row>
    <row r="657" customFormat="false" ht="15" hidden="false" customHeight="false" outlineLevel="0" collapsed="false">
      <c r="A657" s="24"/>
      <c r="B657" s="24"/>
      <c r="C657" s="24"/>
      <c r="D657" s="24"/>
      <c r="E657" s="24"/>
      <c r="F657" s="28" t="str">
        <f aca="false">IF(A657="","",COUNTIF(Trabalhos!$C$2:$C$1001,A657))</f>
        <v/>
      </c>
      <c r="G657" s="26" t="str">
        <f aca="false">IF(A657="","",SUMIFS(Trabalhos!$G$2:$G$1001,Trabalhos!$C$2:$C$1001,A657))</f>
        <v/>
      </c>
      <c r="H657" s="24"/>
    </row>
    <row r="658" customFormat="false" ht="15" hidden="false" customHeight="false" outlineLevel="0" collapsed="false">
      <c r="A658" s="24"/>
      <c r="B658" s="24"/>
      <c r="C658" s="24"/>
      <c r="D658" s="24"/>
      <c r="E658" s="24"/>
      <c r="F658" s="28" t="str">
        <f aca="false">IF(A658="","",COUNTIF(Trabalhos!$C$2:$C$1001,A658))</f>
        <v/>
      </c>
      <c r="G658" s="26" t="str">
        <f aca="false">IF(A658="","",SUMIFS(Trabalhos!$G$2:$G$1001,Trabalhos!$C$2:$C$1001,A658))</f>
        <v/>
      </c>
      <c r="H658" s="24"/>
    </row>
    <row r="659" customFormat="false" ht="15" hidden="false" customHeight="false" outlineLevel="0" collapsed="false">
      <c r="A659" s="24"/>
      <c r="B659" s="24"/>
      <c r="C659" s="24"/>
      <c r="D659" s="24"/>
      <c r="E659" s="24"/>
      <c r="F659" s="28" t="str">
        <f aca="false">IF(A659="","",COUNTIF(Trabalhos!$C$2:$C$1001,A659))</f>
        <v/>
      </c>
      <c r="G659" s="26" t="str">
        <f aca="false">IF(A659="","",SUMIFS(Trabalhos!$G$2:$G$1001,Trabalhos!$C$2:$C$1001,A659))</f>
        <v/>
      </c>
      <c r="H659" s="24"/>
    </row>
    <row r="660" customFormat="false" ht="15" hidden="false" customHeight="false" outlineLevel="0" collapsed="false">
      <c r="A660" s="24"/>
      <c r="B660" s="24"/>
      <c r="C660" s="24"/>
      <c r="D660" s="24"/>
      <c r="E660" s="24"/>
      <c r="F660" s="28" t="str">
        <f aca="false">IF(A660="","",COUNTIF(Trabalhos!$C$2:$C$1001,A660))</f>
        <v/>
      </c>
      <c r="G660" s="26" t="str">
        <f aca="false">IF(A660="","",SUMIFS(Trabalhos!$G$2:$G$1001,Trabalhos!$C$2:$C$1001,A660))</f>
        <v/>
      </c>
      <c r="H660" s="24"/>
    </row>
    <row r="661" customFormat="false" ht="15" hidden="false" customHeight="false" outlineLevel="0" collapsed="false">
      <c r="A661" s="24"/>
      <c r="B661" s="24"/>
      <c r="C661" s="24"/>
      <c r="D661" s="24"/>
      <c r="E661" s="24"/>
      <c r="F661" s="28" t="str">
        <f aca="false">IF(A661="","",COUNTIF(Trabalhos!$C$2:$C$1001,A661))</f>
        <v/>
      </c>
      <c r="G661" s="26" t="str">
        <f aca="false">IF(A661="","",SUMIFS(Trabalhos!$G$2:$G$1001,Trabalhos!$C$2:$C$1001,A661))</f>
        <v/>
      </c>
      <c r="H661" s="24"/>
    </row>
    <row r="662" customFormat="false" ht="15" hidden="false" customHeight="false" outlineLevel="0" collapsed="false">
      <c r="A662" s="24"/>
      <c r="B662" s="24"/>
      <c r="C662" s="24"/>
      <c r="D662" s="24"/>
      <c r="E662" s="24"/>
      <c r="F662" s="28" t="str">
        <f aca="false">IF(A662="","",COUNTIF(Trabalhos!$C$2:$C$1001,A662))</f>
        <v/>
      </c>
      <c r="G662" s="26" t="str">
        <f aca="false">IF(A662="","",SUMIFS(Trabalhos!$G$2:$G$1001,Trabalhos!$C$2:$C$1001,A662))</f>
        <v/>
      </c>
      <c r="H662" s="24"/>
    </row>
    <row r="663" customFormat="false" ht="15" hidden="false" customHeight="false" outlineLevel="0" collapsed="false">
      <c r="A663" s="24"/>
      <c r="B663" s="24"/>
      <c r="C663" s="24"/>
      <c r="D663" s="24"/>
      <c r="E663" s="24"/>
      <c r="F663" s="28" t="str">
        <f aca="false">IF(A663="","",COUNTIF(Trabalhos!$C$2:$C$1001,A663))</f>
        <v/>
      </c>
      <c r="G663" s="26" t="str">
        <f aca="false">IF(A663="","",SUMIFS(Trabalhos!$G$2:$G$1001,Trabalhos!$C$2:$C$1001,A663))</f>
        <v/>
      </c>
      <c r="H663" s="24"/>
    </row>
    <row r="664" customFormat="false" ht="15" hidden="false" customHeight="false" outlineLevel="0" collapsed="false">
      <c r="A664" s="24"/>
      <c r="B664" s="24"/>
      <c r="C664" s="24"/>
      <c r="D664" s="24"/>
      <c r="E664" s="24"/>
      <c r="F664" s="28" t="str">
        <f aca="false">IF(A664="","",COUNTIF(Trabalhos!$C$2:$C$1001,A664))</f>
        <v/>
      </c>
      <c r="G664" s="26" t="str">
        <f aca="false">IF(A664="","",SUMIFS(Trabalhos!$G$2:$G$1001,Trabalhos!$C$2:$C$1001,A664))</f>
        <v/>
      </c>
      <c r="H664" s="24"/>
    </row>
    <row r="665" customFormat="false" ht="15" hidden="false" customHeight="false" outlineLevel="0" collapsed="false">
      <c r="A665" s="24"/>
      <c r="B665" s="24"/>
      <c r="C665" s="24"/>
      <c r="D665" s="24"/>
      <c r="E665" s="24"/>
      <c r="F665" s="28" t="str">
        <f aca="false">IF(A665="","",COUNTIF(Trabalhos!$C$2:$C$1001,A665))</f>
        <v/>
      </c>
      <c r="G665" s="26" t="str">
        <f aca="false">IF(A665="","",SUMIFS(Trabalhos!$G$2:$G$1001,Trabalhos!$C$2:$C$1001,A665))</f>
        <v/>
      </c>
      <c r="H665" s="24"/>
    </row>
    <row r="666" customFormat="false" ht="15" hidden="false" customHeight="false" outlineLevel="0" collapsed="false">
      <c r="A666" s="24"/>
      <c r="B666" s="24"/>
      <c r="C666" s="24"/>
      <c r="D666" s="24"/>
      <c r="E666" s="24"/>
      <c r="F666" s="28" t="str">
        <f aca="false">IF(A666="","",COUNTIF(Trabalhos!$C$2:$C$1001,A666))</f>
        <v/>
      </c>
      <c r="G666" s="26" t="str">
        <f aca="false">IF(A666="","",SUMIFS(Trabalhos!$G$2:$G$1001,Trabalhos!$C$2:$C$1001,A666))</f>
        <v/>
      </c>
      <c r="H666" s="24"/>
    </row>
    <row r="667" customFormat="false" ht="15" hidden="false" customHeight="false" outlineLevel="0" collapsed="false">
      <c r="A667" s="24"/>
      <c r="B667" s="24"/>
      <c r="C667" s="24"/>
      <c r="D667" s="24"/>
      <c r="E667" s="24"/>
      <c r="F667" s="28" t="str">
        <f aca="false">IF(A667="","",COUNTIF(Trabalhos!$C$2:$C$1001,A667))</f>
        <v/>
      </c>
      <c r="G667" s="26" t="str">
        <f aca="false">IF(A667="","",SUMIFS(Trabalhos!$G$2:$G$1001,Trabalhos!$C$2:$C$1001,A667))</f>
        <v/>
      </c>
      <c r="H667" s="24"/>
    </row>
    <row r="668" customFormat="false" ht="15" hidden="false" customHeight="false" outlineLevel="0" collapsed="false">
      <c r="A668" s="24"/>
      <c r="B668" s="24"/>
      <c r="C668" s="24"/>
      <c r="D668" s="24"/>
      <c r="E668" s="24"/>
      <c r="F668" s="28" t="str">
        <f aca="false">IF(A668="","",COUNTIF(Trabalhos!$C$2:$C$1001,A668))</f>
        <v/>
      </c>
      <c r="G668" s="26" t="str">
        <f aca="false">IF(A668="","",SUMIFS(Trabalhos!$G$2:$G$1001,Trabalhos!$C$2:$C$1001,A668))</f>
        <v/>
      </c>
      <c r="H668" s="24"/>
    </row>
    <row r="669" customFormat="false" ht="15" hidden="false" customHeight="false" outlineLevel="0" collapsed="false">
      <c r="A669" s="24"/>
      <c r="B669" s="24"/>
      <c r="C669" s="24"/>
      <c r="D669" s="24"/>
      <c r="E669" s="24"/>
      <c r="F669" s="28" t="str">
        <f aca="false">IF(A669="","",COUNTIF(Trabalhos!$C$2:$C$1001,A669))</f>
        <v/>
      </c>
      <c r="G669" s="26" t="str">
        <f aca="false">IF(A669="","",SUMIFS(Trabalhos!$G$2:$G$1001,Trabalhos!$C$2:$C$1001,A669))</f>
        <v/>
      </c>
      <c r="H669" s="24"/>
    </row>
    <row r="670" customFormat="false" ht="15" hidden="false" customHeight="false" outlineLevel="0" collapsed="false">
      <c r="A670" s="24"/>
      <c r="B670" s="24"/>
      <c r="C670" s="24"/>
      <c r="D670" s="24"/>
      <c r="E670" s="24"/>
      <c r="F670" s="28" t="str">
        <f aca="false">IF(A670="","",COUNTIF(Trabalhos!$C$2:$C$1001,A670))</f>
        <v/>
      </c>
      <c r="G670" s="26" t="str">
        <f aca="false">IF(A670="","",SUMIFS(Trabalhos!$G$2:$G$1001,Trabalhos!$C$2:$C$1001,A670))</f>
        <v/>
      </c>
      <c r="H670" s="24"/>
    </row>
    <row r="671" customFormat="false" ht="15" hidden="false" customHeight="false" outlineLevel="0" collapsed="false">
      <c r="A671" s="24"/>
      <c r="B671" s="24"/>
      <c r="C671" s="24"/>
      <c r="D671" s="24"/>
      <c r="E671" s="24"/>
      <c r="F671" s="28" t="str">
        <f aca="false">IF(A671="","",COUNTIF(Trabalhos!$C$2:$C$1001,A671))</f>
        <v/>
      </c>
      <c r="G671" s="26" t="str">
        <f aca="false">IF(A671="","",SUMIFS(Trabalhos!$G$2:$G$1001,Trabalhos!$C$2:$C$1001,A671))</f>
        <v/>
      </c>
      <c r="H671" s="24"/>
    </row>
    <row r="672" customFormat="false" ht="15" hidden="false" customHeight="false" outlineLevel="0" collapsed="false">
      <c r="A672" s="24"/>
      <c r="B672" s="24"/>
      <c r="C672" s="24"/>
      <c r="D672" s="24"/>
      <c r="E672" s="24"/>
      <c r="F672" s="28" t="str">
        <f aca="false">IF(A672="","",COUNTIF(Trabalhos!$C$2:$C$1001,A672))</f>
        <v/>
      </c>
      <c r="G672" s="26" t="str">
        <f aca="false">IF(A672="","",SUMIFS(Trabalhos!$G$2:$G$1001,Trabalhos!$C$2:$C$1001,A672))</f>
        <v/>
      </c>
      <c r="H672" s="24"/>
    </row>
    <row r="673" customFormat="false" ht="15" hidden="false" customHeight="false" outlineLevel="0" collapsed="false">
      <c r="A673" s="24"/>
      <c r="B673" s="24"/>
      <c r="C673" s="24"/>
      <c r="D673" s="24"/>
      <c r="E673" s="24"/>
      <c r="F673" s="28" t="str">
        <f aca="false">IF(A673="","",COUNTIF(Trabalhos!$C$2:$C$1001,A673))</f>
        <v/>
      </c>
      <c r="G673" s="26" t="str">
        <f aca="false">IF(A673="","",SUMIFS(Trabalhos!$G$2:$G$1001,Trabalhos!$C$2:$C$1001,A673))</f>
        <v/>
      </c>
      <c r="H673" s="24"/>
    </row>
    <row r="674" customFormat="false" ht="15" hidden="false" customHeight="false" outlineLevel="0" collapsed="false">
      <c r="A674" s="24"/>
      <c r="B674" s="24"/>
      <c r="C674" s="24"/>
      <c r="D674" s="24"/>
      <c r="E674" s="24"/>
      <c r="F674" s="28" t="str">
        <f aca="false">IF(A674="","",COUNTIF(Trabalhos!$C$2:$C$1001,A674))</f>
        <v/>
      </c>
      <c r="G674" s="26" t="str">
        <f aca="false">IF(A674="","",SUMIFS(Trabalhos!$G$2:$G$1001,Trabalhos!$C$2:$C$1001,A674))</f>
        <v/>
      </c>
      <c r="H674" s="24"/>
    </row>
    <row r="675" customFormat="false" ht="15" hidden="false" customHeight="false" outlineLevel="0" collapsed="false">
      <c r="A675" s="24"/>
      <c r="B675" s="24"/>
      <c r="C675" s="24"/>
      <c r="D675" s="24"/>
      <c r="E675" s="24"/>
      <c r="F675" s="28" t="str">
        <f aca="false">IF(A675="","",COUNTIF(Trabalhos!$C$2:$C$1001,A675))</f>
        <v/>
      </c>
      <c r="G675" s="26" t="str">
        <f aca="false">IF(A675="","",SUMIFS(Trabalhos!$G$2:$G$1001,Trabalhos!$C$2:$C$1001,A675))</f>
        <v/>
      </c>
      <c r="H675" s="24"/>
    </row>
    <row r="676" customFormat="false" ht="15" hidden="false" customHeight="false" outlineLevel="0" collapsed="false">
      <c r="A676" s="24"/>
      <c r="B676" s="24"/>
      <c r="C676" s="24"/>
      <c r="D676" s="24"/>
      <c r="E676" s="24"/>
      <c r="F676" s="28" t="str">
        <f aca="false">IF(A676="","",COUNTIF(Trabalhos!$C$2:$C$1001,A676))</f>
        <v/>
      </c>
      <c r="G676" s="26" t="str">
        <f aca="false">IF(A676="","",SUMIFS(Trabalhos!$G$2:$G$1001,Trabalhos!$C$2:$C$1001,A676))</f>
        <v/>
      </c>
      <c r="H676" s="24"/>
    </row>
    <row r="677" customFormat="false" ht="15" hidden="false" customHeight="false" outlineLevel="0" collapsed="false">
      <c r="A677" s="24"/>
      <c r="B677" s="24"/>
      <c r="C677" s="24"/>
      <c r="D677" s="24"/>
      <c r="E677" s="24"/>
      <c r="F677" s="28" t="str">
        <f aca="false">IF(A677="","",COUNTIF(Trabalhos!$C$2:$C$1001,A677))</f>
        <v/>
      </c>
      <c r="G677" s="26" t="str">
        <f aca="false">IF(A677="","",SUMIFS(Trabalhos!$G$2:$G$1001,Trabalhos!$C$2:$C$1001,A677))</f>
        <v/>
      </c>
      <c r="H677" s="24"/>
    </row>
    <row r="678" customFormat="false" ht="15" hidden="false" customHeight="false" outlineLevel="0" collapsed="false">
      <c r="A678" s="24"/>
      <c r="B678" s="24"/>
      <c r="C678" s="24"/>
      <c r="D678" s="24"/>
      <c r="E678" s="24"/>
      <c r="F678" s="28" t="str">
        <f aca="false">IF(A678="","",COUNTIF(Trabalhos!$C$2:$C$1001,A678))</f>
        <v/>
      </c>
      <c r="G678" s="26" t="str">
        <f aca="false">IF(A678="","",SUMIFS(Trabalhos!$G$2:$G$1001,Trabalhos!$C$2:$C$1001,A678))</f>
        <v/>
      </c>
      <c r="H678" s="24"/>
    </row>
    <row r="679" customFormat="false" ht="15" hidden="false" customHeight="false" outlineLevel="0" collapsed="false">
      <c r="A679" s="24"/>
      <c r="B679" s="24"/>
      <c r="C679" s="24"/>
      <c r="D679" s="24"/>
      <c r="E679" s="24"/>
      <c r="F679" s="28" t="str">
        <f aca="false">IF(A679="","",COUNTIF(Trabalhos!$C$2:$C$1001,A679))</f>
        <v/>
      </c>
      <c r="G679" s="26" t="str">
        <f aca="false">IF(A679="","",SUMIFS(Trabalhos!$G$2:$G$1001,Trabalhos!$C$2:$C$1001,A679))</f>
        <v/>
      </c>
      <c r="H679" s="24"/>
    </row>
    <row r="680" customFormat="false" ht="15" hidden="false" customHeight="false" outlineLevel="0" collapsed="false">
      <c r="A680" s="24"/>
      <c r="B680" s="24"/>
      <c r="C680" s="24"/>
      <c r="D680" s="24"/>
      <c r="E680" s="24"/>
      <c r="F680" s="28" t="str">
        <f aca="false">IF(A680="","",COUNTIF(Trabalhos!$C$2:$C$1001,A680))</f>
        <v/>
      </c>
      <c r="G680" s="26" t="str">
        <f aca="false">IF(A680="","",SUMIFS(Trabalhos!$G$2:$G$1001,Trabalhos!$C$2:$C$1001,A680))</f>
        <v/>
      </c>
      <c r="H680" s="24"/>
    </row>
    <row r="681" customFormat="false" ht="15" hidden="false" customHeight="false" outlineLevel="0" collapsed="false">
      <c r="A681" s="24"/>
      <c r="B681" s="24"/>
      <c r="C681" s="24"/>
      <c r="D681" s="24"/>
      <c r="E681" s="24"/>
      <c r="F681" s="28" t="str">
        <f aca="false">IF(A681="","",COUNTIF(Trabalhos!$C$2:$C$1001,A681))</f>
        <v/>
      </c>
      <c r="G681" s="26" t="str">
        <f aca="false">IF(A681="","",SUMIFS(Trabalhos!$G$2:$G$1001,Trabalhos!$C$2:$C$1001,A681))</f>
        <v/>
      </c>
      <c r="H681" s="24"/>
    </row>
    <row r="682" customFormat="false" ht="15" hidden="false" customHeight="false" outlineLevel="0" collapsed="false">
      <c r="A682" s="24"/>
      <c r="B682" s="24"/>
      <c r="C682" s="24"/>
      <c r="D682" s="24"/>
      <c r="E682" s="24"/>
      <c r="F682" s="28" t="str">
        <f aca="false">IF(A682="","",COUNTIF(Trabalhos!$C$2:$C$1001,A682))</f>
        <v/>
      </c>
      <c r="G682" s="26" t="str">
        <f aca="false">IF(A682="","",SUMIFS(Trabalhos!$G$2:$G$1001,Trabalhos!$C$2:$C$1001,A682))</f>
        <v/>
      </c>
      <c r="H682" s="24"/>
    </row>
    <row r="683" customFormat="false" ht="15" hidden="false" customHeight="false" outlineLevel="0" collapsed="false">
      <c r="A683" s="24"/>
      <c r="B683" s="24"/>
      <c r="C683" s="24"/>
      <c r="D683" s="24"/>
      <c r="E683" s="24"/>
      <c r="F683" s="28" t="str">
        <f aca="false">IF(A683="","",COUNTIF(Trabalhos!$C$2:$C$1001,A683))</f>
        <v/>
      </c>
      <c r="G683" s="26" t="str">
        <f aca="false">IF(A683="","",SUMIFS(Trabalhos!$G$2:$G$1001,Trabalhos!$C$2:$C$1001,A683))</f>
        <v/>
      </c>
      <c r="H683" s="24"/>
    </row>
    <row r="684" customFormat="false" ht="15" hidden="false" customHeight="false" outlineLevel="0" collapsed="false">
      <c r="A684" s="24"/>
      <c r="B684" s="24"/>
      <c r="C684" s="24"/>
      <c r="D684" s="24"/>
      <c r="E684" s="24"/>
      <c r="F684" s="28" t="str">
        <f aca="false">IF(A684="","",COUNTIF(Trabalhos!$C$2:$C$1001,A684))</f>
        <v/>
      </c>
      <c r="G684" s="26" t="str">
        <f aca="false">IF(A684="","",SUMIFS(Trabalhos!$G$2:$G$1001,Trabalhos!$C$2:$C$1001,A684))</f>
        <v/>
      </c>
      <c r="H684" s="24"/>
    </row>
    <row r="685" customFormat="false" ht="15" hidden="false" customHeight="false" outlineLevel="0" collapsed="false">
      <c r="A685" s="24"/>
      <c r="B685" s="24"/>
      <c r="C685" s="24"/>
      <c r="D685" s="24"/>
      <c r="E685" s="24"/>
      <c r="F685" s="28" t="str">
        <f aca="false">IF(A685="","",COUNTIF(Trabalhos!$C$2:$C$1001,A685))</f>
        <v/>
      </c>
      <c r="G685" s="26" t="str">
        <f aca="false">IF(A685="","",SUMIFS(Trabalhos!$G$2:$G$1001,Trabalhos!$C$2:$C$1001,A685))</f>
        <v/>
      </c>
      <c r="H685" s="24"/>
    </row>
    <row r="686" customFormat="false" ht="15" hidden="false" customHeight="false" outlineLevel="0" collapsed="false">
      <c r="A686" s="24"/>
      <c r="B686" s="24"/>
      <c r="C686" s="24"/>
      <c r="D686" s="24"/>
      <c r="E686" s="24"/>
      <c r="F686" s="28" t="str">
        <f aca="false">IF(A686="","",COUNTIF(Trabalhos!$C$2:$C$1001,A686))</f>
        <v/>
      </c>
      <c r="G686" s="26" t="str">
        <f aca="false">IF(A686="","",SUMIFS(Trabalhos!$G$2:$G$1001,Trabalhos!$C$2:$C$1001,A686))</f>
        <v/>
      </c>
      <c r="H686" s="24"/>
    </row>
    <row r="687" customFormat="false" ht="15" hidden="false" customHeight="false" outlineLevel="0" collapsed="false">
      <c r="A687" s="24"/>
      <c r="B687" s="24"/>
      <c r="C687" s="24"/>
      <c r="D687" s="24"/>
      <c r="E687" s="24"/>
      <c r="F687" s="28" t="str">
        <f aca="false">IF(A687="","",COUNTIF(Trabalhos!$C$2:$C$1001,A687))</f>
        <v/>
      </c>
      <c r="G687" s="26" t="str">
        <f aca="false">IF(A687="","",SUMIFS(Trabalhos!$G$2:$G$1001,Trabalhos!$C$2:$C$1001,A687))</f>
        <v/>
      </c>
      <c r="H687" s="24"/>
    </row>
    <row r="688" customFormat="false" ht="15" hidden="false" customHeight="false" outlineLevel="0" collapsed="false">
      <c r="A688" s="24"/>
      <c r="B688" s="24"/>
      <c r="C688" s="24"/>
      <c r="D688" s="24"/>
      <c r="E688" s="24"/>
      <c r="F688" s="28" t="str">
        <f aca="false">IF(A688="","",COUNTIF(Trabalhos!$C$2:$C$1001,A688))</f>
        <v/>
      </c>
      <c r="G688" s="26" t="str">
        <f aca="false">IF(A688="","",SUMIFS(Trabalhos!$G$2:$G$1001,Trabalhos!$C$2:$C$1001,A688))</f>
        <v/>
      </c>
      <c r="H688" s="24"/>
    </row>
    <row r="689" customFormat="false" ht="15" hidden="false" customHeight="false" outlineLevel="0" collapsed="false">
      <c r="A689" s="24"/>
      <c r="B689" s="24"/>
      <c r="C689" s="24"/>
      <c r="D689" s="24"/>
      <c r="E689" s="24"/>
      <c r="F689" s="28" t="str">
        <f aca="false">IF(A689="","",COUNTIF(Trabalhos!$C$2:$C$1001,A689))</f>
        <v/>
      </c>
      <c r="G689" s="26" t="str">
        <f aca="false">IF(A689="","",SUMIFS(Trabalhos!$G$2:$G$1001,Trabalhos!$C$2:$C$1001,A689))</f>
        <v/>
      </c>
      <c r="H689" s="24"/>
    </row>
    <row r="690" customFormat="false" ht="15" hidden="false" customHeight="false" outlineLevel="0" collapsed="false">
      <c r="A690" s="24"/>
      <c r="B690" s="24"/>
      <c r="C690" s="24"/>
      <c r="D690" s="24"/>
      <c r="E690" s="24"/>
      <c r="F690" s="28" t="str">
        <f aca="false">IF(A690="","",COUNTIF(Trabalhos!$C$2:$C$1001,A690))</f>
        <v/>
      </c>
      <c r="G690" s="26" t="str">
        <f aca="false">IF(A690="","",SUMIFS(Trabalhos!$G$2:$G$1001,Trabalhos!$C$2:$C$1001,A690))</f>
        <v/>
      </c>
      <c r="H690" s="24"/>
    </row>
    <row r="691" customFormat="false" ht="15" hidden="false" customHeight="false" outlineLevel="0" collapsed="false">
      <c r="A691" s="24"/>
      <c r="B691" s="24"/>
      <c r="C691" s="24"/>
      <c r="D691" s="24"/>
      <c r="E691" s="24"/>
      <c r="F691" s="28" t="str">
        <f aca="false">IF(A691="","",COUNTIF(Trabalhos!$C$2:$C$1001,A691))</f>
        <v/>
      </c>
      <c r="G691" s="26" t="str">
        <f aca="false">IF(A691="","",SUMIFS(Trabalhos!$G$2:$G$1001,Trabalhos!$C$2:$C$1001,A691))</f>
        <v/>
      </c>
      <c r="H691" s="24"/>
    </row>
    <row r="692" customFormat="false" ht="15" hidden="false" customHeight="false" outlineLevel="0" collapsed="false">
      <c r="A692" s="24"/>
      <c r="B692" s="24"/>
      <c r="C692" s="24"/>
      <c r="D692" s="24"/>
      <c r="E692" s="24"/>
      <c r="F692" s="28" t="str">
        <f aca="false">IF(A692="","",COUNTIF(Trabalhos!$C$2:$C$1001,A692))</f>
        <v/>
      </c>
      <c r="G692" s="26" t="str">
        <f aca="false">IF(A692="","",SUMIFS(Trabalhos!$G$2:$G$1001,Trabalhos!$C$2:$C$1001,A692))</f>
        <v/>
      </c>
      <c r="H692" s="24"/>
    </row>
    <row r="693" customFormat="false" ht="15" hidden="false" customHeight="false" outlineLevel="0" collapsed="false">
      <c r="A693" s="24"/>
      <c r="B693" s="24"/>
      <c r="C693" s="24"/>
      <c r="D693" s="24"/>
      <c r="E693" s="24"/>
      <c r="F693" s="28" t="str">
        <f aca="false">IF(A693="","",COUNTIF(Trabalhos!$C$2:$C$1001,A693))</f>
        <v/>
      </c>
      <c r="G693" s="26" t="str">
        <f aca="false">IF(A693="","",SUMIFS(Trabalhos!$G$2:$G$1001,Trabalhos!$C$2:$C$1001,A693))</f>
        <v/>
      </c>
      <c r="H693" s="24"/>
    </row>
    <row r="694" customFormat="false" ht="15" hidden="false" customHeight="false" outlineLevel="0" collapsed="false">
      <c r="A694" s="24"/>
      <c r="B694" s="24"/>
      <c r="C694" s="24"/>
      <c r="D694" s="24"/>
      <c r="E694" s="24"/>
      <c r="F694" s="28" t="str">
        <f aca="false">IF(A694="","",COUNTIF(Trabalhos!$C$2:$C$1001,A694))</f>
        <v/>
      </c>
      <c r="G694" s="26" t="str">
        <f aca="false">IF(A694="","",SUMIFS(Trabalhos!$G$2:$G$1001,Trabalhos!$C$2:$C$1001,A694))</f>
        <v/>
      </c>
      <c r="H694" s="24"/>
    </row>
    <row r="695" customFormat="false" ht="15" hidden="false" customHeight="false" outlineLevel="0" collapsed="false">
      <c r="A695" s="24"/>
      <c r="B695" s="24"/>
      <c r="C695" s="24"/>
      <c r="D695" s="24"/>
      <c r="E695" s="24"/>
      <c r="F695" s="28" t="str">
        <f aca="false">IF(A695="","",COUNTIF(Trabalhos!$C$2:$C$1001,A695))</f>
        <v/>
      </c>
      <c r="G695" s="26" t="str">
        <f aca="false">IF(A695="","",SUMIFS(Trabalhos!$G$2:$G$1001,Trabalhos!$C$2:$C$1001,A695))</f>
        <v/>
      </c>
      <c r="H695" s="24"/>
    </row>
    <row r="696" customFormat="false" ht="15" hidden="false" customHeight="false" outlineLevel="0" collapsed="false">
      <c r="A696" s="24"/>
      <c r="B696" s="24"/>
      <c r="C696" s="24"/>
      <c r="D696" s="24"/>
      <c r="E696" s="24"/>
      <c r="F696" s="28" t="str">
        <f aca="false">IF(A696="","",COUNTIF(Trabalhos!$C$2:$C$1001,A696))</f>
        <v/>
      </c>
      <c r="G696" s="26" t="str">
        <f aca="false">IF(A696="","",SUMIFS(Trabalhos!$G$2:$G$1001,Trabalhos!$C$2:$C$1001,A696))</f>
        <v/>
      </c>
      <c r="H696" s="24"/>
    </row>
    <row r="697" customFormat="false" ht="15" hidden="false" customHeight="false" outlineLevel="0" collapsed="false">
      <c r="A697" s="24"/>
      <c r="B697" s="24"/>
      <c r="C697" s="24"/>
      <c r="D697" s="24"/>
      <c r="E697" s="24"/>
      <c r="F697" s="28" t="str">
        <f aca="false">IF(A697="","",COUNTIF(Trabalhos!$C$2:$C$1001,A697))</f>
        <v/>
      </c>
      <c r="G697" s="26" t="str">
        <f aca="false">IF(A697="","",SUMIFS(Trabalhos!$G$2:$G$1001,Trabalhos!$C$2:$C$1001,A697))</f>
        <v/>
      </c>
      <c r="H697" s="24"/>
    </row>
    <row r="698" customFormat="false" ht="15" hidden="false" customHeight="false" outlineLevel="0" collapsed="false">
      <c r="A698" s="24"/>
      <c r="B698" s="24"/>
      <c r="C698" s="24"/>
      <c r="D698" s="24"/>
      <c r="E698" s="24"/>
      <c r="F698" s="28" t="str">
        <f aca="false">IF(A698="","",COUNTIF(Trabalhos!$C$2:$C$1001,A698))</f>
        <v/>
      </c>
      <c r="G698" s="26" t="str">
        <f aca="false">IF(A698="","",SUMIFS(Trabalhos!$G$2:$G$1001,Trabalhos!$C$2:$C$1001,A698))</f>
        <v/>
      </c>
      <c r="H698" s="24"/>
    </row>
    <row r="699" customFormat="false" ht="15" hidden="false" customHeight="false" outlineLevel="0" collapsed="false">
      <c r="A699" s="24"/>
      <c r="B699" s="24"/>
      <c r="C699" s="24"/>
      <c r="D699" s="24"/>
      <c r="E699" s="24"/>
      <c r="F699" s="28" t="str">
        <f aca="false">IF(A699="","",COUNTIF(Trabalhos!$C$2:$C$1001,A699))</f>
        <v/>
      </c>
      <c r="G699" s="26" t="str">
        <f aca="false">IF(A699="","",SUMIFS(Trabalhos!$G$2:$G$1001,Trabalhos!$C$2:$C$1001,A699))</f>
        <v/>
      </c>
      <c r="H699" s="24"/>
    </row>
    <row r="700" customFormat="false" ht="15" hidden="false" customHeight="false" outlineLevel="0" collapsed="false">
      <c r="A700" s="24"/>
      <c r="B700" s="24"/>
      <c r="C700" s="24"/>
      <c r="D700" s="24"/>
      <c r="E700" s="24"/>
      <c r="F700" s="28" t="str">
        <f aca="false">IF(A700="","",COUNTIF(Trabalhos!$C$2:$C$1001,A700))</f>
        <v/>
      </c>
      <c r="G700" s="26" t="str">
        <f aca="false">IF(A700="","",SUMIFS(Trabalhos!$G$2:$G$1001,Trabalhos!$C$2:$C$1001,A700))</f>
        <v/>
      </c>
      <c r="H700" s="24"/>
    </row>
    <row r="701" customFormat="false" ht="15" hidden="false" customHeight="false" outlineLevel="0" collapsed="false">
      <c r="A701" s="24"/>
      <c r="B701" s="24"/>
      <c r="C701" s="24"/>
      <c r="D701" s="24"/>
      <c r="E701" s="24"/>
      <c r="F701" s="28" t="str">
        <f aca="false">IF(A701="","",COUNTIF(Trabalhos!$C$2:$C$1001,A701))</f>
        <v/>
      </c>
      <c r="G701" s="26" t="str">
        <f aca="false">IF(A701="","",SUMIFS(Trabalhos!$G$2:$G$1001,Trabalhos!$C$2:$C$1001,A701))</f>
        <v/>
      </c>
      <c r="H701" s="24"/>
    </row>
    <row r="702" customFormat="false" ht="15" hidden="false" customHeight="false" outlineLevel="0" collapsed="false">
      <c r="A702" s="24"/>
      <c r="B702" s="24"/>
      <c r="C702" s="24"/>
      <c r="D702" s="24"/>
      <c r="E702" s="24"/>
      <c r="F702" s="28" t="str">
        <f aca="false">IF(A702="","",COUNTIF(Trabalhos!$C$2:$C$1001,A702))</f>
        <v/>
      </c>
      <c r="G702" s="26" t="str">
        <f aca="false">IF(A702="","",SUMIFS(Trabalhos!$G$2:$G$1001,Trabalhos!$C$2:$C$1001,A702))</f>
        <v/>
      </c>
      <c r="H702" s="24"/>
    </row>
    <row r="703" customFormat="false" ht="15" hidden="false" customHeight="false" outlineLevel="0" collapsed="false">
      <c r="A703" s="24"/>
      <c r="B703" s="24"/>
      <c r="C703" s="24"/>
      <c r="D703" s="24"/>
      <c r="E703" s="24"/>
      <c r="F703" s="28" t="str">
        <f aca="false">IF(A703="","",COUNTIF(Trabalhos!$C$2:$C$1001,A703))</f>
        <v/>
      </c>
      <c r="G703" s="26" t="str">
        <f aca="false">IF(A703="","",SUMIFS(Trabalhos!$G$2:$G$1001,Trabalhos!$C$2:$C$1001,A703))</f>
        <v/>
      </c>
      <c r="H703" s="24"/>
    </row>
    <row r="704" customFormat="false" ht="15" hidden="false" customHeight="false" outlineLevel="0" collapsed="false">
      <c r="A704" s="24"/>
      <c r="B704" s="24"/>
      <c r="C704" s="24"/>
      <c r="D704" s="24"/>
      <c r="E704" s="24"/>
      <c r="F704" s="28" t="str">
        <f aca="false">IF(A704="","",COUNTIF(Trabalhos!$C$2:$C$1001,A704))</f>
        <v/>
      </c>
      <c r="G704" s="26" t="str">
        <f aca="false">IF(A704="","",SUMIFS(Trabalhos!$G$2:$G$1001,Trabalhos!$C$2:$C$1001,A704))</f>
        <v/>
      </c>
      <c r="H704" s="24"/>
    </row>
    <row r="705" customFormat="false" ht="15" hidden="false" customHeight="false" outlineLevel="0" collapsed="false">
      <c r="A705" s="24"/>
      <c r="B705" s="24"/>
      <c r="C705" s="24"/>
      <c r="D705" s="24"/>
      <c r="E705" s="24"/>
      <c r="F705" s="28" t="str">
        <f aca="false">IF(A705="","",COUNTIF(Trabalhos!$C$2:$C$1001,A705))</f>
        <v/>
      </c>
      <c r="G705" s="26" t="str">
        <f aca="false">IF(A705="","",SUMIFS(Trabalhos!$G$2:$G$1001,Trabalhos!$C$2:$C$1001,A705))</f>
        <v/>
      </c>
      <c r="H705" s="24"/>
    </row>
    <row r="706" customFormat="false" ht="15" hidden="false" customHeight="false" outlineLevel="0" collapsed="false">
      <c r="A706" s="24"/>
      <c r="B706" s="24"/>
      <c r="C706" s="24"/>
      <c r="D706" s="24"/>
      <c r="E706" s="24"/>
      <c r="F706" s="28" t="str">
        <f aca="false">IF(A706="","",COUNTIF(Trabalhos!$C$2:$C$1001,A706))</f>
        <v/>
      </c>
      <c r="G706" s="26" t="str">
        <f aca="false">IF(A706="","",SUMIFS(Trabalhos!$G$2:$G$1001,Trabalhos!$C$2:$C$1001,A706))</f>
        <v/>
      </c>
      <c r="H706" s="24"/>
    </row>
    <row r="707" customFormat="false" ht="15" hidden="false" customHeight="false" outlineLevel="0" collapsed="false">
      <c r="A707" s="24"/>
      <c r="B707" s="24"/>
      <c r="C707" s="24"/>
      <c r="D707" s="24"/>
      <c r="E707" s="24"/>
      <c r="F707" s="28" t="str">
        <f aca="false">IF(A707="","",COUNTIF(Trabalhos!$C$2:$C$1001,A707))</f>
        <v/>
      </c>
      <c r="G707" s="26" t="str">
        <f aca="false">IF(A707="","",SUMIFS(Trabalhos!$G$2:$G$1001,Trabalhos!$C$2:$C$1001,A707))</f>
        <v/>
      </c>
      <c r="H707" s="24"/>
    </row>
    <row r="708" customFormat="false" ht="15" hidden="false" customHeight="false" outlineLevel="0" collapsed="false">
      <c r="A708" s="24"/>
      <c r="B708" s="24"/>
      <c r="C708" s="24"/>
      <c r="D708" s="24"/>
      <c r="E708" s="24"/>
      <c r="F708" s="28" t="str">
        <f aca="false">IF(A708="","",COUNTIF(Trabalhos!$C$2:$C$1001,A708))</f>
        <v/>
      </c>
      <c r="G708" s="26" t="str">
        <f aca="false">IF(A708="","",SUMIFS(Trabalhos!$G$2:$G$1001,Trabalhos!$C$2:$C$1001,A708))</f>
        <v/>
      </c>
      <c r="H708" s="24"/>
    </row>
    <row r="709" customFormat="false" ht="15" hidden="false" customHeight="false" outlineLevel="0" collapsed="false">
      <c r="A709" s="24"/>
      <c r="B709" s="24"/>
      <c r="C709" s="24"/>
      <c r="D709" s="24"/>
      <c r="E709" s="24"/>
      <c r="F709" s="28" t="str">
        <f aca="false">IF(A709="","",COUNTIF(Trabalhos!$C$2:$C$1001,A709))</f>
        <v/>
      </c>
      <c r="G709" s="26" t="str">
        <f aca="false">IF(A709="","",SUMIFS(Trabalhos!$G$2:$G$1001,Trabalhos!$C$2:$C$1001,A709))</f>
        <v/>
      </c>
      <c r="H709" s="24"/>
    </row>
    <row r="710" customFormat="false" ht="15" hidden="false" customHeight="false" outlineLevel="0" collapsed="false">
      <c r="A710" s="24"/>
      <c r="B710" s="24"/>
      <c r="C710" s="24"/>
      <c r="D710" s="24"/>
      <c r="E710" s="24"/>
      <c r="F710" s="28" t="str">
        <f aca="false">IF(A710="","",COUNTIF(Trabalhos!$C$2:$C$1001,A710))</f>
        <v/>
      </c>
      <c r="G710" s="26" t="str">
        <f aca="false">IF(A710="","",SUMIFS(Trabalhos!$G$2:$G$1001,Trabalhos!$C$2:$C$1001,A710))</f>
        <v/>
      </c>
      <c r="H710" s="24"/>
    </row>
    <row r="711" customFormat="false" ht="15" hidden="false" customHeight="false" outlineLevel="0" collapsed="false">
      <c r="A711" s="24"/>
      <c r="B711" s="24"/>
      <c r="C711" s="24"/>
      <c r="D711" s="24"/>
      <c r="E711" s="24"/>
      <c r="F711" s="28" t="str">
        <f aca="false">IF(A711="","",COUNTIF(Trabalhos!$C$2:$C$1001,A711))</f>
        <v/>
      </c>
      <c r="G711" s="26" t="str">
        <f aca="false">IF(A711="","",SUMIFS(Trabalhos!$G$2:$G$1001,Trabalhos!$C$2:$C$1001,A711))</f>
        <v/>
      </c>
      <c r="H711" s="24"/>
    </row>
    <row r="712" customFormat="false" ht="15" hidden="false" customHeight="false" outlineLevel="0" collapsed="false">
      <c r="A712" s="24"/>
      <c r="B712" s="24"/>
      <c r="C712" s="24"/>
      <c r="D712" s="24"/>
      <c r="E712" s="24"/>
      <c r="F712" s="28" t="str">
        <f aca="false">IF(A712="","",COUNTIF(Trabalhos!$C$2:$C$1001,A712))</f>
        <v/>
      </c>
      <c r="G712" s="26" t="str">
        <f aca="false">IF(A712="","",SUMIFS(Trabalhos!$G$2:$G$1001,Trabalhos!$C$2:$C$1001,A712))</f>
        <v/>
      </c>
      <c r="H712" s="24"/>
    </row>
    <row r="713" customFormat="false" ht="15" hidden="false" customHeight="false" outlineLevel="0" collapsed="false">
      <c r="A713" s="24"/>
      <c r="B713" s="24"/>
      <c r="C713" s="24"/>
      <c r="D713" s="24"/>
      <c r="E713" s="24"/>
      <c r="F713" s="28" t="str">
        <f aca="false">IF(A713="","",COUNTIF(Trabalhos!$C$2:$C$1001,A713))</f>
        <v/>
      </c>
      <c r="G713" s="26" t="str">
        <f aca="false">IF(A713="","",SUMIFS(Trabalhos!$G$2:$G$1001,Trabalhos!$C$2:$C$1001,A713))</f>
        <v/>
      </c>
      <c r="H713" s="24"/>
    </row>
    <row r="714" customFormat="false" ht="15" hidden="false" customHeight="false" outlineLevel="0" collapsed="false">
      <c r="A714" s="24"/>
      <c r="B714" s="24"/>
      <c r="C714" s="24"/>
      <c r="D714" s="24"/>
      <c r="E714" s="24"/>
      <c r="F714" s="28" t="str">
        <f aca="false">IF(A714="","",COUNTIF(Trabalhos!$C$2:$C$1001,A714))</f>
        <v/>
      </c>
      <c r="G714" s="26" t="str">
        <f aca="false">IF(A714="","",SUMIFS(Trabalhos!$G$2:$G$1001,Trabalhos!$C$2:$C$1001,A714))</f>
        <v/>
      </c>
      <c r="H714" s="24"/>
    </row>
    <row r="715" customFormat="false" ht="15" hidden="false" customHeight="false" outlineLevel="0" collapsed="false">
      <c r="A715" s="24"/>
      <c r="B715" s="24"/>
      <c r="C715" s="24"/>
      <c r="D715" s="24"/>
      <c r="E715" s="24"/>
      <c r="F715" s="28" t="str">
        <f aca="false">IF(A715="","",COUNTIF(Trabalhos!$C$2:$C$1001,A715))</f>
        <v/>
      </c>
      <c r="G715" s="26" t="str">
        <f aca="false">IF(A715="","",SUMIFS(Trabalhos!$G$2:$G$1001,Trabalhos!$C$2:$C$1001,A715))</f>
        <v/>
      </c>
      <c r="H715" s="24"/>
    </row>
    <row r="716" customFormat="false" ht="15" hidden="false" customHeight="false" outlineLevel="0" collapsed="false">
      <c r="A716" s="24"/>
      <c r="B716" s="24"/>
      <c r="C716" s="24"/>
      <c r="D716" s="24"/>
      <c r="E716" s="24"/>
      <c r="F716" s="28" t="str">
        <f aca="false">IF(A716="","",COUNTIF(Trabalhos!$C$2:$C$1001,A716))</f>
        <v/>
      </c>
      <c r="G716" s="26" t="str">
        <f aca="false">IF(A716="","",SUMIFS(Trabalhos!$G$2:$G$1001,Trabalhos!$C$2:$C$1001,A716))</f>
        <v/>
      </c>
      <c r="H716" s="24"/>
    </row>
    <row r="717" customFormat="false" ht="15" hidden="false" customHeight="false" outlineLevel="0" collapsed="false">
      <c r="A717" s="24"/>
      <c r="B717" s="24"/>
      <c r="C717" s="24"/>
      <c r="D717" s="24"/>
      <c r="E717" s="24"/>
      <c r="F717" s="28" t="str">
        <f aca="false">IF(A717="","",COUNTIF(Trabalhos!$C$2:$C$1001,A717))</f>
        <v/>
      </c>
      <c r="G717" s="26" t="str">
        <f aca="false">IF(A717="","",SUMIFS(Trabalhos!$G$2:$G$1001,Trabalhos!$C$2:$C$1001,A717))</f>
        <v/>
      </c>
      <c r="H717" s="24"/>
    </row>
    <row r="718" customFormat="false" ht="15" hidden="false" customHeight="false" outlineLevel="0" collapsed="false">
      <c r="A718" s="24"/>
      <c r="B718" s="24"/>
      <c r="C718" s="24"/>
      <c r="D718" s="24"/>
      <c r="E718" s="24"/>
      <c r="F718" s="28" t="str">
        <f aca="false">IF(A718="","",COUNTIF(Trabalhos!$C$2:$C$1001,A718))</f>
        <v/>
      </c>
      <c r="G718" s="26" t="str">
        <f aca="false">IF(A718="","",SUMIFS(Trabalhos!$G$2:$G$1001,Trabalhos!$C$2:$C$1001,A718))</f>
        <v/>
      </c>
      <c r="H718" s="24"/>
    </row>
    <row r="719" customFormat="false" ht="15" hidden="false" customHeight="false" outlineLevel="0" collapsed="false">
      <c r="A719" s="24"/>
      <c r="B719" s="24"/>
      <c r="C719" s="24"/>
      <c r="D719" s="24"/>
      <c r="E719" s="24"/>
      <c r="F719" s="28" t="str">
        <f aca="false">IF(A719="","",COUNTIF(Trabalhos!$C$2:$C$1001,A719))</f>
        <v/>
      </c>
      <c r="G719" s="26" t="str">
        <f aca="false">IF(A719="","",SUMIFS(Trabalhos!$G$2:$G$1001,Trabalhos!$C$2:$C$1001,A719))</f>
        <v/>
      </c>
      <c r="H719" s="24"/>
    </row>
    <row r="720" customFormat="false" ht="15" hidden="false" customHeight="false" outlineLevel="0" collapsed="false">
      <c r="A720" s="24"/>
      <c r="B720" s="24"/>
      <c r="C720" s="24"/>
      <c r="D720" s="24"/>
      <c r="E720" s="24"/>
      <c r="F720" s="28" t="str">
        <f aca="false">IF(A720="","",COUNTIF(Trabalhos!$C$2:$C$1001,A720))</f>
        <v/>
      </c>
      <c r="G720" s="26" t="str">
        <f aca="false">IF(A720="","",SUMIFS(Trabalhos!$G$2:$G$1001,Trabalhos!$C$2:$C$1001,A720))</f>
        <v/>
      </c>
      <c r="H720" s="24"/>
    </row>
    <row r="721" customFormat="false" ht="15" hidden="false" customHeight="false" outlineLevel="0" collapsed="false">
      <c r="A721" s="24"/>
      <c r="B721" s="24"/>
      <c r="C721" s="24"/>
      <c r="D721" s="24"/>
      <c r="E721" s="24"/>
      <c r="F721" s="28" t="str">
        <f aca="false">IF(A721="","",COUNTIF(Trabalhos!$C$2:$C$1001,A721))</f>
        <v/>
      </c>
      <c r="G721" s="26" t="str">
        <f aca="false">IF(A721="","",SUMIFS(Trabalhos!$G$2:$G$1001,Trabalhos!$C$2:$C$1001,A721))</f>
        <v/>
      </c>
      <c r="H721" s="24"/>
    </row>
    <row r="722" customFormat="false" ht="15" hidden="false" customHeight="false" outlineLevel="0" collapsed="false">
      <c r="A722" s="24"/>
      <c r="B722" s="24"/>
      <c r="C722" s="24"/>
      <c r="D722" s="24"/>
      <c r="E722" s="24"/>
      <c r="F722" s="28" t="str">
        <f aca="false">IF(A722="","",COUNTIF(Trabalhos!$C$2:$C$1001,A722))</f>
        <v/>
      </c>
      <c r="G722" s="26" t="str">
        <f aca="false">IF(A722="","",SUMIFS(Trabalhos!$G$2:$G$1001,Trabalhos!$C$2:$C$1001,A722))</f>
        <v/>
      </c>
      <c r="H722" s="24"/>
    </row>
    <row r="723" customFormat="false" ht="15" hidden="false" customHeight="false" outlineLevel="0" collapsed="false">
      <c r="A723" s="24"/>
      <c r="B723" s="24"/>
      <c r="C723" s="24"/>
      <c r="D723" s="24"/>
      <c r="E723" s="24"/>
      <c r="F723" s="28" t="str">
        <f aca="false">IF(A723="","",COUNTIF(Trabalhos!$C$2:$C$1001,A723))</f>
        <v/>
      </c>
      <c r="G723" s="26" t="str">
        <f aca="false">IF(A723="","",SUMIFS(Trabalhos!$G$2:$G$1001,Trabalhos!$C$2:$C$1001,A723))</f>
        <v/>
      </c>
      <c r="H723" s="24"/>
    </row>
    <row r="724" customFormat="false" ht="15" hidden="false" customHeight="false" outlineLevel="0" collapsed="false">
      <c r="A724" s="24"/>
      <c r="B724" s="24"/>
      <c r="C724" s="24"/>
      <c r="D724" s="24"/>
      <c r="E724" s="24"/>
      <c r="F724" s="28" t="str">
        <f aca="false">IF(A724="","",COUNTIF(Trabalhos!$C$2:$C$1001,A724))</f>
        <v/>
      </c>
      <c r="G724" s="26" t="str">
        <f aca="false">IF(A724="","",SUMIFS(Trabalhos!$G$2:$G$1001,Trabalhos!$C$2:$C$1001,A724))</f>
        <v/>
      </c>
      <c r="H724" s="24"/>
    </row>
    <row r="725" customFormat="false" ht="15" hidden="false" customHeight="false" outlineLevel="0" collapsed="false">
      <c r="A725" s="24"/>
      <c r="B725" s="24"/>
      <c r="C725" s="24"/>
      <c r="D725" s="24"/>
      <c r="E725" s="24"/>
      <c r="F725" s="28" t="str">
        <f aca="false">IF(A725="","",COUNTIF(Trabalhos!$C$2:$C$1001,A725))</f>
        <v/>
      </c>
      <c r="G725" s="26" t="str">
        <f aca="false">IF(A725="","",SUMIFS(Trabalhos!$G$2:$G$1001,Trabalhos!$C$2:$C$1001,A725))</f>
        <v/>
      </c>
      <c r="H725" s="24"/>
    </row>
    <row r="726" customFormat="false" ht="15" hidden="false" customHeight="false" outlineLevel="0" collapsed="false">
      <c r="A726" s="24"/>
      <c r="B726" s="24"/>
      <c r="C726" s="24"/>
      <c r="D726" s="24"/>
      <c r="E726" s="24"/>
      <c r="F726" s="28" t="str">
        <f aca="false">IF(A726="","",COUNTIF(Trabalhos!$C$2:$C$1001,A726))</f>
        <v/>
      </c>
      <c r="G726" s="26" t="str">
        <f aca="false">IF(A726="","",SUMIFS(Trabalhos!$G$2:$G$1001,Trabalhos!$C$2:$C$1001,A726))</f>
        <v/>
      </c>
      <c r="H726" s="24"/>
    </row>
    <row r="727" customFormat="false" ht="15" hidden="false" customHeight="false" outlineLevel="0" collapsed="false">
      <c r="A727" s="24"/>
      <c r="B727" s="24"/>
      <c r="C727" s="24"/>
      <c r="D727" s="24"/>
      <c r="E727" s="24"/>
      <c r="F727" s="28" t="str">
        <f aca="false">IF(A727="","",COUNTIF(Trabalhos!$C$2:$C$1001,A727))</f>
        <v/>
      </c>
      <c r="G727" s="26" t="str">
        <f aca="false">IF(A727="","",SUMIFS(Trabalhos!$G$2:$G$1001,Trabalhos!$C$2:$C$1001,A727))</f>
        <v/>
      </c>
      <c r="H727" s="24"/>
    </row>
    <row r="728" customFormat="false" ht="15" hidden="false" customHeight="false" outlineLevel="0" collapsed="false">
      <c r="A728" s="24"/>
      <c r="B728" s="24"/>
      <c r="C728" s="24"/>
      <c r="D728" s="24"/>
      <c r="E728" s="24"/>
      <c r="F728" s="28" t="str">
        <f aca="false">IF(A728="","",COUNTIF(Trabalhos!$C$2:$C$1001,A728))</f>
        <v/>
      </c>
      <c r="G728" s="26" t="str">
        <f aca="false">IF(A728="","",SUMIFS(Trabalhos!$G$2:$G$1001,Trabalhos!$C$2:$C$1001,A728))</f>
        <v/>
      </c>
      <c r="H728" s="24"/>
    </row>
    <row r="729" customFormat="false" ht="15" hidden="false" customHeight="false" outlineLevel="0" collapsed="false">
      <c r="A729" s="24"/>
      <c r="B729" s="24"/>
      <c r="C729" s="24"/>
      <c r="D729" s="24"/>
      <c r="E729" s="24"/>
      <c r="F729" s="28" t="str">
        <f aca="false">IF(A729="","",COUNTIF(Trabalhos!$C$2:$C$1001,A729))</f>
        <v/>
      </c>
      <c r="G729" s="26" t="str">
        <f aca="false">IF(A729="","",SUMIFS(Trabalhos!$G$2:$G$1001,Trabalhos!$C$2:$C$1001,A729))</f>
        <v/>
      </c>
      <c r="H729" s="24"/>
    </row>
    <row r="730" customFormat="false" ht="15" hidden="false" customHeight="false" outlineLevel="0" collapsed="false">
      <c r="A730" s="24"/>
      <c r="B730" s="24"/>
      <c r="C730" s="24"/>
      <c r="D730" s="24"/>
      <c r="E730" s="24"/>
      <c r="F730" s="28" t="str">
        <f aca="false">IF(A730="","",COUNTIF(Trabalhos!$C$2:$C$1001,A730))</f>
        <v/>
      </c>
      <c r="G730" s="26" t="str">
        <f aca="false">IF(A730="","",SUMIFS(Trabalhos!$G$2:$G$1001,Trabalhos!$C$2:$C$1001,A730))</f>
        <v/>
      </c>
      <c r="H730" s="24"/>
    </row>
    <row r="731" customFormat="false" ht="15" hidden="false" customHeight="false" outlineLevel="0" collapsed="false">
      <c r="A731" s="24"/>
      <c r="B731" s="24"/>
      <c r="C731" s="24"/>
      <c r="D731" s="24"/>
      <c r="E731" s="24"/>
      <c r="F731" s="28" t="str">
        <f aca="false">IF(A731="","",COUNTIF(Trabalhos!$C$2:$C$1001,A731))</f>
        <v/>
      </c>
      <c r="G731" s="26" t="str">
        <f aca="false">IF(A731="","",SUMIFS(Trabalhos!$G$2:$G$1001,Trabalhos!$C$2:$C$1001,A731))</f>
        <v/>
      </c>
      <c r="H731" s="24"/>
    </row>
    <row r="732" customFormat="false" ht="15" hidden="false" customHeight="false" outlineLevel="0" collapsed="false">
      <c r="A732" s="24"/>
      <c r="B732" s="24"/>
      <c r="C732" s="24"/>
      <c r="D732" s="24"/>
      <c r="E732" s="24"/>
      <c r="F732" s="28" t="str">
        <f aca="false">IF(A732="","",COUNTIF(Trabalhos!$C$2:$C$1001,A732))</f>
        <v/>
      </c>
      <c r="G732" s="26" t="str">
        <f aca="false">IF(A732="","",SUMIFS(Trabalhos!$G$2:$G$1001,Trabalhos!$C$2:$C$1001,A732))</f>
        <v/>
      </c>
      <c r="H732" s="24"/>
    </row>
    <row r="733" customFormat="false" ht="15" hidden="false" customHeight="false" outlineLevel="0" collapsed="false">
      <c r="A733" s="24"/>
      <c r="B733" s="24"/>
      <c r="C733" s="24"/>
      <c r="D733" s="24"/>
      <c r="E733" s="24"/>
      <c r="F733" s="28" t="str">
        <f aca="false">IF(A733="","",COUNTIF(Trabalhos!$C$2:$C$1001,A733))</f>
        <v/>
      </c>
      <c r="G733" s="26" t="str">
        <f aca="false">IF(A733="","",SUMIFS(Trabalhos!$G$2:$G$1001,Trabalhos!$C$2:$C$1001,A733))</f>
        <v/>
      </c>
      <c r="H733" s="24"/>
    </row>
    <row r="734" customFormat="false" ht="15" hidden="false" customHeight="false" outlineLevel="0" collapsed="false">
      <c r="A734" s="24"/>
      <c r="B734" s="24"/>
      <c r="C734" s="24"/>
      <c r="D734" s="24"/>
      <c r="E734" s="24"/>
      <c r="F734" s="28" t="str">
        <f aca="false">IF(A734="","",COUNTIF(Trabalhos!$C$2:$C$1001,A734))</f>
        <v/>
      </c>
      <c r="G734" s="26" t="str">
        <f aca="false">IF(A734="","",SUMIFS(Trabalhos!$G$2:$G$1001,Trabalhos!$C$2:$C$1001,A734))</f>
        <v/>
      </c>
      <c r="H734" s="24"/>
    </row>
    <row r="735" customFormat="false" ht="15" hidden="false" customHeight="false" outlineLevel="0" collapsed="false">
      <c r="A735" s="24"/>
      <c r="B735" s="24"/>
      <c r="C735" s="24"/>
      <c r="D735" s="24"/>
      <c r="E735" s="24"/>
      <c r="F735" s="28" t="str">
        <f aca="false">IF(A735="","",COUNTIF(Trabalhos!$C$2:$C$1001,A735))</f>
        <v/>
      </c>
      <c r="G735" s="26" t="str">
        <f aca="false">IF(A735="","",SUMIFS(Trabalhos!$G$2:$G$1001,Trabalhos!$C$2:$C$1001,A735))</f>
        <v/>
      </c>
      <c r="H735" s="24"/>
    </row>
    <row r="736" customFormat="false" ht="15" hidden="false" customHeight="false" outlineLevel="0" collapsed="false">
      <c r="A736" s="24"/>
      <c r="B736" s="24"/>
      <c r="C736" s="24"/>
      <c r="D736" s="24"/>
      <c r="E736" s="24"/>
      <c r="F736" s="28" t="str">
        <f aca="false">IF(A736="","",COUNTIF(Trabalhos!$C$2:$C$1001,A736))</f>
        <v/>
      </c>
      <c r="G736" s="26" t="str">
        <f aca="false">IF(A736="","",SUMIFS(Trabalhos!$G$2:$G$1001,Trabalhos!$C$2:$C$1001,A736))</f>
        <v/>
      </c>
      <c r="H736" s="24"/>
    </row>
    <row r="737" customFormat="false" ht="15" hidden="false" customHeight="false" outlineLevel="0" collapsed="false">
      <c r="A737" s="24"/>
      <c r="B737" s="24"/>
      <c r="C737" s="24"/>
      <c r="D737" s="24"/>
      <c r="E737" s="24"/>
      <c r="F737" s="28" t="str">
        <f aca="false">IF(A737="","",COUNTIF(Trabalhos!$C$2:$C$1001,A737))</f>
        <v/>
      </c>
      <c r="G737" s="26" t="str">
        <f aca="false">IF(A737="","",SUMIFS(Trabalhos!$G$2:$G$1001,Trabalhos!$C$2:$C$1001,A737))</f>
        <v/>
      </c>
      <c r="H737" s="24"/>
    </row>
    <row r="738" customFormat="false" ht="15" hidden="false" customHeight="false" outlineLevel="0" collapsed="false">
      <c r="A738" s="24"/>
      <c r="B738" s="24"/>
      <c r="C738" s="24"/>
      <c r="D738" s="24"/>
      <c r="E738" s="24"/>
      <c r="F738" s="28" t="str">
        <f aca="false">IF(A738="","",COUNTIF(Trabalhos!$C$2:$C$1001,A738))</f>
        <v/>
      </c>
      <c r="G738" s="26" t="str">
        <f aca="false">IF(A738="","",SUMIFS(Trabalhos!$G$2:$G$1001,Trabalhos!$C$2:$C$1001,A738))</f>
        <v/>
      </c>
      <c r="H738" s="24"/>
    </row>
    <row r="739" customFormat="false" ht="15" hidden="false" customHeight="false" outlineLevel="0" collapsed="false">
      <c r="A739" s="24"/>
      <c r="B739" s="24"/>
      <c r="C739" s="24"/>
      <c r="D739" s="24"/>
      <c r="E739" s="24"/>
      <c r="F739" s="28" t="str">
        <f aca="false">IF(A739="","",COUNTIF(Trabalhos!$C$2:$C$1001,A739))</f>
        <v/>
      </c>
      <c r="G739" s="26" t="str">
        <f aca="false">IF(A739="","",SUMIFS(Trabalhos!$G$2:$G$1001,Trabalhos!$C$2:$C$1001,A739))</f>
        <v/>
      </c>
      <c r="H739" s="24"/>
    </row>
    <row r="740" customFormat="false" ht="15" hidden="false" customHeight="false" outlineLevel="0" collapsed="false">
      <c r="A740" s="24"/>
      <c r="B740" s="24"/>
      <c r="C740" s="24"/>
      <c r="D740" s="24"/>
      <c r="E740" s="24"/>
      <c r="F740" s="28" t="str">
        <f aca="false">IF(A740="","",COUNTIF(Trabalhos!$C$2:$C$1001,A740))</f>
        <v/>
      </c>
      <c r="G740" s="26" t="str">
        <f aca="false">IF(A740="","",SUMIFS(Trabalhos!$G$2:$G$1001,Trabalhos!$C$2:$C$1001,A740))</f>
        <v/>
      </c>
      <c r="H740" s="24"/>
    </row>
    <row r="741" customFormat="false" ht="15" hidden="false" customHeight="false" outlineLevel="0" collapsed="false">
      <c r="A741" s="24"/>
      <c r="B741" s="24"/>
      <c r="C741" s="24"/>
      <c r="D741" s="24"/>
      <c r="E741" s="24"/>
      <c r="F741" s="28" t="str">
        <f aca="false">IF(A741="","",COUNTIF(Trabalhos!$C$2:$C$1001,A741))</f>
        <v/>
      </c>
      <c r="G741" s="26" t="str">
        <f aca="false">IF(A741="","",SUMIFS(Trabalhos!$G$2:$G$1001,Trabalhos!$C$2:$C$1001,A741))</f>
        <v/>
      </c>
      <c r="H741" s="24"/>
    </row>
    <row r="742" customFormat="false" ht="15" hidden="false" customHeight="false" outlineLevel="0" collapsed="false">
      <c r="A742" s="24"/>
      <c r="B742" s="24"/>
      <c r="C742" s="24"/>
      <c r="D742" s="24"/>
      <c r="E742" s="24"/>
      <c r="F742" s="28" t="str">
        <f aca="false">IF(A742="","",COUNTIF(Trabalhos!$C$2:$C$1001,A742))</f>
        <v/>
      </c>
      <c r="G742" s="26" t="str">
        <f aca="false">IF(A742="","",SUMIFS(Trabalhos!$G$2:$G$1001,Trabalhos!$C$2:$C$1001,A742))</f>
        <v/>
      </c>
      <c r="H742" s="24"/>
    </row>
    <row r="743" customFormat="false" ht="15" hidden="false" customHeight="false" outlineLevel="0" collapsed="false">
      <c r="A743" s="24"/>
      <c r="B743" s="24"/>
      <c r="C743" s="24"/>
      <c r="D743" s="24"/>
      <c r="E743" s="24"/>
      <c r="F743" s="28" t="str">
        <f aca="false">IF(A743="","",COUNTIF(Trabalhos!$C$2:$C$1001,A743))</f>
        <v/>
      </c>
      <c r="G743" s="26" t="str">
        <f aca="false">IF(A743="","",SUMIFS(Trabalhos!$G$2:$G$1001,Trabalhos!$C$2:$C$1001,A743))</f>
        <v/>
      </c>
      <c r="H743" s="24"/>
    </row>
    <row r="744" customFormat="false" ht="15" hidden="false" customHeight="false" outlineLevel="0" collapsed="false">
      <c r="A744" s="24"/>
      <c r="B744" s="24"/>
      <c r="C744" s="24"/>
      <c r="D744" s="24"/>
      <c r="E744" s="24"/>
      <c r="F744" s="28" t="str">
        <f aca="false">IF(A744="","",COUNTIF(Trabalhos!$C$2:$C$1001,A744))</f>
        <v/>
      </c>
      <c r="G744" s="26" t="str">
        <f aca="false">IF(A744="","",SUMIFS(Trabalhos!$G$2:$G$1001,Trabalhos!$C$2:$C$1001,A744))</f>
        <v/>
      </c>
      <c r="H744" s="24"/>
    </row>
    <row r="745" customFormat="false" ht="15" hidden="false" customHeight="false" outlineLevel="0" collapsed="false">
      <c r="A745" s="24"/>
      <c r="B745" s="24"/>
      <c r="C745" s="24"/>
      <c r="D745" s="24"/>
      <c r="E745" s="24"/>
      <c r="F745" s="28" t="str">
        <f aca="false">IF(A745="","",COUNTIF(Trabalhos!$C$2:$C$1001,A745))</f>
        <v/>
      </c>
      <c r="G745" s="26" t="str">
        <f aca="false">IF(A745="","",SUMIFS(Trabalhos!$G$2:$G$1001,Trabalhos!$C$2:$C$1001,A745))</f>
        <v/>
      </c>
      <c r="H745" s="24"/>
    </row>
    <row r="746" customFormat="false" ht="15" hidden="false" customHeight="false" outlineLevel="0" collapsed="false">
      <c r="A746" s="24"/>
      <c r="B746" s="24"/>
      <c r="C746" s="24"/>
      <c r="D746" s="24"/>
      <c r="E746" s="24"/>
      <c r="F746" s="28" t="str">
        <f aca="false">IF(A746="","",COUNTIF(Trabalhos!$C$2:$C$1001,A746))</f>
        <v/>
      </c>
      <c r="G746" s="26" t="str">
        <f aca="false">IF(A746="","",SUMIFS(Trabalhos!$G$2:$G$1001,Trabalhos!$C$2:$C$1001,A746))</f>
        <v/>
      </c>
      <c r="H746" s="24"/>
    </row>
    <row r="747" customFormat="false" ht="15" hidden="false" customHeight="false" outlineLevel="0" collapsed="false">
      <c r="A747" s="24"/>
      <c r="B747" s="24"/>
      <c r="C747" s="24"/>
      <c r="D747" s="24"/>
      <c r="E747" s="24"/>
      <c r="F747" s="28" t="str">
        <f aca="false">IF(A747="","",COUNTIF(Trabalhos!$C$2:$C$1001,A747))</f>
        <v/>
      </c>
      <c r="G747" s="26" t="str">
        <f aca="false">IF(A747="","",SUMIFS(Trabalhos!$G$2:$G$1001,Trabalhos!$C$2:$C$1001,A747))</f>
        <v/>
      </c>
      <c r="H747" s="24"/>
    </row>
    <row r="748" customFormat="false" ht="15" hidden="false" customHeight="false" outlineLevel="0" collapsed="false">
      <c r="A748" s="24"/>
      <c r="B748" s="24"/>
      <c r="C748" s="24"/>
      <c r="D748" s="24"/>
      <c r="E748" s="24"/>
      <c r="F748" s="28" t="str">
        <f aca="false">IF(A748="","",COUNTIF(Trabalhos!$C$2:$C$1001,A748))</f>
        <v/>
      </c>
      <c r="G748" s="26" t="str">
        <f aca="false">IF(A748="","",SUMIFS(Trabalhos!$G$2:$G$1001,Trabalhos!$C$2:$C$1001,A748))</f>
        <v/>
      </c>
      <c r="H748" s="24"/>
    </row>
    <row r="749" customFormat="false" ht="15" hidden="false" customHeight="false" outlineLevel="0" collapsed="false">
      <c r="A749" s="24"/>
      <c r="B749" s="24"/>
      <c r="C749" s="24"/>
      <c r="D749" s="24"/>
      <c r="E749" s="24"/>
      <c r="F749" s="28" t="str">
        <f aca="false">IF(A749="","",COUNTIF(Trabalhos!$C$2:$C$1001,A749))</f>
        <v/>
      </c>
      <c r="G749" s="26" t="str">
        <f aca="false">IF(A749="","",SUMIFS(Trabalhos!$G$2:$G$1001,Trabalhos!$C$2:$C$1001,A749))</f>
        <v/>
      </c>
      <c r="H749" s="24"/>
    </row>
    <row r="750" customFormat="false" ht="15" hidden="false" customHeight="false" outlineLevel="0" collapsed="false">
      <c r="A750" s="24"/>
      <c r="B750" s="24"/>
      <c r="C750" s="24"/>
      <c r="D750" s="24"/>
      <c r="E750" s="24"/>
      <c r="F750" s="28" t="str">
        <f aca="false">IF(A750="","",COUNTIF(Trabalhos!$C$2:$C$1001,A750))</f>
        <v/>
      </c>
      <c r="G750" s="26" t="str">
        <f aca="false">IF(A750="","",SUMIFS(Trabalhos!$G$2:$G$1001,Trabalhos!$C$2:$C$1001,A750))</f>
        <v/>
      </c>
      <c r="H750" s="24"/>
    </row>
    <row r="751" customFormat="false" ht="15" hidden="false" customHeight="false" outlineLevel="0" collapsed="false">
      <c r="A751" s="24"/>
      <c r="B751" s="24"/>
      <c r="C751" s="24"/>
      <c r="D751" s="24"/>
      <c r="E751" s="24"/>
      <c r="F751" s="28" t="str">
        <f aca="false">IF(A751="","",COUNTIF(Trabalhos!$C$2:$C$1001,A751))</f>
        <v/>
      </c>
      <c r="G751" s="26" t="str">
        <f aca="false">IF(A751="","",SUMIFS(Trabalhos!$G$2:$G$1001,Trabalhos!$C$2:$C$1001,A751))</f>
        <v/>
      </c>
      <c r="H751" s="24"/>
    </row>
    <row r="752" customFormat="false" ht="15" hidden="false" customHeight="false" outlineLevel="0" collapsed="false">
      <c r="A752" s="24"/>
      <c r="B752" s="24"/>
      <c r="C752" s="24"/>
      <c r="D752" s="24"/>
      <c r="E752" s="24"/>
      <c r="F752" s="28" t="str">
        <f aca="false">IF(A752="","",COUNTIF(Trabalhos!$C$2:$C$1001,A752))</f>
        <v/>
      </c>
      <c r="G752" s="26" t="str">
        <f aca="false">IF(A752="","",SUMIFS(Trabalhos!$G$2:$G$1001,Trabalhos!$C$2:$C$1001,A752))</f>
        <v/>
      </c>
      <c r="H752" s="24"/>
    </row>
    <row r="753" customFormat="false" ht="15" hidden="false" customHeight="false" outlineLevel="0" collapsed="false">
      <c r="A753" s="24"/>
      <c r="B753" s="24"/>
      <c r="C753" s="24"/>
      <c r="D753" s="24"/>
      <c r="E753" s="24"/>
      <c r="F753" s="28" t="str">
        <f aca="false">IF(A753="","",COUNTIF(Trabalhos!$C$2:$C$1001,A753))</f>
        <v/>
      </c>
      <c r="G753" s="26" t="str">
        <f aca="false">IF(A753="","",SUMIFS(Trabalhos!$G$2:$G$1001,Trabalhos!$C$2:$C$1001,A753))</f>
        <v/>
      </c>
      <c r="H753" s="24"/>
    </row>
    <row r="754" customFormat="false" ht="15" hidden="false" customHeight="false" outlineLevel="0" collapsed="false">
      <c r="A754" s="24"/>
      <c r="B754" s="24"/>
      <c r="C754" s="24"/>
      <c r="D754" s="24"/>
      <c r="E754" s="24"/>
      <c r="F754" s="28" t="str">
        <f aca="false">IF(A754="","",COUNTIF(Trabalhos!$C$2:$C$1001,A754))</f>
        <v/>
      </c>
      <c r="G754" s="26" t="str">
        <f aca="false">IF(A754="","",SUMIFS(Trabalhos!$G$2:$G$1001,Trabalhos!$C$2:$C$1001,A754))</f>
        <v/>
      </c>
      <c r="H754" s="24"/>
    </row>
    <row r="755" customFormat="false" ht="15" hidden="false" customHeight="false" outlineLevel="0" collapsed="false">
      <c r="A755" s="24"/>
      <c r="B755" s="24"/>
      <c r="C755" s="24"/>
      <c r="D755" s="24"/>
      <c r="E755" s="24"/>
      <c r="F755" s="28" t="str">
        <f aca="false">IF(A755="","",COUNTIF(Trabalhos!$C$2:$C$1001,A755))</f>
        <v/>
      </c>
      <c r="G755" s="26" t="str">
        <f aca="false">IF(A755="","",SUMIFS(Trabalhos!$G$2:$G$1001,Trabalhos!$C$2:$C$1001,A755))</f>
        <v/>
      </c>
      <c r="H755" s="24"/>
    </row>
    <row r="756" customFormat="false" ht="15" hidden="false" customHeight="false" outlineLevel="0" collapsed="false">
      <c r="A756" s="24"/>
      <c r="B756" s="24"/>
      <c r="C756" s="24"/>
      <c r="D756" s="24"/>
      <c r="E756" s="24"/>
      <c r="F756" s="28" t="str">
        <f aca="false">IF(A756="","",COUNTIF(Trabalhos!$C$2:$C$1001,A756))</f>
        <v/>
      </c>
      <c r="G756" s="26" t="str">
        <f aca="false">IF(A756="","",SUMIFS(Trabalhos!$G$2:$G$1001,Trabalhos!$C$2:$C$1001,A756))</f>
        <v/>
      </c>
      <c r="H756" s="24"/>
    </row>
    <row r="757" customFormat="false" ht="15" hidden="false" customHeight="false" outlineLevel="0" collapsed="false">
      <c r="A757" s="24"/>
      <c r="B757" s="24"/>
      <c r="C757" s="24"/>
      <c r="D757" s="24"/>
      <c r="E757" s="24"/>
      <c r="F757" s="28" t="str">
        <f aca="false">IF(A757="","",COUNTIF(Trabalhos!$C$2:$C$1001,A757))</f>
        <v/>
      </c>
      <c r="G757" s="26" t="str">
        <f aca="false">IF(A757="","",SUMIFS(Trabalhos!$G$2:$G$1001,Trabalhos!$C$2:$C$1001,A757))</f>
        <v/>
      </c>
      <c r="H757" s="24"/>
    </row>
    <row r="758" customFormat="false" ht="15" hidden="false" customHeight="false" outlineLevel="0" collapsed="false">
      <c r="A758" s="24"/>
      <c r="B758" s="24"/>
      <c r="C758" s="24"/>
      <c r="D758" s="24"/>
      <c r="E758" s="24"/>
      <c r="F758" s="28" t="str">
        <f aca="false">IF(A758="","",COUNTIF(Trabalhos!$C$2:$C$1001,A758))</f>
        <v/>
      </c>
      <c r="G758" s="26" t="str">
        <f aca="false">IF(A758="","",SUMIFS(Trabalhos!$G$2:$G$1001,Trabalhos!$C$2:$C$1001,A758))</f>
        <v/>
      </c>
      <c r="H758" s="24"/>
    </row>
    <row r="759" customFormat="false" ht="15" hidden="false" customHeight="false" outlineLevel="0" collapsed="false">
      <c r="A759" s="24"/>
      <c r="B759" s="24"/>
      <c r="C759" s="24"/>
      <c r="D759" s="24"/>
      <c r="E759" s="24"/>
      <c r="F759" s="28" t="str">
        <f aca="false">IF(A759="","",COUNTIF(Trabalhos!$C$2:$C$1001,A759))</f>
        <v/>
      </c>
      <c r="G759" s="26" t="str">
        <f aca="false">IF(A759="","",SUMIFS(Trabalhos!$G$2:$G$1001,Trabalhos!$C$2:$C$1001,A759))</f>
        <v/>
      </c>
      <c r="H759" s="24"/>
    </row>
    <row r="760" customFormat="false" ht="15" hidden="false" customHeight="false" outlineLevel="0" collapsed="false">
      <c r="A760" s="24"/>
      <c r="B760" s="24"/>
      <c r="C760" s="24"/>
      <c r="D760" s="24"/>
      <c r="E760" s="24"/>
      <c r="F760" s="28" t="str">
        <f aca="false">IF(A760="","",COUNTIF(Trabalhos!$C$2:$C$1001,A760))</f>
        <v/>
      </c>
      <c r="G760" s="26" t="str">
        <f aca="false">IF(A760="","",SUMIFS(Trabalhos!$G$2:$G$1001,Trabalhos!$C$2:$C$1001,A760))</f>
        <v/>
      </c>
      <c r="H760" s="24"/>
    </row>
    <row r="761" customFormat="false" ht="15" hidden="false" customHeight="false" outlineLevel="0" collapsed="false">
      <c r="A761" s="24"/>
      <c r="B761" s="24"/>
      <c r="C761" s="24"/>
      <c r="D761" s="24"/>
      <c r="E761" s="24"/>
      <c r="F761" s="28" t="str">
        <f aca="false">IF(A761="","",COUNTIF(Trabalhos!$C$2:$C$1001,A761))</f>
        <v/>
      </c>
      <c r="G761" s="26" t="str">
        <f aca="false">IF(A761="","",SUMIFS(Trabalhos!$G$2:$G$1001,Trabalhos!$C$2:$C$1001,A761))</f>
        <v/>
      </c>
      <c r="H761" s="24"/>
    </row>
    <row r="762" customFormat="false" ht="15" hidden="false" customHeight="false" outlineLevel="0" collapsed="false">
      <c r="A762" s="24"/>
      <c r="B762" s="24"/>
      <c r="C762" s="24"/>
      <c r="D762" s="24"/>
      <c r="E762" s="24"/>
      <c r="F762" s="28" t="str">
        <f aca="false">IF(A762="","",COUNTIF(Trabalhos!$C$2:$C$1001,A762))</f>
        <v/>
      </c>
      <c r="G762" s="26" t="str">
        <f aca="false">IF(A762="","",SUMIFS(Trabalhos!$G$2:$G$1001,Trabalhos!$C$2:$C$1001,A762))</f>
        <v/>
      </c>
      <c r="H762" s="24"/>
    </row>
    <row r="763" customFormat="false" ht="15" hidden="false" customHeight="false" outlineLevel="0" collapsed="false">
      <c r="A763" s="24"/>
      <c r="B763" s="24"/>
      <c r="C763" s="24"/>
      <c r="D763" s="24"/>
      <c r="E763" s="24"/>
      <c r="F763" s="28" t="str">
        <f aca="false">IF(A763="","",COUNTIF(Trabalhos!$C$2:$C$1001,A763))</f>
        <v/>
      </c>
      <c r="G763" s="26" t="str">
        <f aca="false">IF(A763="","",SUMIFS(Trabalhos!$G$2:$G$1001,Trabalhos!$C$2:$C$1001,A763))</f>
        <v/>
      </c>
      <c r="H763" s="24"/>
    </row>
    <row r="764" customFormat="false" ht="15" hidden="false" customHeight="false" outlineLevel="0" collapsed="false">
      <c r="A764" s="24"/>
      <c r="B764" s="24"/>
      <c r="C764" s="24"/>
      <c r="D764" s="24"/>
      <c r="E764" s="24"/>
      <c r="F764" s="28" t="str">
        <f aca="false">IF(A764="","",COUNTIF(Trabalhos!$C$2:$C$1001,A764))</f>
        <v/>
      </c>
      <c r="G764" s="26" t="str">
        <f aca="false">IF(A764="","",SUMIFS(Trabalhos!$G$2:$G$1001,Trabalhos!$C$2:$C$1001,A764))</f>
        <v/>
      </c>
      <c r="H764" s="24"/>
    </row>
    <row r="765" customFormat="false" ht="15" hidden="false" customHeight="false" outlineLevel="0" collapsed="false">
      <c r="A765" s="24"/>
      <c r="B765" s="24"/>
      <c r="C765" s="24"/>
      <c r="D765" s="24"/>
      <c r="E765" s="24"/>
      <c r="F765" s="28" t="str">
        <f aca="false">IF(A765="","",COUNTIF(Trabalhos!$C$2:$C$1001,A765))</f>
        <v/>
      </c>
      <c r="G765" s="26" t="str">
        <f aca="false">IF(A765="","",SUMIFS(Trabalhos!$G$2:$G$1001,Trabalhos!$C$2:$C$1001,A765))</f>
        <v/>
      </c>
      <c r="H765" s="24"/>
    </row>
    <row r="766" customFormat="false" ht="15" hidden="false" customHeight="false" outlineLevel="0" collapsed="false">
      <c r="A766" s="24"/>
      <c r="B766" s="24"/>
      <c r="C766" s="24"/>
      <c r="D766" s="24"/>
      <c r="E766" s="24"/>
      <c r="F766" s="28" t="str">
        <f aca="false">IF(A766="","",COUNTIF(Trabalhos!$C$2:$C$1001,A766))</f>
        <v/>
      </c>
      <c r="G766" s="26" t="str">
        <f aca="false">IF(A766="","",SUMIFS(Trabalhos!$G$2:$G$1001,Trabalhos!$C$2:$C$1001,A766))</f>
        <v/>
      </c>
      <c r="H766" s="24"/>
    </row>
    <row r="767" customFormat="false" ht="15" hidden="false" customHeight="false" outlineLevel="0" collapsed="false">
      <c r="A767" s="24"/>
      <c r="B767" s="24"/>
      <c r="C767" s="24"/>
      <c r="D767" s="24"/>
      <c r="E767" s="24"/>
      <c r="F767" s="28" t="str">
        <f aca="false">IF(A767="","",COUNTIF(Trabalhos!$C$2:$C$1001,A767))</f>
        <v/>
      </c>
      <c r="G767" s="26" t="str">
        <f aca="false">IF(A767="","",SUMIFS(Trabalhos!$G$2:$G$1001,Trabalhos!$C$2:$C$1001,A767))</f>
        <v/>
      </c>
      <c r="H767" s="24"/>
    </row>
    <row r="768" customFormat="false" ht="15" hidden="false" customHeight="false" outlineLevel="0" collapsed="false">
      <c r="A768" s="24"/>
      <c r="B768" s="24"/>
      <c r="C768" s="24"/>
      <c r="D768" s="24"/>
      <c r="E768" s="24"/>
      <c r="F768" s="28" t="str">
        <f aca="false">IF(A768="","",COUNTIF(Trabalhos!$C$2:$C$1001,A768))</f>
        <v/>
      </c>
      <c r="G768" s="26" t="str">
        <f aca="false">IF(A768="","",SUMIFS(Trabalhos!$G$2:$G$1001,Trabalhos!$C$2:$C$1001,A768))</f>
        <v/>
      </c>
      <c r="H768" s="24"/>
    </row>
    <row r="769" customFormat="false" ht="15" hidden="false" customHeight="false" outlineLevel="0" collapsed="false">
      <c r="A769" s="24"/>
      <c r="B769" s="24"/>
      <c r="C769" s="24"/>
      <c r="D769" s="24"/>
      <c r="E769" s="24"/>
      <c r="F769" s="28" t="str">
        <f aca="false">IF(A769="","",COUNTIF(Trabalhos!$C$2:$C$1001,A769))</f>
        <v/>
      </c>
      <c r="G769" s="26" t="str">
        <f aca="false">IF(A769="","",SUMIFS(Trabalhos!$G$2:$G$1001,Trabalhos!$C$2:$C$1001,A769))</f>
        <v/>
      </c>
      <c r="H769" s="24"/>
    </row>
    <row r="770" customFormat="false" ht="15" hidden="false" customHeight="false" outlineLevel="0" collapsed="false">
      <c r="A770" s="24"/>
      <c r="B770" s="24"/>
      <c r="C770" s="24"/>
      <c r="D770" s="24"/>
      <c r="E770" s="24"/>
      <c r="F770" s="28" t="str">
        <f aca="false">IF(A770="","",COUNTIF(Trabalhos!$C$2:$C$1001,A770))</f>
        <v/>
      </c>
      <c r="G770" s="26" t="str">
        <f aca="false">IF(A770="","",SUMIFS(Trabalhos!$G$2:$G$1001,Trabalhos!$C$2:$C$1001,A770))</f>
        <v/>
      </c>
      <c r="H770" s="24"/>
    </row>
    <row r="771" customFormat="false" ht="15" hidden="false" customHeight="false" outlineLevel="0" collapsed="false">
      <c r="A771" s="24"/>
      <c r="B771" s="24"/>
      <c r="C771" s="24"/>
      <c r="D771" s="24"/>
      <c r="E771" s="24"/>
      <c r="F771" s="28" t="str">
        <f aca="false">IF(A771="","",COUNTIF(Trabalhos!$C$2:$C$1001,A771))</f>
        <v/>
      </c>
      <c r="G771" s="26" t="str">
        <f aca="false">IF(A771="","",SUMIFS(Trabalhos!$G$2:$G$1001,Trabalhos!$C$2:$C$1001,A771))</f>
        <v/>
      </c>
      <c r="H771" s="24"/>
    </row>
    <row r="772" customFormat="false" ht="15" hidden="false" customHeight="false" outlineLevel="0" collapsed="false">
      <c r="A772" s="24"/>
      <c r="B772" s="24"/>
      <c r="C772" s="24"/>
      <c r="D772" s="24"/>
      <c r="E772" s="24"/>
      <c r="F772" s="28" t="str">
        <f aca="false">IF(A772="","",COUNTIF(Trabalhos!$C$2:$C$1001,A772))</f>
        <v/>
      </c>
      <c r="G772" s="26" t="str">
        <f aca="false">IF(A772="","",SUMIFS(Trabalhos!$G$2:$G$1001,Trabalhos!$C$2:$C$1001,A772))</f>
        <v/>
      </c>
      <c r="H772" s="24"/>
    </row>
    <row r="773" customFormat="false" ht="15" hidden="false" customHeight="false" outlineLevel="0" collapsed="false">
      <c r="A773" s="24"/>
      <c r="B773" s="24"/>
      <c r="C773" s="24"/>
      <c r="D773" s="24"/>
      <c r="E773" s="24"/>
      <c r="F773" s="28" t="str">
        <f aca="false">IF(A773="","",COUNTIF(Trabalhos!$C$2:$C$1001,A773))</f>
        <v/>
      </c>
      <c r="G773" s="26" t="str">
        <f aca="false">IF(A773="","",SUMIFS(Trabalhos!$G$2:$G$1001,Trabalhos!$C$2:$C$1001,A773))</f>
        <v/>
      </c>
      <c r="H773" s="24"/>
    </row>
    <row r="774" customFormat="false" ht="15" hidden="false" customHeight="false" outlineLevel="0" collapsed="false">
      <c r="A774" s="24"/>
      <c r="B774" s="24"/>
      <c r="C774" s="24"/>
      <c r="D774" s="24"/>
      <c r="E774" s="24"/>
      <c r="F774" s="28" t="str">
        <f aca="false">IF(A774="","",COUNTIF(Trabalhos!$C$2:$C$1001,A774))</f>
        <v/>
      </c>
      <c r="G774" s="26" t="str">
        <f aca="false">IF(A774="","",SUMIFS(Trabalhos!$G$2:$G$1001,Trabalhos!$C$2:$C$1001,A774))</f>
        <v/>
      </c>
      <c r="H774" s="24"/>
    </row>
    <row r="775" customFormat="false" ht="15" hidden="false" customHeight="false" outlineLevel="0" collapsed="false">
      <c r="A775" s="24"/>
      <c r="B775" s="24"/>
      <c r="C775" s="24"/>
      <c r="D775" s="24"/>
      <c r="E775" s="24"/>
      <c r="F775" s="28" t="str">
        <f aca="false">IF(A775="","",COUNTIF(Trabalhos!$C$2:$C$1001,A775))</f>
        <v/>
      </c>
      <c r="G775" s="26" t="str">
        <f aca="false">IF(A775="","",SUMIFS(Trabalhos!$G$2:$G$1001,Trabalhos!$C$2:$C$1001,A775))</f>
        <v/>
      </c>
      <c r="H775" s="24"/>
    </row>
    <row r="776" customFormat="false" ht="15" hidden="false" customHeight="false" outlineLevel="0" collapsed="false">
      <c r="A776" s="24"/>
      <c r="B776" s="24"/>
      <c r="C776" s="24"/>
      <c r="D776" s="24"/>
      <c r="E776" s="24"/>
      <c r="F776" s="28" t="str">
        <f aca="false">IF(A776="","",COUNTIF(Trabalhos!$C$2:$C$1001,A776))</f>
        <v/>
      </c>
      <c r="G776" s="26" t="str">
        <f aca="false">IF(A776="","",SUMIFS(Trabalhos!$G$2:$G$1001,Trabalhos!$C$2:$C$1001,A776))</f>
        <v/>
      </c>
      <c r="H776" s="24"/>
    </row>
    <row r="777" customFormat="false" ht="15" hidden="false" customHeight="false" outlineLevel="0" collapsed="false">
      <c r="A777" s="24"/>
      <c r="B777" s="24"/>
      <c r="C777" s="24"/>
      <c r="D777" s="24"/>
      <c r="E777" s="24"/>
      <c r="F777" s="28" t="str">
        <f aca="false">IF(A777="","",COUNTIF(Trabalhos!$C$2:$C$1001,A777))</f>
        <v/>
      </c>
      <c r="G777" s="26" t="str">
        <f aca="false">IF(A777="","",SUMIFS(Trabalhos!$G$2:$G$1001,Trabalhos!$C$2:$C$1001,A777))</f>
        <v/>
      </c>
      <c r="H777" s="24"/>
    </row>
    <row r="778" customFormat="false" ht="15" hidden="false" customHeight="false" outlineLevel="0" collapsed="false">
      <c r="A778" s="24"/>
      <c r="B778" s="24"/>
      <c r="C778" s="24"/>
      <c r="D778" s="24"/>
      <c r="E778" s="24"/>
      <c r="F778" s="28" t="str">
        <f aca="false">IF(A778="","",COUNTIF(Trabalhos!$C$2:$C$1001,A778))</f>
        <v/>
      </c>
      <c r="G778" s="26" t="str">
        <f aca="false">IF(A778="","",SUMIFS(Trabalhos!$G$2:$G$1001,Trabalhos!$C$2:$C$1001,A778))</f>
        <v/>
      </c>
      <c r="H778" s="24"/>
    </row>
    <row r="779" customFormat="false" ht="15" hidden="false" customHeight="false" outlineLevel="0" collapsed="false">
      <c r="A779" s="24"/>
      <c r="B779" s="24"/>
      <c r="C779" s="24"/>
      <c r="D779" s="24"/>
      <c r="E779" s="24"/>
      <c r="F779" s="28" t="str">
        <f aca="false">IF(A779="","",COUNTIF(Trabalhos!$C$2:$C$1001,A779))</f>
        <v/>
      </c>
      <c r="G779" s="26" t="str">
        <f aca="false">IF(A779="","",SUMIFS(Trabalhos!$G$2:$G$1001,Trabalhos!$C$2:$C$1001,A779))</f>
        <v/>
      </c>
      <c r="H779" s="24"/>
    </row>
    <row r="780" customFormat="false" ht="15" hidden="false" customHeight="false" outlineLevel="0" collapsed="false">
      <c r="A780" s="24"/>
      <c r="B780" s="24"/>
      <c r="C780" s="24"/>
      <c r="D780" s="24"/>
      <c r="E780" s="24"/>
      <c r="F780" s="28" t="str">
        <f aca="false">IF(A780="","",COUNTIF(Trabalhos!$C$2:$C$1001,A780))</f>
        <v/>
      </c>
      <c r="G780" s="26" t="str">
        <f aca="false">IF(A780="","",SUMIFS(Trabalhos!$G$2:$G$1001,Trabalhos!$C$2:$C$1001,A780))</f>
        <v/>
      </c>
      <c r="H780" s="24"/>
    </row>
    <row r="781" customFormat="false" ht="15" hidden="false" customHeight="false" outlineLevel="0" collapsed="false">
      <c r="A781" s="24"/>
      <c r="B781" s="24"/>
      <c r="C781" s="24"/>
      <c r="D781" s="24"/>
      <c r="E781" s="24"/>
      <c r="F781" s="28" t="str">
        <f aca="false">IF(A781="","",COUNTIF(Trabalhos!$C$2:$C$1001,A781))</f>
        <v/>
      </c>
      <c r="G781" s="26" t="str">
        <f aca="false">IF(A781="","",SUMIFS(Trabalhos!$G$2:$G$1001,Trabalhos!$C$2:$C$1001,A781))</f>
        <v/>
      </c>
      <c r="H781" s="24"/>
    </row>
    <row r="782" customFormat="false" ht="15" hidden="false" customHeight="false" outlineLevel="0" collapsed="false">
      <c r="A782" s="24"/>
      <c r="B782" s="24"/>
      <c r="C782" s="24"/>
      <c r="D782" s="24"/>
      <c r="E782" s="24"/>
      <c r="F782" s="28" t="str">
        <f aca="false">IF(A782="","",COUNTIF(Trabalhos!$C$2:$C$1001,A782))</f>
        <v/>
      </c>
      <c r="G782" s="26" t="str">
        <f aca="false">IF(A782="","",SUMIFS(Trabalhos!$G$2:$G$1001,Trabalhos!$C$2:$C$1001,A782))</f>
        <v/>
      </c>
      <c r="H782" s="24"/>
    </row>
    <row r="783" customFormat="false" ht="15" hidden="false" customHeight="false" outlineLevel="0" collapsed="false">
      <c r="A783" s="24"/>
      <c r="B783" s="24"/>
      <c r="C783" s="24"/>
      <c r="D783" s="24"/>
      <c r="E783" s="24"/>
      <c r="F783" s="28" t="str">
        <f aca="false">IF(A783="","",COUNTIF(Trabalhos!$C$2:$C$1001,A783))</f>
        <v/>
      </c>
      <c r="G783" s="26" t="str">
        <f aca="false">IF(A783="","",SUMIFS(Trabalhos!$G$2:$G$1001,Trabalhos!$C$2:$C$1001,A783))</f>
        <v/>
      </c>
      <c r="H783" s="24"/>
    </row>
    <row r="784" customFormat="false" ht="15" hidden="false" customHeight="false" outlineLevel="0" collapsed="false">
      <c r="A784" s="24"/>
      <c r="B784" s="24"/>
      <c r="C784" s="24"/>
      <c r="D784" s="24"/>
      <c r="E784" s="24"/>
      <c r="F784" s="28" t="str">
        <f aca="false">IF(A784="","",COUNTIF(Trabalhos!$C$2:$C$1001,A784))</f>
        <v/>
      </c>
      <c r="G784" s="26" t="str">
        <f aca="false">IF(A784="","",SUMIFS(Trabalhos!$G$2:$G$1001,Trabalhos!$C$2:$C$1001,A784))</f>
        <v/>
      </c>
      <c r="H784" s="24"/>
    </row>
    <row r="785" customFormat="false" ht="15" hidden="false" customHeight="false" outlineLevel="0" collapsed="false">
      <c r="A785" s="24"/>
      <c r="B785" s="24"/>
      <c r="C785" s="24"/>
      <c r="D785" s="24"/>
      <c r="E785" s="24"/>
      <c r="F785" s="28" t="str">
        <f aca="false">IF(A785="","",COUNTIF(Trabalhos!$C$2:$C$1001,A785))</f>
        <v/>
      </c>
      <c r="G785" s="26" t="str">
        <f aca="false">IF(A785="","",SUMIFS(Trabalhos!$G$2:$G$1001,Trabalhos!$C$2:$C$1001,A785))</f>
        <v/>
      </c>
      <c r="H785" s="24"/>
    </row>
    <row r="786" customFormat="false" ht="15" hidden="false" customHeight="false" outlineLevel="0" collapsed="false">
      <c r="A786" s="24"/>
      <c r="B786" s="24"/>
      <c r="C786" s="24"/>
      <c r="D786" s="24"/>
      <c r="E786" s="24"/>
      <c r="F786" s="28" t="str">
        <f aca="false">IF(A786="","",COUNTIF(Trabalhos!$C$2:$C$1001,A786))</f>
        <v/>
      </c>
      <c r="G786" s="26" t="str">
        <f aca="false">IF(A786="","",SUMIFS(Trabalhos!$G$2:$G$1001,Trabalhos!$C$2:$C$1001,A786))</f>
        <v/>
      </c>
      <c r="H786" s="24"/>
    </row>
    <row r="787" customFormat="false" ht="15" hidden="false" customHeight="false" outlineLevel="0" collapsed="false">
      <c r="A787" s="24"/>
      <c r="B787" s="24"/>
      <c r="C787" s="24"/>
      <c r="D787" s="24"/>
      <c r="E787" s="24"/>
      <c r="F787" s="28" t="str">
        <f aca="false">IF(A787="","",COUNTIF(Trabalhos!$C$2:$C$1001,A787))</f>
        <v/>
      </c>
      <c r="G787" s="26" t="str">
        <f aca="false">IF(A787="","",SUMIFS(Trabalhos!$G$2:$G$1001,Trabalhos!$C$2:$C$1001,A787))</f>
        <v/>
      </c>
      <c r="H787" s="24"/>
    </row>
    <row r="788" customFormat="false" ht="15" hidden="false" customHeight="false" outlineLevel="0" collapsed="false">
      <c r="A788" s="24"/>
      <c r="B788" s="24"/>
      <c r="C788" s="24"/>
      <c r="D788" s="24"/>
      <c r="E788" s="24"/>
      <c r="F788" s="28" t="str">
        <f aca="false">IF(A788="","",COUNTIF(Trabalhos!$C$2:$C$1001,A788))</f>
        <v/>
      </c>
      <c r="G788" s="26" t="str">
        <f aca="false">IF(A788="","",SUMIFS(Trabalhos!$G$2:$G$1001,Trabalhos!$C$2:$C$1001,A788))</f>
        <v/>
      </c>
      <c r="H788" s="24"/>
    </row>
    <row r="789" customFormat="false" ht="15" hidden="false" customHeight="false" outlineLevel="0" collapsed="false">
      <c r="A789" s="24"/>
      <c r="B789" s="24"/>
      <c r="C789" s="24"/>
      <c r="D789" s="24"/>
      <c r="E789" s="24"/>
      <c r="F789" s="28" t="str">
        <f aca="false">IF(A789="","",COUNTIF(Trabalhos!$C$2:$C$1001,A789))</f>
        <v/>
      </c>
      <c r="G789" s="26" t="str">
        <f aca="false">IF(A789="","",SUMIFS(Trabalhos!$G$2:$G$1001,Trabalhos!$C$2:$C$1001,A789))</f>
        <v/>
      </c>
      <c r="H789" s="24"/>
    </row>
    <row r="790" customFormat="false" ht="15" hidden="false" customHeight="false" outlineLevel="0" collapsed="false">
      <c r="A790" s="24"/>
      <c r="B790" s="24"/>
      <c r="C790" s="24"/>
      <c r="D790" s="24"/>
      <c r="E790" s="24"/>
      <c r="F790" s="28" t="str">
        <f aca="false">IF(A790="","",COUNTIF(Trabalhos!$C$2:$C$1001,A790))</f>
        <v/>
      </c>
      <c r="G790" s="26" t="str">
        <f aca="false">IF(A790="","",SUMIFS(Trabalhos!$G$2:$G$1001,Trabalhos!$C$2:$C$1001,A790))</f>
        <v/>
      </c>
      <c r="H790" s="24"/>
    </row>
    <row r="791" customFormat="false" ht="15" hidden="false" customHeight="false" outlineLevel="0" collapsed="false">
      <c r="A791" s="24"/>
      <c r="B791" s="24"/>
      <c r="C791" s="24"/>
      <c r="D791" s="24"/>
      <c r="E791" s="24"/>
      <c r="F791" s="28" t="str">
        <f aca="false">IF(A791="","",COUNTIF(Trabalhos!$C$2:$C$1001,A791))</f>
        <v/>
      </c>
      <c r="G791" s="26" t="str">
        <f aca="false">IF(A791="","",SUMIFS(Trabalhos!$G$2:$G$1001,Trabalhos!$C$2:$C$1001,A791))</f>
        <v/>
      </c>
      <c r="H791" s="24"/>
    </row>
    <row r="792" customFormat="false" ht="15" hidden="false" customHeight="false" outlineLevel="0" collapsed="false">
      <c r="A792" s="24"/>
      <c r="B792" s="24"/>
      <c r="C792" s="24"/>
      <c r="D792" s="24"/>
      <c r="E792" s="24"/>
      <c r="F792" s="28" t="str">
        <f aca="false">IF(A792="","",COUNTIF(Trabalhos!$C$2:$C$1001,A792))</f>
        <v/>
      </c>
      <c r="G792" s="26" t="str">
        <f aca="false">IF(A792="","",SUMIFS(Trabalhos!$G$2:$G$1001,Trabalhos!$C$2:$C$1001,A792))</f>
        <v/>
      </c>
      <c r="H792" s="24"/>
    </row>
    <row r="793" customFormat="false" ht="15" hidden="false" customHeight="false" outlineLevel="0" collapsed="false">
      <c r="A793" s="24"/>
      <c r="B793" s="24"/>
      <c r="C793" s="24"/>
      <c r="D793" s="24"/>
      <c r="E793" s="24"/>
      <c r="F793" s="28" t="str">
        <f aca="false">IF(A793="","",COUNTIF(Trabalhos!$C$2:$C$1001,A793))</f>
        <v/>
      </c>
      <c r="G793" s="26" t="str">
        <f aca="false">IF(A793="","",SUMIFS(Trabalhos!$G$2:$G$1001,Trabalhos!$C$2:$C$1001,A793))</f>
        <v/>
      </c>
      <c r="H793" s="24"/>
    </row>
    <row r="794" customFormat="false" ht="15" hidden="false" customHeight="false" outlineLevel="0" collapsed="false">
      <c r="A794" s="24"/>
      <c r="B794" s="24"/>
      <c r="C794" s="24"/>
      <c r="D794" s="24"/>
      <c r="E794" s="24"/>
      <c r="F794" s="28" t="str">
        <f aca="false">IF(A794="","",COUNTIF(Trabalhos!$C$2:$C$1001,A794))</f>
        <v/>
      </c>
      <c r="G794" s="26" t="str">
        <f aca="false">IF(A794="","",SUMIFS(Trabalhos!$G$2:$G$1001,Trabalhos!$C$2:$C$1001,A794))</f>
        <v/>
      </c>
      <c r="H794" s="24"/>
    </row>
    <row r="795" customFormat="false" ht="15" hidden="false" customHeight="false" outlineLevel="0" collapsed="false">
      <c r="A795" s="24"/>
      <c r="B795" s="24"/>
      <c r="C795" s="24"/>
      <c r="D795" s="24"/>
      <c r="E795" s="24"/>
      <c r="F795" s="28" t="str">
        <f aca="false">IF(A795="","",COUNTIF(Trabalhos!$C$2:$C$1001,A795))</f>
        <v/>
      </c>
      <c r="G795" s="26" t="str">
        <f aca="false">IF(A795="","",SUMIFS(Trabalhos!$G$2:$G$1001,Trabalhos!$C$2:$C$1001,A795))</f>
        <v/>
      </c>
      <c r="H795" s="24"/>
    </row>
    <row r="796" customFormat="false" ht="15" hidden="false" customHeight="false" outlineLevel="0" collapsed="false">
      <c r="A796" s="24"/>
      <c r="B796" s="24"/>
      <c r="C796" s="24"/>
      <c r="D796" s="24"/>
      <c r="E796" s="24"/>
      <c r="F796" s="28" t="str">
        <f aca="false">IF(A796="","",COUNTIF(Trabalhos!$C$2:$C$1001,A796))</f>
        <v/>
      </c>
      <c r="G796" s="26" t="str">
        <f aca="false">IF(A796="","",SUMIFS(Trabalhos!$G$2:$G$1001,Trabalhos!$C$2:$C$1001,A796))</f>
        <v/>
      </c>
      <c r="H796" s="24"/>
    </row>
    <row r="797" customFormat="false" ht="15" hidden="false" customHeight="false" outlineLevel="0" collapsed="false">
      <c r="A797" s="24"/>
      <c r="B797" s="24"/>
      <c r="C797" s="24"/>
      <c r="D797" s="24"/>
      <c r="E797" s="24"/>
      <c r="F797" s="28" t="str">
        <f aca="false">IF(A797="","",COUNTIF(Trabalhos!$C$2:$C$1001,A797))</f>
        <v/>
      </c>
      <c r="G797" s="26" t="str">
        <f aca="false">IF(A797="","",SUMIFS(Trabalhos!$G$2:$G$1001,Trabalhos!$C$2:$C$1001,A797))</f>
        <v/>
      </c>
      <c r="H797" s="24"/>
    </row>
    <row r="798" customFormat="false" ht="15" hidden="false" customHeight="false" outlineLevel="0" collapsed="false">
      <c r="A798" s="24"/>
      <c r="B798" s="24"/>
      <c r="C798" s="24"/>
      <c r="D798" s="24"/>
      <c r="E798" s="24"/>
      <c r="F798" s="28" t="str">
        <f aca="false">IF(A798="","",COUNTIF(Trabalhos!$C$2:$C$1001,A798))</f>
        <v/>
      </c>
      <c r="G798" s="26" t="str">
        <f aca="false">IF(A798="","",SUMIFS(Trabalhos!$G$2:$G$1001,Trabalhos!$C$2:$C$1001,A798))</f>
        <v/>
      </c>
      <c r="H798" s="24"/>
    </row>
    <row r="799" customFormat="false" ht="15" hidden="false" customHeight="false" outlineLevel="0" collapsed="false">
      <c r="A799" s="24"/>
      <c r="B799" s="24"/>
      <c r="C799" s="24"/>
      <c r="D799" s="24"/>
      <c r="E799" s="24"/>
      <c r="F799" s="28" t="str">
        <f aca="false">IF(A799="","",COUNTIF(Trabalhos!$C$2:$C$1001,A799))</f>
        <v/>
      </c>
      <c r="G799" s="26" t="str">
        <f aca="false">IF(A799="","",SUMIFS(Trabalhos!$G$2:$G$1001,Trabalhos!$C$2:$C$1001,A799))</f>
        <v/>
      </c>
      <c r="H799" s="24"/>
    </row>
    <row r="800" customFormat="false" ht="15" hidden="false" customHeight="false" outlineLevel="0" collapsed="false">
      <c r="A800" s="24"/>
      <c r="B800" s="24"/>
      <c r="C800" s="24"/>
      <c r="D800" s="24"/>
      <c r="E800" s="24"/>
      <c r="F800" s="28" t="str">
        <f aca="false">IF(A800="","",COUNTIF(Trabalhos!$C$2:$C$1001,A800))</f>
        <v/>
      </c>
      <c r="G800" s="26" t="str">
        <f aca="false">IF(A800="","",SUMIFS(Trabalhos!$G$2:$G$1001,Trabalhos!$C$2:$C$1001,A800))</f>
        <v/>
      </c>
      <c r="H800" s="24"/>
    </row>
    <row r="801" customFormat="false" ht="15" hidden="false" customHeight="false" outlineLevel="0" collapsed="false">
      <c r="A801" s="24"/>
      <c r="B801" s="24"/>
      <c r="C801" s="24"/>
      <c r="D801" s="24"/>
      <c r="E801" s="24"/>
      <c r="F801" s="28" t="str">
        <f aca="false">IF(A801="","",COUNTIF(Trabalhos!$C$2:$C$1001,A801))</f>
        <v/>
      </c>
      <c r="G801" s="26" t="str">
        <f aca="false">IF(A801="","",SUMIFS(Trabalhos!$G$2:$G$1001,Trabalhos!$C$2:$C$1001,A801))</f>
        <v/>
      </c>
      <c r="H801" s="24"/>
    </row>
    <row r="802" customFormat="false" ht="15" hidden="false" customHeight="false" outlineLevel="0" collapsed="false">
      <c r="A802" s="24"/>
      <c r="B802" s="24"/>
      <c r="C802" s="24"/>
      <c r="D802" s="24"/>
      <c r="E802" s="24"/>
      <c r="F802" s="28" t="str">
        <f aca="false">IF(A802="","",COUNTIF(Trabalhos!$C$2:$C$1001,A802))</f>
        <v/>
      </c>
      <c r="G802" s="26" t="str">
        <f aca="false">IF(A802="","",SUMIFS(Trabalhos!$G$2:$G$1001,Trabalhos!$C$2:$C$1001,A802))</f>
        <v/>
      </c>
      <c r="H802" s="24"/>
    </row>
    <row r="803" customFormat="false" ht="15" hidden="false" customHeight="false" outlineLevel="0" collapsed="false">
      <c r="A803" s="24"/>
      <c r="B803" s="24"/>
      <c r="C803" s="24"/>
      <c r="D803" s="24"/>
      <c r="E803" s="24"/>
      <c r="F803" s="28" t="str">
        <f aca="false">IF(A803="","",COUNTIF(Trabalhos!$C$2:$C$1001,A803))</f>
        <v/>
      </c>
      <c r="G803" s="26" t="str">
        <f aca="false">IF(A803="","",SUMIFS(Trabalhos!$G$2:$G$1001,Trabalhos!$C$2:$C$1001,A803))</f>
        <v/>
      </c>
      <c r="H803" s="24"/>
    </row>
    <row r="804" customFormat="false" ht="15" hidden="false" customHeight="false" outlineLevel="0" collapsed="false">
      <c r="A804" s="24"/>
      <c r="B804" s="24"/>
      <c r="C804" s="24"/>
      <c r="D804" s="24"/>
      <c r="E804" s="24"/>
      <c r="F804" s="28" t="str">
        <f aca="false">IF(A804="","",COUNTIF(Trabalhos!$C$2:$C$1001,A804))</f>
        <v/>
      </c>
      <c r="G804" s="26" t="str">
        <f aca="false">IF(A804="","",SUMIFS(Trabalhos!$G$2:$G$1001,Trabalhos!$C$2:$C$1001,A804))</f>
        <v/>
      </c>
      <c r="H804" s="24"/>
    </row>
    <row r="805" customFormat="false" ht="15" hidden="false" customHeight="false" outlineLevel="0" collapsed="false">
      <c r="A805" s="24"/>
      <c r="B805" s="24"/>
      <c r="C805" s="24"/>
      <c r="D805" s="24"/>
      <c r="E805" s="24"/>
      <c r="F805" s="28" t="str">
        <f aca="false">IF(A805="","",COUNTIF(Trabalhos!$C$2:$C$1001,A805))</f>
        <v/>
      </c>
      <c r="G805" s="26" t="str">
        <f aca="false">IF(A805="","",SUMIFS(Trabalhos!$G$2:$G$1001,Trabalhos!$C$2:$C$1001,A805))</f>
        <v/>
      </c>
      <c r="H805" s="24"/>
    </row>
    <row r="806" customFormat="false" ht="15" hidden="false" customHeight="false" outlineLevel="0" collapsed="false">
      <c r="A806" s="24"/>
      <c r="B806" s="24"/>
      <c r="C806" s="24"/>
      <c r="D806" s="24"/>
      <c r="E806" s="24"/>
      <c r="F806" s="28" t="str">
        <f aca="false">IF(A806="","",COUNTIF(Trabalhos!$C$2:$C$1001,A806))</f>
        <v/>
      </c>
      <c r="G806" s="26" t="str">
        <f aca="false">IF(A806="","",SUMIFS(Trabalhos!$G$2:$G$1001,Trabalhos!$C$2:$C$1001,A806))</f>
        <v/>
      </c>
      <c r="H806" s="24"/>
    </row>
    <row r="807" customFormat="false" ht="15" hidden="false" customHeight="false" outlineLevel="0" collapsed="false">
      <c r="A807" s="24"/>
      <c r="B807" s="24"/>
      <c r="C807" s="24"/>
      <c r="D807" s="24"/>
      <c r="E807" s="24"/>
      <c r="F807" s="28" t="str">
        <f aca="false">IF(A807="","",COUNTIF(Trabalhos!$C$2:$C$1001,A807))</f>
        <v/>
      </c>
      <c r="G807" s="26" t="str">
        <f aca="false">IF(A807="","",SUMIFS(Trabalhos!$G$2:$G$1001,Trabalhos!$C$2:$C$1001,A807))</f>
        <v/>
      </c>
      <c r="H807" s="24"/>
    </row>
    <row r="808" customFormat="false" ht="15" hidden="false" customHeight="false" outlineLevel="0" collapsed="false">
      <c r="A808" s="24"/>
      <c r="B808" s="24"/>
      <c r="C808" s="24"/>
      <c r="D808" s="24"/>
      <c r="E808" s="24"/>
      <c r="F808" s="28" t="str">
        <f aca="false">IF(A808="","",COUNTIF(Trabalhos!$C$2:$C$1001,A808))</f>
        <v/>
      </c>
      <c r="G808" s="26" t="str">
        <f aca="false">IF(A808="","",SUMIFS(Trabalhos!$G$2:$G$1001,Trabalhos!$C$2:$C$1001,A808))</f>
        <v/>
      </c>
      <c r="H808" s="24"/>
    </row>
    <row r="809" customFormat="false" ht="15" hidden="false" customHeight="false" outlineLevel="0" collapsed="false">
      <c r="A809" s="24"/>
      <c r="B809" s="24"/>
      <c r="C809" s="24"/>
      <c r="D809" s="24"/>
      <c r="E809" s="24"/>
      <c r="F809" s="28" t="str">
        <f aca="false">IF(A809="","",COUNTIF(Trabalhos!$C$2:$C$1001,A809))</f>
        <v/>
      </c>
      <c r="G809" s="26" t="str">
        <f aca="false">IF(A809="","",SUMIFS(Trabalhos!$G$2:$G$1001,Trabalhos!$C$2:$C$1001,A809))</f>
        <v/>
      </c>
      <c r="H809" s="24"/>
    </row>
    <row r="810" customFormat="false" ht="15" hidden="false" customHeight="false" outlineLevel="0" collapsed="false">
      <c r="A810" s="24"/>
      <c r="B810" s="24"/>
      <c r="C810" s="24"/>
      <c r="D810" s="24"/>
      <c r="E810" s="24"/>
      <c r="F810" s="28" t="str">
        <f aca="false">IF(A810="","",COUNTIF(Trabalhos!$C$2:$C$1001,A810))</f>
        <v/>
      </c>
      <c r="G810" s="26" t="str">
        <f aca="false">IF(A810="","",SUMIFS(Trabalhos!$G$2:$G$1001,Trabalhos!$C$2:$C$1001,A810))</f>
        <v/>
      </c>
      <c r="H810" s="24"/>
    </row>
    <row r="811" customFormat="false" ht="15" hidden="false" customHeight="false" outlineLevel="0" collapsed="false">
      <c r="A811" s="24"/>
      <c r="B811" s="24"/>
      <c r="C811" s="24"/>
      <c r="D811" s="24"/>
      <c r="E811" s="24"/>
      <c r="F811" s="28" t="str">
        <f aca="false">IF(A811="","",COUNTIF(Trabalhos!$C$2:$C$1001,A811))</f>
        <v/>
      </c>
      <c r="G811" s="26" t="str">
        <f aca="false">IF(A811="","",SUMIFS(Trabalhos!$G$2:$G$1001,Trabalhos!$C$2:$C$1001,A811))</f>
        <v/>
      </c>
      <c r="H811" s="24"/>
    </row>
    <row r="812" customFormat="false" ht="15" hidden="false" customHeight="false" outlineLevel="0" collapsed="false">
      <c r="A812" s="24"/>
      <c r="B812" s="24"/>
      <c r="C812" s="24"/>
      <c r="D812" s="24"/>
      <c r="E812" s="24"/>
      <c r="F812" s="28" t="str">
        <f aca="false">IF(A812="","",COUNTIF(Trabalhos!$C$2:$C$1001,A812))</f>
        <v/>
      </c>
      <c r="G812" s="26" t="str">
        <f aca="false">IF(A812="","",SUMIFS(Trabalhos!$G$2:$G$1001,Trabalhos!$C$2:$C$1001,A812))</f>
        <v/>
      </c>
      <c r="H812" s="24"/>
    </row>
    <row r="813" customFormat="false" ht="15" hidden="false" customHeight="false" outlineLevel="0" collapsed="false">
      <c r="A813" s="24"/>
      <c r="B813" s="24"/>
      <c r="C813" s="24"/>
      <c r="D813" s="24"/>
      <c r="E813" s="24"/>
      <c r="F813" s="28" t="str">
        <f aca="false">IF(A813="","",COUNTIF(Trabalhos!$C$2:$C$1001,A813))</f>
        <v/>
      </c>
      <c r="G813" s="26" t="str">
        <f aca="false">IF(A813="","",SUMIFS(Trabalhos!$G$2:$G$1001,Trabalhos!$C$2:$C$1001,A813))</f>
        <v/>
      </c>
      <c r="H813" s="24"/>
    </row>
    <row r="814" customFormat="false" ht="15" hidden="false" customHeight="false" outlineLevel="0" collapsed="false">
      <c r="A814" s="24"/>
      <c r="B814" s="24"/>
      <c r="C814" s="24"/>
      <c r="D814" s="24"/>
      <c r="E814" s="24"/>
      <c r="F814" s="28" t="str">
        <f aca="false">IF(A814="","",COUNTIF(Trabalhos!$C$2:$C$1001,A814))</f>
        <v/>
      </c>
      <c r="G814" s="26" t="str">
        <f aca="false">IF(A814="","",SUMIFS(Trabalhos!$G$2:$G$1001,Trabalhos!$C$2:$C$1001,A814))</f>
        <v/>
      </c>
      <c r="H814" s="24"/>
    </row>
    <row r="815" customFormat="false" ht="15" hidden="false" customHeight="false" outlineLevel="0" collapsed="false">
      <c r="A815" s="24"/>
      <c r="B815" s="24"/>
      <c r="C815" s="24"/>
      <c r="D815" s="24"/>
      <c r="E815" s="24"/>
      <c r="F815" s="28" t="str">
        <f aca="false">IF(A815="","",COUNTIF(Trabalhos!$C$2:$C$1001,A815))</f>
        <v/>
      </c>
      <c r="G815" s="26" t="str">
        <f aca="false">IF(A815="","",SUMIFS(Trabalhos!$G$2:$G$1001,Trabalhos!$C$2:$C$1001,A815))</f>
        <v/>
      </c>
      <c r="H815" s="24"/>
    </row>
    <row r="816" customFormat="false" ht="15" hidden="false" customHeight="false" outlineLevel="0" collapsed="false">
      <c r="A816" s="24"/>
      <c r="B816" s="24"/>
      <c r="C816" s="24"/>
      <c r="D816" s="24"/>
      <c r="E816" s="24"/>
      <c r="F816" s="28" t="str">
        <f aca="false">IF(A816="","",COUNTIF(Trabalhos!$C$2:$C$1001,A816))</f>
        <v/>
      </c>
      <c r="G816" s="26" t="str">
        <f aca="false">IF(A816="","",SUMIFS(Trabalhos!$G$2:$G$1001,Trabalhos!$C$2:$C$1001,A816))</f>
        <v/>
      </c>
      <c r="H816" s="24"/>
    </row>
    <row r="817" customFormat="false" ht="15" hidden="false" customHeight="false" outlineLevel="0" collapsed="false">
      <c r="A817" s="24"/>
      <c r="B817" s="24"/>
      <c r="C817" s="24"/>
      <c r="D817" s="24"/>
      <c r="E817" s="24"/>
      <c r="F817" s="28" t="str">
        <f aca="false">IF(A817="","",COUNTIF(Trabalhos!$C$2:$C$1001,A817))</f>
        <v/>
      </c>
      <c r="G817" s="26" t="str">
        <f aca="false">IF(A817="","",SUMIFS(Trabalhos!$G$2:$G$1001,Trabalhos!$C$2:$C$1001,A817))</f>
        <v/>
      </c>
      <c r="H817" s="24"/>
    </row>
    <row r="818" customFormat="false" ht="15" hidden="false" customHeight="false" outlineLevel="0" collapsed="false">
      <c r="A818" s="24"/>
      <c r="B818" s="24"/>
      <c r="C818" s="24"/>
      <c r="D818" s="24"/>
      <c r="E818" s="24"/>
      <c r="F818" s="28" t="str">
        <f aca="false">IF(A818="","",COUNTIF(Trabalhos!$C$2:$C$1001,A818))</f>
        <v/>
      </c>
      <c r="G818" s="26" t="str">
        <f aca="false">IF(A818="","",SUMIFS(Trabalhos!$G$2:$G$1001,Trabalhos!$C$2:$C$1001,A818))</f>
        <v/>
      </c>
      <c r="H818" s="24"/>
    </row>
    <row r="819" customFormat="false" ht="15" hidden="false" customHeight="false" outlineLevel="0" collapsed="false">
      <c r="A819" s="24"/>
      <c r="B819" s="24"/>
      <c r="C819" s="24"/>
      <c r="D819" s="24"/>
      <c r="E819" s="24"/>
      <c r="F819" s="28" t="str">
        <f aca="false">IF(A819="","",COUNTIF(Trabalhos!$C$2:$C$1001,A819))</f>
        <v/>
      </c>
      <c r="G819" s="26" t="str">
        <f aca="false">IF(A819="","",SUMIFS(Trabalhos!$G$2:$G$1001,Trabalhos!$C$2:$C$1001,A819))</f>
        <v/>
      </c>
      <c r="H819" s="24"/>
    </row>
    <row r="820" customFormat="false" ht="15" hidden="false" customHeight="false" outlineLevel="0" collapsed="false">
      <c r="A820" s="24"/>
      <c r="B820" s="24"/>
      <c r="C820" s="24"/>
      <c r="D820" s="24"/>
      <c r="E820" s="24"/>
      <c r="F820" s="28" t="str">
        <f aca="false">IF(A820="","",COUNTIF(Trabalhos!$C$2:$C$1001,A820))</f>
        <v/>
      </c>
      <c r="G820" s="26" t="str">
        <f aca="false">IF(A820="","",SUMIFS(Trabalhos!$G$2:$G$1001,Trabalhos!$C$2:$C$1001,A820))</f>
        <v/>
      </c>
      <c r="H820" s="24"/>
    </row>
    <row r="821" customFormat="false" ht="15" hidden="false" customHeight="false" outlineLevel="0" collapsed="false">
      <c r="A821" s="24"/>
      <c r="B821" s="24"/>
      <c r="C821" s="24"/>
      <c r="D821" s="24"/>
      <c r="E821" s="24"/>
      <c r="F821" s="28" t="str">
        <f aca="false">IF(A821="","",COUNTIF(Trabalhos!$C$2:$C$1001,A821))</f>
        <v/>
      </c>
      <c r="G821" s="26" t="str">
        <f aca="false">IF(A821="","",SUMIFS(Trabalhos!$G$2:$G$1001,Trabalhos!$C$2:$C$1001,A821))</f>
        <v/>
      </c>
      <c r="H821" s="24"/>
    </row>
    <row r="822" customFormat="false" ht="15" hidden="false" customHeight="false" outlineLevel="0" collapsed="false">
      <c r="A822" s="24"/>
      <c r="B822" s="24"/>
      <c r="C822" s="24"/>
      <c r="D822" s="24"/>
      <c r="E822" s="24"/>
      <c r="F822" s="28" t="str">
        <f aca="false">IF(A822="","",COUNTIF(Trabalhos!$C$2:$C$1001,A822))</f>
        <v/>
      </c>
      <c r="G822" s="26" t="str">
        <f aca="false">IF(A822="","",SUMIFS(Trabalhos!$G$2:$G$1001,Trabalhos!$C$2:$C$1001,A822))</f>
        <v/>
      </c>
      <c r="H822" s="24"/>
    </row>
    <row r="823" customFormat="false" ht="15" hidden="false" customHeight="false" outlineLevel="0" collapsed="false">
      <c r="A823" s="24"/>
      <c r="B823" s="24"/>
      <c r="C823" s="24"/>
      <c r="D823" s="24"/>
      <c r="E823" s="24"/>
      <c r="F823" s="28" t="str">
        <f aca="false">IF(A823="","",COUNTIF(Trabalhos!$C$2:$C$1001,A823))</f>
        <v/>
      </c>
      <c r="G823" s="26" t="str">
        <f aca="false">IF(A823="","",SUMIFS(Trabalhos!$G$2:$G$1001,Trabalhos!$C$2:$C$1001,A823))</f>
        <v/>
      </c>
      <c r="H823" s="24"/>
    </row>
    <row r="824" customFormat="false" ht="15" hidden="false" customHeight="false" outlineLevel="0" collapsed="false">
      <c r="A824" s="24"/>
      <c r="B824" s="24"/>
      <c r="C824" s="24"/>
      <c r="D824" s="24"/>
      <c r="E824" s="24"/>
      <c r="F824" s="28" t="str">
        <f aca="false">IF(A824="","",COUNTIF(Trabalhos!$C$2:$C$1001,A824))</f>
        <v/>
      </c>
      <c r="G824" s="26" t="str">
        <f aca="false">IF(A824="","",SUMIFS(Trabalhos!$G$2:$G$1001,Trabalhos!$C$2:$C$1001,A824))</f>
        <v/>
      </c>
      <c r="H824" s="24"/>
    </row>
    <row r="825" customFormat="false" ht="15" hidden="false" customHeight="false" outlineLevel="0" collapsed="false">
      <c r="A825" s="24"/>
      <c r="B825" s="24"/>
      <c r="C825" s="24"/>
      <c r="D825" s="24"/>
      <c r="E825" s="24"/>
      <c r="F825" s="28" t="str">
        <f aca="false">IF(A825="","",COUNTIF(Trabalhos!$C$2:$C$1001,A825))</f>
        <v/>
      </c>
      <c r="G825" s="26" t="str">
        <f aca="false">IF(A825="","",SUMIFS(Trabalhos!$G$2:$G$1001,Trabalhos!$C$2:$C$1001,A825))</f>
        <v/>
      </c>
      <c r="H825" s="24"/>
    </row>
    <row r="826" customFormat="false" ht="15" hidden="false" customHeight="false" outlineLevel="0" collapsed="false">
      <c r="A826" s="24"/>
      <c r="B826" s="24"/>
      <c r="C826" s="24"/>
      <c r="D826" s="24"/>
      <c r="E826" s="24"/>
      <c r="F826" s="28" t="str">
        <f aca="false">IF(A826="","",COUNTIF(Trabalhos!$C$2:$C$1001,A826))</f>
        <v/>
      </c>
      <c r="G826" s="26" t="str">
        <f aca="false">IF(A826="","",SUMIFS(Trabalhos!$G$2:$G$1001,Trabalhos!$C$2:$C$1001,A826))</f>
        <v/>
      </c>
      <c r="H826" s="24"/>
    </row>
    <row r="827" customFormat="false" ht="15" hidden="false" customHeight="false" outlineLevel="0" collapsed="false">
      <c r="A827" s="24"/>
      <c r="B827" s="24"/>
      <c r="C827" s="24"/>
      <c r="D827" s="24"/>
      <c r="E827" s="24"/>
      <c r="F827" s="28" t="str">
        <f aca="false">IF(A827="","",COUNTIF(Trabalhos!$C$2:$C$1001,A827))</f>
        <v/>
      </c>
      <c r="G827" s="26" t="str">
        <f aca="false">IF(A827="","",SUMIFS(Trabalhos!$G$2:$G$1001,Trabalhos!$C$2:$C$1001,A827))</f>
        <v/>
      </c>
      <c r="H827" s="24"/>
    </row>
    <row r="828" customFormat="false" ht="15" hidden="false" customHeight="false" outlineLevel="0" collapsed="false">
      <c r="A828" s="24"/>
      <c r="B828" s="24"/>
      <c r="C828" s="24"/>
      <c r="D828" s="24"/>
      <c r="E828" s="24"/>
      <c r="F828" s="28" t="str">
        <f aca="false">IF(A828="","",COUNTIF(Trabalhos!$C$2:$C$1001,A828))</f>
        <v/>
      </c>
      <c r="G828" s="26" t="str">
        <f aca="false">IF(A828="","",SUMIFS(Trabalhos!$G$2:$G$1001,Trabalhos!$C$2:$C$1001,A828))</f>
        <v/>
      </c>
      <c r="H828" s="24"/>
    </row>
    <row r="829" customFormat="false" ht="15" hidden="false" customHeight="false" outlineLevel="0" collapsed="false">
      <c r="A829" s="24"/>
      <c r="B829" s="24"/>
      <c r="C829" s="24"/>
      <c r="D829" s="24"/>
      <c r="E829" s="24"/>
      <c r="F829" s="28" t="str">
        <f aca="false">IF(A829="","",COUNTIF(Trabalhos!$C$2:$C$1001,A829))</f>
        <v/>
      </c>
      <c r="G829" s="26" t="str">
        <f aca="false">IF(A829="","",SUMIFS(Trabalhos!$G$2:$G$1001,Trabalhos!$C$2:$C$1001,A829))</f>
        <v/>
      </c>
      <c r="H829" s="24"/>
    </row>
    <row r="830" customFormat="false" ht="15" hidden="false" customHeight="false" outlineLevel="0" collapsed="false">
      <c r="A830" s="24"/>
      <c r="B830" s="24"/>
      <c r="C830" s="24"/>
      <c r="D830" s="24"/>
      <c r="E830" s="24"/>
      <c r="F830" s="28" t="str">
        <f aca="false">IF(A830="","",COUNTIF(Trabalhos!$C$2:$C$1001,A830))</f>
        <v/>
      </c>
      <c r="G830" s="26" t="str">
        <f aca="false">IF(A830="","",SUMIFS(Trabalhos!$G$2:$G$1001,Trabalhos!$C$2:$C$1001,A830))</f>
        <v/>
      </c>
      <c r="H830" s="24"/>
    </row>
    <row r="831" customFormat="false" ht="15" hidden="false" customHeight="false" outlineLevel="0" collapsed="false">
      <c r="A831" s="24"/>
      <c r="B831" s="24"/>
      <c r="C831" s="24"/>
      <c r="D831" s="24"/>
      <c r="E831" s="24"/>
      <c r="F831" s="28" t="str">
        <f aca="false">IF(A831="","",COUNTIF(Trabalhos!$C$2:$C$1001,A831))</f>
        <v/>
      </c>
      <c r="G831" s="26" t="str">
        <f aca="false">IF(A831="","",SUMIFS(Trabalhos!$G$2:$G$1001,Trabalhos!$C$2:$C$1001,A831))</f>
        <v/>
      </c>
      <c r="H831" s="24"/>
    </row>
    <row r="832" customFormat="false" ht="15" hidden="false" customHeight="false" outlineLevel="0" collapsed="false">
      <c r="A832" s="24"/>
      <c r="B832" s="24"/>
      <c r="C832" s="24"/>
      <c r="D832" s="24"/>
      <c r="E832" s="24"/>
      <c r="F832" s="28" t="str">
        <f aca="false">IF(A832="","",COUNTIF(Trabalhos!$C$2:$C$1001,A832))</f>
        <v/>
      </c>
      <c r="G832" s="26" t="str">
        <f aca="false">IF(A832="","",SUMIFS(Trabalhos!$G$2:$G$1001,Trabalhos!$C$2:$C$1001,A832))</f>
        <v/>
      </c>
      <c r="H832" s="24"/>
    </row>
    <row r="833" customFormat="false" ht="15" hidden="false" customHeight="false" outlineLevel="0" collapsed="false">
      <c r="A833" s="24"/>
      <c r="B833" s="24"/>
      <c r="C833" s="24"/>
      <c r="D833" s="24"/>
      <c r="E833" s="24"/>
      <c r="F833" s="28" t="str">
        <f aca="false">IF(A833="","",COUNTIF(Trabalhos!$C$2:$C$1001,A833))</f>
        <v/>
      </c>
      <c r="G833" s="26" t="str">
        <f aca="false">IF(A833="","",SUMIFS(Trabalhos!$G$2:$G$1001,Trabalhos!$C$2:$C$1001,A833))</f>
        <v/>
      </c>
      <c r="H833" s="24"/>
    </row>
    <row r="834" customFormat="false" ht="15" hidden="false" customHeight="false" outlineLevel="0" collapsed="false">
      <c r="A834" s="24"/>
      <c r="B834" s="24"/>
      <c r="C834" s="24"/>
      <c r="D834" s="24"/>
      <c r="E834" s="24"/>
      <c r="F834" s="28" t="str">
        <f aca="false">IF(A834="","",COUNTIF(Trabalhos!$C$2:$C$1001,A834))</f>
        <v/>
      </c>
      <c r="G834" s="26" t="str">
        <f aca="false">IF(A834="","",SUMIFS(Trabalhos!$G$2:$G$1001,Trabalhos!$C$2:$C$1001,A834))</f>
        <v/>
      </c>
      <c r="H834" s="24"/>
    </row>
    <row r="835" customFormat="false" ht="15" hidden="false" customHeight="false" outlineLevel="0" collapsed="false">
      <c r="A835" s="24"/>
      <c r="B835" s="24"/>
      <c r="C835" s="24"/>
      <c r="D835" s="24"/>
      <c r="E835" s="24"/>
      <c r="F835" s="28" t="str">
        <f aca="false">IF(A835="","",COUNTIF(Trabalhos!$C$2:$C$1001,A835))</f>
        <v/>
      </c>
      <c r="G835" s="26" t="str">
        <f aca="false">IF(A835="","",SUMIFS(Trabalhos!$G$2:$G$1001,Trabalhos!$C$2:$C$1001,A835))</f>
        <v/>
      </c>
      <c r="H835" s="24"/>
    </row>
    <row r="836" customFormat="false" ht="15" hidden="false" customHeight="false" outlineLevel="0" collapsed="false">
      <c r="A836" s="24"/>
      <c r="B836" s="24"/>
      <c r="C836" s="24"/>
      <c r="D836" s="24"/>
      <c r="E836" s="24"/>
      <c r="F836" s="28" t="str">
        <f aca="false">IF(A836="","",COUNTIF(Trabalhos!$C$2:$C$1001,A836))</f>
        <v/>
      </c>
      <c r="G836" s="26" t="str">
        <f aca="false">IF(A836="","",SUMIFS(Trabalhos!$G$2:$G$1001,Trabalhos!$C$2:$C$1001,A836))</f>
        <v/>
      </c>
      <c r="H836" s="24"/>
    </row>
    <row r="837" customFormat="false" ht="15" hidden="false" customHeight="false" outlineLevel="0" collapsed="false">
      <c r="A837" s="24"/>
      <c r="B837" s="24"/>
      <c r="C837" s="24"/>
      <c r="D837" s="24"/>
      <c r="E837" s="24"/>
      <c r="F837" s="28" t="str">
        <f aca="false">IF(A837="","",COUNTIF(Trabalhos!$C$2:$C$1001,A837))</f>
        <v/>
      </c>
      <c r="G837" s="26" t="str">
        <f aca="false">IF(A837="","",SUMIFS(Trabalhos!$G$2:$G$1001,Trabalhos!$C$2:$C$1001,A837))</f>
        <v/>
      </c>
      <c r="H837" s="24"/>
    </row>
    <row r="838" customFormat="false" ht="15" hidden="false" customHeight="false" outlineLevel="0" collapsed="false">
      <c r="A838" s="24"/>
      <c r="B838" s="24"/>
      <c r="C838" s="24"/>
      <c r="D838" s="24"/>
      <c r="E838" s="24"/>
      <c r="F838" s="28" t="str">
        <f aca="false">IF(A838="","",COUNTIF(Trabalhos!$C$2:$C$1001,A838))</f>
        <v/>
      </c>
      <c r="G838" s="26" t="str">
        <f aca="false">IF(A838="","",SUMIFS(Trabalhos!$G$2:$G$1001,Trabalhos!$C$2:$C$1001,A838))</f>
        <v/>
      </c>
      <c r="H838" s="24"/>
    </row>
    <row r="839" customFormat="false" ht="15" hidden="false" customHeight="false" outlineLevel="0" collapsed="false">
      <c r="A839" s="24"/>
      <c r="B839" s="24"/>
      <c r="C839" s="24"/>
      <c r="D839" s="24"/>
      <c r="E839" s="24"/>
      <c r="F839" s="28" t="str">
        <f aca="false">IF(A839="","",COUNTIF(Trabalhos!$C$2:$C$1001,A839))</f>
        <v/>
      </c>
      <c r="G839" s="26" t="str">
        <f aca="false">IF(A839="","",SUMIFS(Trabalhos!$G$2:$G$1001,Trabalhos!$C$2:$C$1001,A839))</f>
        <v/>
      </c>
      <c r="H839" s="24"/>
    </row>
    <row r="840" customFormat="false" ht="15" hidden="false" customHeight="false" outlineLevel="0" collapsed="false">
      <c r="A840" s="24"/>
      <c r="B840" s="24"/>
      <c r="C840" s="24"/>
      <c r="D840" s="24"/>
      <c r="E840" s="24"/>
      <c r="F840" s="28" t="str">
        <f aca="false">IF(A840="","",COUNTIF(Trabalhos!$C$2:$C$1001,A840))</f>
        <v/>
      </c>
      <c r="G840" s="26" t="str">
        <f aca="false">IF(A840="","",SUMIFS(Trabalhos!$G$2:$G$1001,Trabalhos!$C$2:$C$1001,A840))</f>
        <v/>
      </c>
      <c r="H840" s="24"/>
    </row>
    <row r="841" customFormat="false" ht="15" hidden="false" customHeight="false" outlineLevel="0" collapsed="false">
      <c r="A841" s="24"/>
      <c r="B841" s="24"/>
      <c r="C841" s="24"/>
      <c r="D841" s="24"/>
      <c r="E841" s="24"/>
      <c r="F841" s="28" t="str">
        <f aca="false">IF(A841="","",COUNTIF(Trabalhos!$C$2:$C$1001,A841))</f>
        <v/>
      </c>
      <c r="G841" s="26" t="str">
        <f aca="false">IF(A841="","",SUMIFS(Trabalhos!$G$2:$G$1001,Trabalhos!$C$2:$C$1001,A841))</f>
        <v/>
      </c>
      <c r="H841" s="24"/>
    </row>
    <row r="842" customFormat="false" ht="15" hidden="false" customHeight="false" outlineLevel="0" collapsed="false">
      <c r="A842" s="24"/>
      <c r="B842" s="24"/>
      <c r="C842" s="24"/>
      <c r="D842" s="24"/>
      <c r="E842" s="24"/>
      <c r="F842" s="28" t="str">
        <f aca="false">IF(A842="","",COUNTIF(Trabalhos!$C$2:$C$1001,A842))</f>
        <v/>
      </c>
      <c r="G842" s="26" t="str">
        <f aca="false">IF(A842="","",SUMIFS(Trabalhos!$G$2:$G$1001,Trabalhos!$C$2:$C$1001,A842))</f>
        <v/>
      </c>
      <c r="H842" s="24"/>
    </row>
    <row r="843" customFormat="false" ht="15" hidden="false" customHeight="false" outlineLevel="0" collapsed="false">
      <c r="A843" s="24"/>
      <c r="B843" s="24"/>
      <c r="C843" s="24"/>
      <c r="D843" s="24"/>
      <c r="E843" s="24"/>
      <c r="F843" s="28" t="str">
        <f aca="false">IF(A843="","",COUNTIF(Trabalhos!$C$2:$C$1001,A843))</f>
        <v/>
      </c>
      <c r="G843" s="26" t="str">
        <f aca="false">IF(A843="","",SUMIFS(Trabalhos!$G$2:$G$1001,Trabalhos!$C$2:$C$1001,A843))</f>
        <v/>
      </c>
      <c r="H843" s="24"/>
    </row>
    <row r="844" customFormat="false" ht="15" hidden="false" customHeight="false" outlineLevel="0" collapsed="false">
      <c r="A844" s="24"/>
      <c r="B844" s="24"/>
      <c r="C844" s="24"/>
      <c r="D844" s="24"/>
      <c r="E844" s="24"/>
      <c r="F844" s="28" t="str">
        <f aca="false">IF(A844="","",COUNTIF(Trabalhos!$C$2:$C$1001,A844))</f>
        <v/>
      </c>
      <c r="G844" s="26" t="str">
        <f aca="false">IF(A844="","",SUMIFS(Trabalhos!$G$2:$G$1001,Trabalhos!$C$2:$C$1001,A844))</f>
        <v/>
      </c>
      <c r="H844" s="24"/>
    </row>
    <row r="845" customFormat="false" ht="15" hidden="false" customHeight="false" outlineLevel="0" collapsed="false">
      <c r="A845" s="24"/>
      <c r="B845" s="24"/>
      <c r="C845" s="24"/>
      <c r="D845" s="24"/>
      <c r="E845" s="24"/>
      <c r="F845" s="28" t="str">
        <f aca="false">IF(A845="","",COUNTIF(Trabalhos!$C$2:$C$1001,A845))</f>
        <v/>
      </c>
      <c r="G845" s="26" t="str">
        <f aca="false">IF(A845="","",SUMIFS(Trabalhos!$G$2:$G$1001,Trabalhos!$C$2:$C$1001,A845))</f>
        <v/>
      </c>
      <c r="H845" s="24"/>
    </row>
    <row r="846" customFormat="false" ht="15" hidden="false" customHeight="false" outlineLevel="0" collapsed="false">
      <c r="A846" s="24"/>
      <c r="B846" s="24"/>
      <c r="C846" s="24"/>
      <c r="D846" s="24"/>
      <c r="E846" s="24"/>
      <c r="F846" s="28" t="str">
        <f aca="false">IF(A846="","",COUNTIF(Trabalhos!$C$2:$C$1001,A846))</f>
        <v/>
      </c>
      <c r="G846" s="26" t="str">
        <f aca="false">IF(A846="","",SUMIFS(Trabalhos!$G$2:$G$1001,Trabalhos!$C$2:$C$1001,A846))</f>
        <v/>
      </c>
      <c r="H846" s="24"/>
    </row>
    <row r="847" customFormat="false" ht="15" hidden="false" customHeight="false" outlineLevel="0" collapsed="false">
      <c r="A847" s="24"/>
      <c r="B847" s="24"/>
      <c r="C847" s="24"/>
      <c r="D847" s="24"/>
      <c r="E847" s="24"/>
      <c r="F847" s="28" t="str">
        <f aca="false">IF(A847="","",COUNTIF(Trabalhos!$C$2:$C$1001,A847))</f>
        <v/>
      </c>
      <c r="G847" s="26" t="str">
        <f aca="false">IF(A847="","",SUMIFS(Trabalhos!$G$2:$G$1001,Trabalhos!$C$2:$C$1001,A847))</f>
        <v/>
      </c>
      <c r="H847" s="24"/>
    </row>
    <row r="848" customFormat="false" ht="15" hidden="false" customHeight="false" outlineLevel="0" collapsed="false">
      <c r="A848" s="24"/>
      <c r="B848" s="24"/>
      <c r="C848" s="24"/>
      <c r="D848" s="24"/>
      <c r="E848" s="24"/>
      <c r="F848" s="28" t="str">
        <f aca="false">IF(A848="","",COUNTIF(Trabalhos!$C$2:$C$1001,A848))</f>
        <v/>
      </c>
      <c r="G848" s="26" t="str">
        <f aca="false">IF(A848="","",SUMIFS(Trabalhos!$G$2:$G$1001,Trabalhos!$C$2:$C$1001,A848))</f>
        <v/>
      </c>
      <c r="H848" s="24"/>
    </row>
    <row r="849" customFormat="false" ht="15" hidden="false" customHeight="false" outlineLevel="0" collapsed="false">
      <c r="A849" s="24"/>
      <c r="B849" s="24"/>
      <c r="C849" s="24"/>
      <c r="D849" s="24"/>
      <c r="E849" s="24"/>
      <c r="F849" s="28" t="str">
        <f aca="false">IF(A849="","",COUNTIF(Trabalhos!$C$2:$C$1001,A849))</f>
        <v/>
      </c>
      <c r="G849" s="26" t="str">
        <f aca="false">IF(A849="","",SUMIFS(Trabalhos!$G$2:$G$1001,Trabalhos!$C$2:$C$1001,A849))</f>
        <v/>
      </c>
      <c r="H849" s="24"/>
    </row>
    <row r="850" customFormat="false" ht="15" hidden="false" customHeight="false" outlineLevel="0" collapsed="false">
      <c r="A850" s="24"/>
      <c r="B850" s="24"/>
      <c r="C850" s="24"/>
      <c r="D850" s="24"/>
      <c r="E850" s="24"/>
      <c r="F850" s="28" t="str">
        <f aca="false">IF(A850="","",COUNTIF(Trabalhos!$C$2:$C$1001,A850))</f>
        <v/>
      </c>
      <c r="G850" s="26" t="str">
        <f aca="false">IF(A850="","",SUMIFS(Trabalhos!$G$2:$G$1001,Trabalhos!$C$2:$C$1001,A850))</f>
        <v/>
      </c>
      <c r="H850" s="24"/>
    </row>
    <row r="851" customFormat="false" ht="15" hidden="false" customHeight="false" outlineLevel="0" collapsed="false">
      <c r="A851" s="24"/>
      <c r="B851" s="24"/>
      <c r="C851" s="24"/>
      <c r="D851" s="24"/>
      <c r="E851" s="24"/>
      <c r="F851" s="28" t="str">
        <f aca="false">IF(A851="","",COUNTIF(Trabalhos!$C$2:$C$1001,A851))</f>
        <v/>
      </c>
      <c r="G851" s="26" t="str">
        <f aca="false">IF(A851="","",SUMIFS(Trabalhos!$G$2:$G$1001,Trabalhos!$C$2:$C$1001,A851))</f>
        <v/>
      </c>
      <c r="H851" s="24"/>
    </row>
    <row r="852" customFormat="false" ht="15" hidden="false" customHeight="false" outlineLevel="0" collapsed="false">
      <c r="A852" s="24"/>
      <c r="B852" s="24"/>
      <c r="C852" s="24"/>
      <c r="D852" s="24"/>
      <c r="E852" s="24"/>
      <c r="F852" s="28" t="str">
        <f aca="false">IF(A852="","",COUNTIF(Trabalhos!$C$2:$C$1001,A852))</f>
        <v/>
      </c>
      <c r="G852" s="26" t="str">
        <f aca="false">IF(A852="","",SUMIFS(Trabalhos!$G$2:$G$1001,Trabalhos!$C$2:$C$1001,A852))</f>
        <v/>
      </c>
      <c r="H852" s="24"/>
    </row>
    <row r="853" customFormat="false" ht="15" hidden="false" customHeight="false" outlineLevel="0" collapsed="false">
      <c r="A853" s="24"/>
      <c r="B853" s="24"/>
      <c r="C853" s="24"/>
      <c r="D853" s="24"/>
      <c r="E853" s="24"/>
      <c r="F853" s="28" t="str">
        <f aca="false">IF(A853="","",COUNTIF(Trabalhos!$C$2:$C$1001,A853))</f>
        <v/>
      </c>
      <c r="G853" s="26" t="str">
        <f aca="false">IF(A853="","",SUMIFS(Trabalhos!$G$2:$G$1001,Trabalhos!$C$2:$C$1001,A853))</f>
        <v/>
      </c>
      <c r="H853" s="24"/>
    </row>
    <row r="854" customFormat="false" ht="15" hidden="false" customHeight="false" outlineLevel="0" collapsed="false">
      <c r="A854" s="24"/>
      <c r="B854" s="24"/>
      <c r="C854" s="24"/>
      <c r="D854" s="24"/>
      <c r="E854" s="24"/>
      <c r="F854" s="28" t="str">
        <f aca="false">IF(A854="","",COUNTIF(Trabalhos!$C$2:$C$1001,A854))</f>
        <v/>
      </c>
      <c r="G854" s="26" t="str">
        <f aca="false">IF(A854="","",SUMIFS(Trabalhos!$G$2:$G$1001,Trabalhos!$C$2:$C$1001,A854))</f>
        <v/>
      </c>
      <c r="H854" s="24"/>
    </row>
    <row r="855" customFormat="false" ht="15" hidden="false" customHeight="false" outlineLevel="0" collapsed="false">
      <c r="A855" s="24"/>
      <c r="B855" s="24"/>
      <c r="C855" s="24"/>
      <c r="D855" s="24"/>
      <c r="E855" s="24"/>
      <c r="F855" s="28" t="str">
        <f aca="false">IF(A855="","",COUNTIF(Trabalhos!$C$2:$C$1001,A855))</f>
        <v/>
      </c>
      <c r="G855" s="26" t="str">
        <f aca="false">IF(A855="","",SUMIFS(Trabalhos!$G$2:$G$1001,Trabalhos!$C$2:$C$1001,A855))</f>
        <v/>
      </c>
      <c r="H855" s="24"/>
    </row>
    <row r="856" customFormat="false" ht="15" hidden="false" customHeight="false" outlineLevel="0" collapsed="false">
      <c r="A856" s="24"/>
      <c r="B856" s="24"/>
      <c r="C856" s="24"/>
      <c r="D856" s="24"/>
      <c r="E856" s="24"/>
      <c r="F856" s="28" t="str">
        <f aca="false">IF(A856="","",COUNTIF(Trabalhos!$C$2:$C$1001,A856))</f>
        <v/>
      </c>
      <c r="G856" s="26" t="str">
        <f aca="false">IF(A856="","",SUMIFS(Trabalhos!$G$2:$G$1001,Trabalhos!$C$2:$C$1001,A856))</f>
        <v/>
      </c>
      <c r="H856" s="24"/>
    </row>
    <row r="857" customFormat="false" ht="15" hidden="false" customHeight="false" outlineLevel="0" collapsed="false">
      <c r="A857" s="24"/>
      <c r="B857" s="24"/>
      <c r="C857" s="24"/>
      <c r="D857" s="24"/>
      <c r="E857" s="24"/>
      <c r="F857" s="28" t="str">
        <f aca="false">IF(A857="","",COUNTIF(Trabalhos!$C$2:$C$1001,A857))</f>
        <v/>
      </c>
      <c r="G857" s="26" t="str">
        <f aca="false">IF(A857="","",SUMIFS(Trabalhos!$G$2:$G$1001,Trabalhos!$C$2:$C$1001,A857))</f>
        <v/>
      </c>
      <c r="H857" s="24"/>
    </row>
    <row r="858" customFormat="false" ht="15" hidden="false" customHeight="false" outlineLevel="0" collapsed="false">
      <c r="A858" s="24"/>
      <c r="B858" s="24"/>
      <c r="C858" s="24"/>
      <c r="D858" s="24"/>
      <c r="E858" s="24"/>
      <c r="F858" s="28" t="str">
        <f aca="false">IF(A858="","",COUNTIF(Trabalhos!$C$2:$C$1001,A858))</f>
        <v/>
      </c>
      <c r="G858" s="26" t="str">
        <f aca="false">IF(A858="","",SUMIFS(Trabalhos!$G$2:$G$1001,Trabalhos!$C$2:$C$1001,A858))</f>
        <v/>
      </c>
      <c r="H858" s="24"/>
    </row>
    <row r="859" customFormat="false" ht="15" hidden="false" customHeight="false" outlineLevel="0" collapsed="false">
      <c r="A859" s="24"/>
      <c r="B859" s="24"/>
      <c r="C859" s="24"/>
      <c r="D859" s="24"/>
      <c r="E859" s="24"/>
      <c r="F859" s="28" t="str">
        <f aca="false">IF(A859="","",COUNTIF(Trabalhos!$C$2:$C$1001,A859))</f>
        <v/>
      </c>
      <c r="G859" s="26" t="str">
        <f aca="false">IF(A859="","",SUMIFS(Trabalhos!$G$2:$G$1001,Trabalhos!$C$2:$C$1001,A859))</f>
        <v/>
      </c>
      <c r="H859" s="24"/>
    </row>
    <row r="860" customFormat="false" ht="15" hidden="false" customHeight="false" outlineLevel="0" collapsed="false">
      <c r="A860" s="24"/>
      <c r="B860" s="24"/>
      <c r="C860" s="24"/>
      <c r="D860" s="24"/>
      <c r="E860" s="24"/>
      <c r="F860" s="28" t="str">
        <f aca="false">IF(A860="","",COUNTIF(Trabalhos!$C$2:$C$1001,A860))</f>
        <v/>
      </c>
      <c r="G860" s="26" t="str">
        <f aca="false">IF(A860="","",SUMIFS(Trabalhos!$G$2:$G$1001,Trabalhos!$C$2:$C$1001,A860))</f>
        <v/>
      </c>
      <c r="H860" s="24"/>
    </row>
    <row r="861" customFormat="false" ht="15" hidden="false" customHeight="false" outlineLevel="0" collapsed="false">
      <c r="A861" s="24"/>
      <c r="B861" s="24"/>
      <c r="C861" s="24"/>
      <c r="D861" s="24"/>
      <c r="E861" s="24"/>
      <c r="F861" s="28" t="str">
        <f aca="false">IF(A861="","",COUNTIF(Trabalhos!$C$2:$C$1001,A861))</f>
        <v/>
      </c>
      <c r="G861" s="26" t="str">
        <f aca="false">IF(A861="","",SUMIFS(Trabalhos!$G$2:$G$1001,Trabalhos!$C$2:$C$1001,A861))</f>
        <v/>
      </c>
      <c r="H861" s="24"/>
    </row>
    <row r="862" customFormat="false" ht="15" hidden="false" customHeight="false" outlineLevel="0" collapsed="false">
      <c r="A862" s="24"/>
      <c r="B862" s="24"/>
      <c r="C862" s="24"/>
      <c r="D862" s="24"/>
      <c r="E862" s="24"/>
      <c r="F862" s="28" t="str">
        <f aca="false">IF(A862="","",COUNTIF(Trabalhos!$C$2:$C$1001,A862))</f>
        <v/>
      </c>
      <c r="G862" s="26" t="str">
        <f aca="false">IF(A862="","",SUMIFS(Trabalhos!$G$2:$G$1001,Trabalhos!$C$2:$C$1001,A862))</f>
        <v/>
      </c>
      <c r="H862" s="24"/>
    </row>
    <row r="863" customFormat="false" ht="15" hidden="false" customHeight="false" outlineLevel="0" collapsed="false">
      <c r="A863" s="24"/>
      <c r="B863" s="24"/>
      <c r="C863" s="24"/>
      <c r="D863" s="24"/>
      <c r="E863" s="24"/>
      <c r="F863" s="28" t="str">
        <f aca="false">IF(A863="","",COUNTIF(Trabalhos!$C$2:$C$1001,A863))</f>
        <v/>
      </c>
      <c r="G863" s="26" t="str">
        <f aca="false">IF(A863="","",SUMIFS(Trabalhos!$G$2:$G$1001,Trabalhos!$C$2:$C$1001,A863))</f>
        <v/>
      </c>
      <c r="H863" s="24"/>
    </row>
    <row r="864" customFormat="false" ht="15" hidden="false" customHeight="false" outlineLevel="0" collapsed="false">
      <c r="A864" s="24"/>
      <c r="B864" s="24"/>
      <c r="C864" s="24"/>
      <c r="D864" s="24"/>
      <c r="E864" s="24"/>
      <c r="F864" s="28" t="str">
        <f aca="false">IF(A864="","",COUNTIF(Trabalhos!$C$2:$C$1001,A864))</f>
        <v/>
      </c>
      <c r="G864" s="26" t="str">
        <f aca="false">IF(A864="","",SUMIFS(Trabalhos!$G$2:$G$1001,Trabalhos!$C$2:$C$1001,A864))</f>
        <v/>
      </c>
      <c r="H864" s="24"/>
    </row>
    <row r="865" customFormat="false" ht="15" hidden="false" customHeight="false" outlineLevel="0" collapsed="false">
      <c r="A865" s="24"/>
      <c r="B865" s="24"/>
      <c r="C865" s="24"/>
      <c r="D865" s="24"/>
      <c r="E865" s="24"/>
      <c r="F865" s="28" t="str">
        <f aca="false">IF(A865="","",COUNTIF(Trabalhos!$C$2:$C$1001,A865))</f>
        <v/>
      </c>
      <c r="G865" s="26" t="str">
        <f aca="false">IF(A865="","",SUMIFS(Trabalhos!$G$2:$G$1001,Trabalhos!$C$2:$C$1001,A865))</f>
        <v/>
      </c>
      <c r="H865" s="24"/>
    </row>
    <row r="866" customFormat="false" ht="15" hidden="false" customHeight="false" outlineLevel="0" collapsed="false">
      <c r="A866" s="24"/>
      <c r="B866" s="24"/>
      <c r="C866" s="24"/>
      <c r="D866" s="24"/>
      <c r="E866" s="24"/>
      <c r="F866" s="28" t="str">
        <f aca="false">IF(A866="","",COUNTIF(Trabalhos!$C$2:$C$1001,A866))</f>
        <v/>
      </c>
      <c r="G866" s="26" t="str">
        <f aca="false">IF(A866="","",SUMIFS(Trabalhos!$G$2:$G$1001,Trabalhos!$C$2:$C$1001,A866))</f>
        <v/>
      </c>
      <c r="H866" s="24"/>
    </row>
    <row r="867" customFormat="false" ht="15" hidden="false" customHeight="false" outlineLevel="0" collapsed="false">
      <c r="A867" s="24"/>
      <c r="B867" s="24"/>
      <c r="C867" s="24"/>
      <c r="D867" s="24"/>
      <c r="E867" s="24"/>
      <c r="F867" s="28" t="str">
        <f aca="false">IF(A867="","",COUNTIF(Trabalhos!$C$2:$C$1001,A867))</f>
        <v/>
      </c>
      <c r="G867" s="26" t="str">
        <f aca="false">IF(A867="","",SUMIFS(Trabalhos!$G$2:$G$1001,Trabalhos!$C$2:$C$1001,A867))</f>
        <v/>
      </c>
      <c r="H867" s="24"/>
    </row>
    <row r="868" customFormat="false" ht="15" hidden="false" customHeight="false" outlineLevel="0" collapsed="false">
      <c r="A868" s="24"/>
      <c r="B868" s="24"/>
      <c r="C868" s="24"/>
      <c r="D868" s="24"/>
      <c r="E868" s="24"/>
      <c r="F868" s="28" t="str">
        <f aca="false">IF(A868="","",COUNTIF(Trabalhos!$C$2:$C$1001,A868))</f>
        <v/>
      </c>
      <c r="G868" s="26" t="str">
        <f aca="false">IF(A868="","",SUMIFS(Trabalhos!$G$2:$G$1001,Trabalhos!$C$2:$C$1001,A868))</f>
        <v/>
      </c>
      <c r="H868" s="24"/>
    </row>
    <row r="869" customFormat="false" ht="15" hidden="false" customHeight="false" outlineLevel="0" collapsed="false">
      <c r="A869" s="24"/>
      <c r="B869" s="24"/>
      <c r="C869" s="24"/>
      <c r="D869" s="24"/>
      <c r="E869" s="24"/>
      <c r="F869" s="28" t="str">
        <f aca="false">IF(A869="","",COUNTIF(Trabalhos!$C$2:$C$1001,A869))</f>
        <v/>
      </c>
      <c r="G869" s="26" t="str">
        <f aca="false">IF(A869="","",SUMIFS(Trabalhos!$G$2:$G$1001,Trabalhos!$C$2:$C$1001,A869))</f>
        <v/>
      </c>
      <c r="H869" s="24"/>
    </row>
    <row r="870" customFormat="false" ht="15" hidden="false" customHeight="false" outlineLevel="0" collapsed="false">
      <c r="A870" s="24"/>
      <c r="B870" s="24"/>
      <c r="C870" s="24"/>
      <c r="D870" s="24"/>
      <c r="E870" s="24"/>
      <c r="F870" s="28" t="str">
        <f aca="false">IF(A870="","",COUNTIF(Trabalhos!$C$2:$C$1001,A870))</f>
        <v/>
      </c>
      <c r="G870" s="26" t="str">
        <f aca="false">IF(A870="","",SUMIFS(Trabalhos!$G$2:$G$1001,Trabalhos!$C$2:$C$1001,A870))</f>
        <v/>
      </c>
      <c r="H870" s="24"/>
    </row>
    <row r="871" customFormat="false" ht="15" hidden="false" customHeight="false" outlineLevel="0" collapsed="false">
      <c r="A871" s="24"/>
      <c r="B871" s="24"/>
      <c r="C871" s="24"/>
      <c r="D871" s="24"/>
      <c r="E871" s="24"/>
      <c r="F871" s="28" t="str">
        <f aca="false">IF(A871="","",COUNTIF(Trabalhos!$C$2:$C$1001,A871))</f>
        <v/>
      </c>
      <c r="G871" s="26" t="str">
        <f aca="false">IF(A871="","",SUMIFS(Trabalhos!$G$2:$G$1001,Trabalhos!$C$2:$C$1001,A871))</f>
        <v/>
      </c>
      <c r="H871" s="24"/>
    </row>
    <row r="872" customFormat="false" ht="15" hidden="false" customHeight="false" outlineLevel="0" collapsed="false">
      <c r="A872" s="24"/>
      <c r="B872" s="24"/>
      <c r="C872" s="24"/>
      <c r="D872" s="24"/>
      <c r="E872" s="24"/>
      <c r="F872" s="28" t="str">
        <f aca="false">IF(A872="","",COUNTIF(Trabalhos!$C$2:$C$1001,A872))</f>
        <v/>
      </c>
      <c r="G872" s="26" t="str">
        <f aca="false">IF(A872="","",SUMIFS(Trabalhos!$G$2:$G$1001,Trabalhos!$C$2:$C$1001,A872))</f>
        <v/>
      </c>
      <c r="H872" s="24"/>
    </row>
    <row r="873" customFormat="false" ht="15" hidden="false" customHeight="false" outlineLevel="0" collapsed="false">
      <c r="A873" s="24"/>
      <c r="B873" s="24"/>
      <c r="C873" s="24"/>
      <c r="D873" s="24"/>
      <c r="E873" s="24"/>
      <c r="F873" s="28" t="str">
        <f aca="false">IF(A873="","",COUNTIF(Trabalhos!$C$2:$C$1001,A873))</f>
        <v/>
      </c>
      <c r="G873" s="26" t="str">
        <f aca="false">IF(A873="","",SUMIFS(Trabalhos!$G$2:$G$1001,Trabalhos!$C$2:$C$1001,A873))</f>
        <v/>
      </c>
      <c r="H873" s="24"/>
    </row>
    <row r="874" customFormat="false" ht="15" hidden="false" customHeight="false" outlineLevel="0" collapsed="false">
      <c r="A874" s="24"/>
      <c r="B874" s="24"/>
      <c r="C874" s="24"/>
      <c r="D874" s="24"/>
      <c r="E874" s="24"/>
      <c r="F874" s="28" t="str">
        <f aca="false">IF(A874="","",COUNTIF(Trabalhos!$C$2:$C$1001,A874))</f>
        <v/>
      </c>
      <c r="G874" s="26" t="str">
        <f aca="false">IF(A874="","",SUMIFS(Trabalhos!$G$2:$G$1001,Trabalhos!$C$2:$C$1001,A874))</f>
        <v/>
      </c>
      <c r="H874" s="24"/>
    </row>
    <row r="875" customFormat="false" ht="15" hidden="false" customHeight="false" outlineLevel="0" collapsed="false">
      <c r="A875" s="24"/>
      <c r="B875" s="24"/>
      <c r="C875" s="24"/>
      <c r="D875" s="24"/>
      <c r="E875" s="24"/>
      <c r="F875" s="28" t="str">
        <f aca="false">IF(A875="","",COUNTIF(Trabalhos!$C$2:$C$1001,A875))</f>
        <v/>
      </c>
      <c r="G875" s="26" t="str">
        <f aca="false">IF(A875="","",SUMIFS(Trabalhos!$G$2:$G$1001,Trabalhos!$C$2:$C$1001,A875))</f>
        <v/>
      </c>
      <c r="H875" s="24"/>
    </row>
    <row r="876" customFormat="false" ht="15" hidden="false" customHeight="false" outlineLevel="0" collapsed="false">
      <c r="A876" s="24"/>
      <c r="B876" s="24"/>
      <c r="C876" s="24"/>
      <c r="D876" s="24"/>
      <c r="E876" s="24"/>
      <c r="F876" s="28" t="str">
        <f aca="false">IF(A876="","",COUNTIF(Trabalhos!$C$2:$C$1001,A876))</f>
        <v/>
      </c>
      <c r="G876" s="26" t="str">
        <f aca="false">IF(A876="","",SUMIFS(Trabalhos!$G$2:$G$1001,Trabalhos!$C$2:$C$1001,A876))</f>
        <v/>
      </c>
      <c r="H876" s="24"/>
    </row>
    <row r="877" customFormat="false" ht="15" hidden="false" customHeight="false" outlineLevel="0" collapsed="false">
      <c r="A877" s="24"/>
      <c r="B877" s="24"/>
      <c r="C877" s="24"/>
      <c r="D877" s="24"/>
      <c r="E877" s="24"/>
      <c r="F877" s="28" t="str">
        <f aca="false">IF(A877="","",COUNTIF(Trabalhos!$C$2:$C$1001,A877))</f>
        <v/>
      </c>
      <c r="G877" s="26" t="str">
        <f aca="false">IF(A877="","",SUMIFS(Trabalhos!$G$2:$G$1001,Trabalhos!$C$2:$C$1001,A877))</f>
        <v/>
      </c>
      <c r="H877" s="24"/>
    </row>
    <row r="878" customFormat="false" ht="15" hidden="false" customHeight="false" outlineLevel="0" collapsed="false">
      <c r="A878" s="24"/>
      <c r="B878" s="24"/>
      <c r="C878" s="24"/>
      <c r="D878" s="24"/>
      <c r="E878" s="24"/>
      <c r="F878" s="28" t="str">
        <f aca="false">IF(A878="","",COUNTIF(Trabalhos!$C$2:$C$1001,A878))</f>
        <v/>
      </c>
      <c r="G878" s="26" t="str">
        <f aca="false">IF(A878="","",SUMIFS(Trabalhos!$G$2:$G$1001,Trabalhos!$C$2:$C$1001,A878))</f>
        <v/>
      </c>
      <c r="H878" s="24"/>
    </row>
    <row r="879" customFormat="false" ht="15" hidden="false" customHeight="false" outlineLevel="0" collapsed="false">
      <c r="A879" s="24"/>
      <c r="B879" s="24"/>
      <c r="C879" s="24"/>
      <c r="D879" s="24"/>
      <c r="E879" s="24"/>
      <c r="F879" s="28" t="str">
        <f aca="false">IF(A879="","",COUNTIF(Trabalhos!$C$2:$C$1001,A879))</f>
        <v/>
      </c>
      <c r="G879" s="26" t="str">
        <f aca="false">IF(A879="","",SUMIFS(Trabalhos!$G$2:$G$1001,Trabalhos!$C$2:$C$1001,A879))</f>
        <v/>
      </c>
      <c r="H879" s="24"/>
    </row>
    <row r="880" customFormat="false" ht="15" hidden="false" customHeight="false" outlineLevel="0" collapsed="false">
      <c r="A880" s="24"/>
      <c r="B880" s="24"/>
      <c r="C880" s="24"/>
      <c r="D880" s="24"/>
      <c r="E880" s="24"/>
      <c r="F880" s="28" t="str">
        <f aca="false">IF(A880="","",COUNTIF(Trabalhos!$C$2:$C$1001,A880))</f>
        <v/>
      </c>
      <c r="G880" s="26" t="str">
        <f aca="false">IF(A880="","",SUMIFS(Trabalhos!$G$2:$G$1001,Trabalhos!$C$2:$C$1001,A880))</f>
        <v/>
      </c>
      <c r="H880" s="24"/>
    </row>
    <row r="881" customFormat="false" ht="15" hidden="false" customHeight="false" outlineLevel="0" collapsed="false">
      <c r="A881" s="24"/>
      <c r="B881" s="24"/>
      <c r="C881" s="24"/>
      <c r="D881" s="24"/>
      <c r="E881" s="24"/>
      <c r="F881" s="28" t="str">
        <f aca="false">IF(A881="","",COUNTIF(Trabalhos!$C$2:$C$1001,A881))</f>
        <v/>
      </c>
      <c r="G881" s="26" t="str">
        <f aca="false">IF(A881="","",SUMIFS(Trabalhos!$G$2:$G$1001,Trabalhos!$C$2:$C$1001,A881))</f>
        <v/>
      </c>
      <c r="H881" s="24"/>
    </row>
    <row r="882" customFormat="false" ht="15" hidden="false" customHeight="false" outlineLevel="0" collapsed="false">
      <c r="A882" s="24"/>
      <c r="B882" s="24"/>
      <c r="C882" s="24"/>
      <c r="D882" s="24"/>
      <c r="E882" s="24"/>
      <c r="F882" s="28" t="str">
        <f aca="false">IF(A882="","",COUNTIF(Trabalhos!$C$2:$C$1001,A882))</f>
        <v/>
      </c>
      <c r="G882" s="26" t="str">
        <f aca="false">IF(A882="","",SUMIFS(Trabalhos!$G$2:$G$1001,Trabalhos!$C$2:$C$1001,A882))</f>
        <v/>
      </c>
      <c r="H882" s="24"/>
    </row>
    <row r="883" customFormat="false" ht="15" hidden="false" customHeight="false" outlineLevel="0" collapsed="false">
      <c r="A883" s="24"/>
      <c r="B883" s="24"/>
      <c r="C883" s="24"/>
      <c r="D883" s="24"/>
      <c r="E883" s="24"/>
      <c r="F883" s="28" t="str">
        <f aca="false">IF(A883="","",COUNTIF(Trabalhos!$C$2:$C$1001,A883))</f>
        <v/>
      </c>
      <c r="G883" s="26" t="str">
        <f aca="false">IF(A883="","",SUMIFS(Trabalhos!$G$2:$G$1001,Trabalhos!$C$2:$C$1001,A883))</f>
        <v/>
      </c>
      <c r="H883" s="24"/>
    </row>
    <row r="884" customFormat="false" ht="15" hidden="false" customHeight="false" outlineLevel="0" collapsed="false">
      <c r="A884" s="24"/>
      <c r="B884" s="24"/>
      <c r="C884" s="24"/>
      <c r="D884" s="24"/>
      <c r="E884" s="24"/>
      <c r="F884" s="28" t="str">
        <f aca="false">IF(A884="","",COUNTIF(Trabalhos!$C$2:$C$1001,A884))</f>
        <v/>
      </c>
      <c r="G884" s="26" t="str">
        <f aca="false">IF(A884="","",SUMIFS(Trabalhos!$G$2:$G$1001,Trabalhos!$C$2:$C$1001,A884))</f>
        <v/>
      </c>
      <c r="H884" s="24"/>
    </row>
    <row r="885" customFormat="false" ht="15" hidden="false" customHeight="false" outlineLevel="0" collapsed="false">
      <c r="A885" s="24"/>
      <c r="B885" s="24"/>
      <c r="C885" s="24"/>
      <c r="D885" s="24"/>
      <c r="E885" s="24"/>
      <c r="F885" s="28" t="str">
        <f aca="false">IF(A885="","",COUNTIF(Trabalhos!$C$2:$C$1001,A885))</f>
        <v/>
      </c>
      <c r="G885" s="26" t="str">
        <f aca="false">IF(A885="","",SUMIFS(Trabalhos!$G$2:$G$1001,Trabalhos!$C$2:$C$1001,A885))</f>
        <v/>
      </c>
      <c r="H885" s="24"/>
    </row>
    <row r="886" customFormat="false" ht="15" hidden="false" customHeight="false" outlineLevel="0" collapsed="false">
      <c r="A886" s="24"/>
      <c r="B886" s="24"/>
      <c r="C886" s="24"/>
      <c r="D886" s="24"/>
      <c r="E886" s="24"/>
      <c r="F886" s="28" t="str">
        <f aca="false">IF(A886="","",COUNTIF(Trabalhos!$C$2:$C$1001,A886))</f>
        <v/>
      </c>
      <c r="G886" s="26" t="str">
        <f aca="false">IF(A886="","",SUMIFS(Trabalhos!$G$2:$G$1001,Trabalhos!$C$2:$C$1001,A886))</f>
        <v/>
      </c>
      <c r="H886" s="24"/>
    </row>
    <row r="887" customFormat="false" ht="15" hidden="false" customHeight="false" outlineLevel="0" collapsed="false">
      <c r="A887" s="24"/>
      <c r="B887" s="24"/>
      <c r="C887" s="24"/>
      <c r="D887" s="24"/>
      <c r="E887" s="24"/>
      <c r="F887" s="28" t="str">
        <f aca="false">IF(A887="","",COUNTIF(Trabalhos!$C$2:$C$1001,A887))</f>
        <v/>
      </c>
      <c r="G887" s="26" t="str">
        <f aca="false">IF(A887="","",SUMIFS(Trabalhos!$G$2:$G$1001,Trabalhos!$C$2:$C$1001,A887))</f>
        <v/>
      </c>
      <c r="H887" s="24"/>
    </row>
    <row r="888" customFormat="false" ht="15" hidden="false" customHeight="false" outlineLevel="0" collapsed="false">
      <c r="A888" s="24"/>
      <c r="B888" s="24"/>
      <c r="C888" s="24"/>
      <c r="D888" s="24"/>
      <c r="E888" s="24"/>
      <c r="F888" s="28" t="str">
        <f aca="false">IF(A888="","",COUNTIF(Trabalhos!$C$2:$C$1001,A888))</f>
        <v/>
      </c>
      <c r="G888" s="26" t="str">
        <f aca="false">IF(A888="","",SUMIFS(Trabalhos!$G$2:$G$1001,Trabalhos!$C$2:$C$1001,A888))</f>
        <v/>
      </c>
      <c r="H888" s="24"/>
    </row>
    <row r="889" customFormat="false" ht="15" hidden="false" customHeight="false" outlineLevel="0" collapsed="false">
      <c r="A889" s="24"/>
      <c r="B889" s="24"/>
      <c r="C889" s="24"/>
      <c r="D889" s="24"/>
      <c r="E889" s="24"/>
      <c r="F889" s="28" t="str">
        <f aca="false">IF(A889="","",COUNTIF(Trabalhos!$C$2:$C$1001,A889))</f>
        <v/>
      </c>
      <c r="G889" s="26" t="str">
        <f aca="false">IF(A889="","",SUMIFS(Trabalhos!$G$2:$G$1001,Trabalhos!$C$2:$C$1001,A889))</f>
        <v/>
      </c>
      <c r="H889" s="24"/>
    </row>
    <row r="890" customFormat="false" ht="15" hidden="false" customHeight="false" outlineLevel="0" collapsed="false">
      <c r="A890" s="24"/>
      <c r="B890" s="24"/>
      <c r="C890" s="24"/>
      <c r="D890" s="24"/>
      <c r="E890" s="24"/>
      <c r="F890" s="28" t="str">
        <f aca="false">IF(A890="","",COUNTIF(Trabalhos!$C$2:$C$1001,A890))</f>
        <v/>
      </c>
      <c r="G890" s="26" t="str">
        <f aca="false">IF(A890="","",SUMIFS(Trabalhos!$G$2:$G$1001,Trabalhos!$C$2:$C$1001,A890))</f>
        <v/>
      </c>
      <c r="H890" s="24"/>
    </row>
    <row r="891" customFormat="false" ht="15" hidden="false" customHeight="false" outlineLevel="0" collapsed="false">
      <c r="A891" s="24"/>
      <c r="B891" s="24"/>
      <c r="C891" s="24"/>
      <c r="D891" s="24"/>
      <c r="E891" s="24"/>
      <c r="F891" s="28" t="str">
        <f aca="false">IF(A891="","",COUNTIF(Trabalhos!$C$2:$C$1001,A891))</f>
        <v/>
      </c>
      <c r="G891" s="26" t="str">
        <f aca="false">IF(A891="","",SUMIFS(Trabalhos!$G$2:$G$1001,Trabalhos!$C$2:$C$1001,A891))</f>
        <v/>
      </c>
      <c r="H891" s="24"/>
    </row>
    <row r="892" customFormat="false" ht="15" hidden="false" customHeight="false" outlineLevel="0" collapsed="false">
      <c r="A892" s="24"/>
      <c r="B892" s="24"/>
      <c r="C892" s="24"/>
      <c r="D892" s="24"/>
      <c r="E892" s="24"/>
      <c r="F892" s="28" t="str">
        <f aca="false">IF(A892="","",COUNTIF(Trabalhos!$C$2:$C$1001,A892))</f>
        <v/>
      </c>
      <c r="G892" s="26" t="str">
        <f aca="false">IF(A892="","",SUMIFS(Trabalhos!$G$2:$G$1001,Trabalhos!$C$2:$C$1001,A892))</f>
        <v/>
      </c>
      <c r="H892" s="24"/>
    </row>
    <row r="893" customFormat="false" ht="15" hidden="false" customHeight="false" outlineLevel="0" collapsed="false">
      <c r="A893" s="24"/>
      <c r="B893" s="24"/>
      <c r="C893" s="24"/>
      <c r="D893" s="24"/>
      <c r="E893" s="24"/>
      <c r="F893" s="28" t="str">
        <f aca="false">IF(A893="","",COUNTIF(Trabalhos!$C$2:$C$1001,A893))</f>
        <v/>
      </c>
      <c r="G893" s="26" t="str">
        <f aca="false">IF(A893="","",SUMIFS(Trabalhos!$G$2:$G$1001,Trabalhos!$C$2:$C$1001,A893))</f>
        <v/>
      </c>
      <c r="H893" s="24"/>
    </row>
    <row r="894" customFormat="false" ht="15" hidden="false" customHeight="false" outlineLevel="0" collapsed="false">
      <c r="A894" s="24"/>
      <c r="B894" s="24"/>
      <c r="C894" s="24"/>
      <c r="D894" s="24"/>
      <c r="E894" s="24"/>
      <c r="F894" s="28" t="str">
        <f aca="false">IF(A894="","",COUNTIF(Trabalhos!$C$2:$C$1001,A894))</f>
        <v/>
      </c>
      <c r="G894" s="26" t="str">
        <f aca="false">IF(A894="","",SUMIFS(Trabalhos!$G$2:$G$1001,Trabalhos!$C$2:$C$1001,A894))</f>
        <v/>
      </c>
      <c r="H894" s="24"/>
    </row>
    <row r="895" customFormat="false" ht="15" hidden="false" customHeight="false" outlineLevel="0" collapsed="false">
      <c r="A895" s="24"/>
      <c r="B895" s="24"/>
      <c r="C895" s="24"/>
      <c r="D895" s="24"/>
      <c r="E895" s="24"/>
      <c r="F895" s="28" t="str">
        <f aca="false">IF(A895="","",COUNTIF(Trabalhos!$C$2:$C$1001,A895))</f>
        <v/>
      </c>
      <c r="G895" s="26" t="str">
        <f aca="false">IF(A895="","",SUMIFS(Trabalhos!$G$2:$G$1001,Trabalhos!$C$2:$C$1001,A895))</f>
        <v/>
      </c>
      <c r="H895" s="24"/>
    </row>
    <row r="896" customFormat="false" ht="15" hidden="false" customHeight="false" outlineLevel="0" collapsed="false">
      <c r="A896" s="24"/>
      <c r="B896" s="24"/>
      <c r="C896" s="24"/>
      <c r="D896" s="24"/>
      <c r="E896" s="24"/>
      <c r="F896" s="28" t="str">
        <f aca="false">IF(A896="","",COUNTIF(Trabalhos!$C$2:$C$1001,A896))</f>
        <v/>
      </c>
      <c r="G896" s="26" t="str">
        <f aca="false">IF(A896="","",SUMIFS(Trabalhos!$G$2:$G$1001,Trabalhos!$C$2:$C$1001,A896))</f>
        <v/>
      </c>
      <c r="H896" s="24"/>
    </row>
    <row r="897" customFormat="false" ht="15" hidden="false" customHeight="false" outlineLevel="0" collapsed="false">
      <c r="A897" s="24"/>
      <c r="B897" s="24"/>
      <c r="C897" s="24"/>
      <c r="D897" s="24"/>
      <c r="E897" s="24"/>
      <c r="F897" s="28" t="str">
        <f aca="false">IF(A897="","",COUNTIF(Trabalhos!$C$2:$C$1001,A897))</f>
        <v/>
      </c>
      <c r="G897" s="26" t="str">
        <f aca="false">IF(A897="","",SUMIFS(Trabalhos!$G$2:$G$1001,Trabalhos!$C$2:$C$1001,A897))</f>
        <v/>
      </c>
      <c r="H897" s="24"/>
    </row>
    <row r="898" customFormat="false" ht="15" hidden="false" customHeight="false" outlineLevel="0" collapsed="false">
      <c r="A898" s="24"/>
      <c r="B898" s="24"/>
      <c r="C898" s="24"/>
      <c r="D898" s="24"/>
      <c r="E898" s="24"/>
      <c r="F898" s="28" t="str">
        <f aca="false">IF(A898="","",COUNTIF(Trabalhos!$C$2:$C$1001,A898))</f>
        <v/>
      </c>
      <c r="G898" s="26" t="str">
        <f aca="false">IF(A898="","",SUMIFS(Trabalhos!$G$2:$G$1001,Trabalhos!$C$2:$C$1001,A898))</f>
        <v/>
      </c>
      <c r="H898" s="24"/>
    </row>
    <row r="899" customFormat="false" ht="15" hidden="false" customHeight="false" outlineLevel="0" collapsed="false">
      <c r="A899" s="24"/>
      <c r="B899" s="24"/>
      <c r="C899" s="24"/>
      <c r="D899" s="24"/>
      <c r="E899" s="24"/>
      <c r="F899" s="28" t="str">
        <f aca="false">IF(A899="","",COUNTIF(Trabalhos!$C$2:$C$1001,A899))</f>
        <v/>
      </c>
      <c r="G899" s="26" t="str">
        <f aca="false">IF(A899="","",SUMIFS(Trabalhos!$G$2:$G$1001,Trabalhos!$C$2:$C$1001,A899))</f>
        <v/>
      </c>
      <c r="H899" s="24"/>
    </row>
    <row r="900" customFormat="false" ht="15" hidden="false" customHeight="false" outlineLevel="0" collapsed="false">
      <c r="A900" s="24"/>
      <c r="B900" s="24"/>
      <c r="C900" s="24"/>
      <c r="D900" s="24"/>
      <c r="E900" s="24"/>
      <c r="F900" s="28" t="str">
        <f aca="false">IF(A900="","",COUNTIF(Trabalhos!$C$2:$C$1001,A900))</f>
        <v/>
      </c>
      <c r="G900" s="26" t="str">
        <f aca="false">IF(A900="","",SUMIFS(Trabalhos!$G$2:$G$1001,Trabalhos!$C$2:$C$1001,A900))</f>
        <v/>
      </c>
      <c r="H900" s="24"/>
    </row>
    <row r="901" customFormat="false" ht="15" hidden="false" customHeight="false" outlineLevel="0" collapsed="false">
      <c r="A901" s="24"/>
      <c r="B901" s="24"/>
      <c r="C901" s="24"/>
      <c r="D901" s="24"/>
      <c r="E901" s="24"/>
      <c r="F901" s="28" t="str">
        <f aca="false">IF(A901="","",COUNTIF(Trabalhos!$C$2:$C$1001,A901))</f>
        <v/>
      </c>
      <c r="G901" s="26" t="str">
        <f aca="false">IF(A901="","",SUMIFS(Trabalhos!$G$2:$G$1001,Trabalhos!$C$2:$C$1001,A901))</f>
        <v/>
      </c>
      <c r="H901" s="24"/>
    </row>
    <row r="902" customFormat="false" ht="15" hidden="false" customHeight="false" outlineLevel="0" collapsed="false">
      <c r="A902" s="24"/>
      <c r="B902" s="24"/>
      <c r="C902" s="24"/>
      <c r="D902" s="24"/>
      <c r="E902" s="24"/>
      <c r="F902" s="28" t="str">
        <f aca="false">IF(A902="","",COUNTIF(Trabalhos!$C$2:$C$1001,A902))</f>
        <v/>
      </c>
      <c r="G902" s="26" t="str">
        <f aca="false">IF(A902="","",SUMIFS(Trabalhos!$G$2:$G$1001,Trabalhos!$C$2:$C$1001,A902))</f>
        <v/>
      </c>
      <c r="H902" s="24"/>
    </row>
    <row r="903" customFormat="false" ht="15" hidden="false" customHeight="false" outlineLevel="0" collapsed="false">
      <c r="A903" s="24"/>
      <c r="B903" s="24"/>
      <c r="C903" s="24"/>
      <c r="D903" s="24"/>
      <c r="E903" s="24"/>
      <c r="F903" s="28" t="str">
        <f aca="false">IF(A903="","",COUNTIF(Trabalhos!$C$2:$C$1001,A903))</f>
        <v/>
      </c>
      <c r="G903" s="26" t="str">
        <f aca="false">IF(A903="","",SUMIFS(Trabalhos!$G$2:$G$1001,Trabalhos!$C$2:$C$1001,A903))</f>
        <v/>
      </c>
      <c r="H903" s="24"/>
    </row>
    <row r="904" customFormat="false" ht="15" hidden="false" customHeight="false" outlineLevel="0" collapsed="false">
      <c r="A904" s="24"/>
      <c r="B904" s="24"/>
      <c r="C904" s="24"/>
      <c r="D904" s="24"/>
      <c r="E904" s="24"/>
      <c r="F904" s="28" t="str">
        <f aca="false">IF(A904="","",COUNTIF(Trabalhos!$C$2:$C$1001,A904))</f>
        <v/>
      </c>
      <c r="G904" s="26" t="str">
        <f aca="false">IF(A904="","",SUMIFS(Trabalhos!$G$2:$G$1001,Trabalhos!$C$2:$C$1001,A904))</f>
        <v/>
      </c>
      <c r="H904" s="24"/>
    </row>
    <row r="905" customFormat="false" ht="15" hidden="false" customHeight="false" outlineLevel="0" collapsed="false">
      <c r="A905" s="24"/>
      <c r="B905" s="24"/>
      <c r="C905" s="24"/>
      <c r="D905" s="24"/>
      <c r="E905" s="24"/>
      <c r="F905" s="28" t="str">
        <f aca="false">IF(A905="","",COUNTIF(Trabalhos!$C$2:$C$1001,A905))</f>
        <v/>
      </c>
      <c r="G905" s="26" t="str">
        <f aca="false">IF(A905="","",SUMIFS(Trabalhos!$G$2:$G$1001,Trabalhos!$C$2:$C$1001,A905))</f>
        <v/>
      </c>
      <c r="H905" s="24"/>
    </row>
    <row r="906" customFormat="false" ht="15" hidden="false" customHeight="false" outlineLevel="0" collapsed="false">
      <c r="A906" s="24"/>
      <c r="B906" s="24"/>
      <c r="C906" s="24"/>
      <c r="D906" s="24"/>
      <c r="E906" s="24"/>
      <c r="F906" s="28" t="str">
        <f aca="false">IF(A906="","",COUNTIF(Trabalhos!$C$2:$C$1001,A906))</f>
        <v/>
      </c>
      <c r="G906" s="26" t="str">
        <f aca="false">IF(A906="","",SUMIFS(Trabalhos!$G$2:$G$1001,Trabalhos!$C$2:$C$1001,A906))</f>
        <v/>
      </c>
      <c r="H906" s="24"/>
    </row>
    <row r="907" customFormat="false" ht="15" hidden="false" customHeight="false" outlineLevel="0" collapsed="false">
      <c r="A907" s="24"/>
      <c r="B907" s="24"/>
      <c r="C907" s="24"/>
      <c r="D907" s="24"/>
      <c r="E907" s="24"/>
      <c r="F907" s="28" t="str">
        <f aca="false">IF(A907="","",COUNTIF(Trabalhos!$C$2:$C$1001,A907))</f>
        <v/>
      </c>
      <c r="G907" s="26" t="str">
        <f aca="false">IF(A907="","",SUMIFS(Trabalhos!$G$2:$G$1001,Trabalhos!$C$2:$C$1001,A907))</f>
        <v/>
      </c>
      <c r="H907" s="24"/>
    </row>
    <row r="908" customFormat="false" ht="15" hidden="false" customHeight="false" outlineLevel="0" collapsed="false">
      <c r="A908" s="24"/>
      <c r="B908" s="24"/>
      <c r="C908" s="24"/>
      <c r="D908" s="24"/>
      <c r="E908" s="24"/>
      <c r="F908" s="28" t="str">
        <f aca="false">IF(A908="","",COUNTIF(Trabalhos!$C$2:$C$1001,A908))</f>
        <v/>
      </c>
      <c r="G908" s="26" t="str">
        <f aca="false">IF(A908="","",SUMIFS(Trabalhos!$G$2:$G$1001,Trabalhos!$C$2:$C$1001,A908))</f>
        <v/>
      </c>
      <c r="H908" s="24"/>
    </row>
    <row r="909" customFormat="false" ht="15" hidden="false" customHeight="false" outlineLevel="0" collapsed="false">
      <c r="A909" s="24"/>
      <c r="B909" s="24"/>
      <c r="C909" s="24"/>
      <c r="D909" s="24"/>
      <c r="E909" s="24"/>
      <c r="F909" s="28" t="str">
        <f aca="false">IF(A909="","",COUNTIF(Trabalhos!$C$2:$C$1001,A909))</f>
        <v/>
      </c>
      <c r="G909" s="26" t="str">
        <f aca="false">IF(A909="","",SUMIFS(Trabalhos!$G$2:$G$1001,Trabalhos!$C$2:$C$1001,A909))</f>
        <v/>
      </c>
      <c r="H909" s="24"/>
    </row>
    <row r="910" customFormat="false" ht="15" hidden="false" customHeight="false" outlineLevel="0" collapsed="false">
      <c r="A910" s="24"/>
      <c r="B910" s="24"/>
      <c r="C910" s="24"/>
      <c r="D910" s="24"/>
      <c r="E910" s="24"/>
      <c r="F910" s="28" t="str">
        <f aca="false">IF(A910="","",COUNTIF(Trabalhos!$C$2:$C$1001,A910))</f>
        <v/>
      </c>
      <c r="G910" s="26" t="str">
        <f aca="false">IF(A910="","",SUMIFS(Trabalhos!$G$2:$G$1001,Trabalhos!$C$2:$C$1001,A910))</f>
        <v/>
      </c>
      <c r="H910" s="24"/>
    </row>
    <row r="911" customFormat="false" ht="15" hidden="false" customHeight="false" outlineLevel="0" collapsed="false">
      <c r="A911" s="24"/>
      <c r="B911" s="24"/>
      <c r="C911" s="24"/>
      <c r="D911" s="24"/>
      <c r="E911" s="24"/>
      <c r="F911" s="28" t="str">
        <f aca="false">IF(A911="","",COUNTIF(Trabalhos!$C$2:$C$1001,A911))</f>
        <v/>
      </c>
      <c r="G911" s="26" t="str">
        <f aca="false">IF(A911="","",SUMIFS(Trabalhos!$G$2:$G$1001,Trabalhos!$C$2:$C$1001,A911))</f>
        <v/>
      </c>
      <c r="H911" s="24"/>
    </row>
    <row r="912" customFormat="false" ht="15" hidden="false" customHeight="false" outlineLevel="0" collapsed="false">
      <c r="A912" s="24"/>
      <c r="B912" s="24"/>
      <c r="C912" s="24"/>
      <c r="D912" s="24"/>
      <c r="E912" s="24"/>
      <c r="F912" s="28" t="str">
        <f aca="false">IF(A912="","",COUNTIF(Trabalhos!$C$2:$C$1001,A912))</f>
        <v/>
      </c>
      <c r="G912" s="26" t="str">
        <f aca="false">IF(A912="","",SUMIFS(Trabalhos!$G$2:$G$1001,Trabalhos!$C$2:$C$1001,A912))</f>
        <v/>
      </c>
      <c r="H912" s="24"/>
    </row>
    <row r="913" customFormat="false" ht="15" hidden="false" customHeight="false" outlineLevel="0" collapsed="false">
      <c r="A913" s="24"/>
      <c r="B913" s="24"/>
      <c r="C913" s="24"/>
      <c r="D913" s="24"/>
      <c r="E913" s="24"/>
      <c r="F913" s="28" t="str">
        <f aca="false">IF(A913="","",COUNTIF(Trabalhos!$C$2:$C$1001,A913))</f>
        <v/>
      </c>
      <c r="G913" s="26" t="str">
        <f aca="false">IF(A913="","",SUMIFS(Trabalhos!$G$2:$G$1001,Trabalhos!$C$2:$C$1001,A913))</f>
        <v/>
      </c>
      <c r="H913" s="24"/>
    </row>
    <row r="914" customFormat="false" ht="15" hidden="false" customHeight="false" outlineLevel="0" collapsed="false">
      <c r="A914" s="24"/>
      <c r="B914" s="24"/>
      <c r="C914" s="24"/>
      <c r="D914" s="24"/>
      <c r="E914" s="24"/>
      <c r="F914" s="28" t="str">
        <f aca="false">IF(A914="","",COUNTIF(Trabalhos!$C$2:$C$1001,A914))</f>
        <v/>
      </c>
      <c r="G914" s="26" t="str">
        <f aca="false">IF(A914="","",SUMIFS(Trabalhos!$G$2:$G$1001,Trabalhos!$C$2:$C$1001,A914))</f>
        <v/>
      </c>
      <c r="H914" s="24"/>
    </row>
    <row r="915" customFormat="false" ht="15" hidden="false" customHeight="false" outlineLevel="0" collapsed="false">
      <c r="A915" s="24"/>
      <c r="B915" s="24"/>
      <c r="C915" s="24"/>
      <c r="D915" s="24"/>
      <c r="E915" s="24"/>
      <c r="F915" s="28" t="str">
        <f aca="false">IF(A915="","",COUNTIF(Trabalhos!$C$2:$C$1001,A915))</f>
        <v/>
      </c>
      <c r="G915" s="26" t="str">
        <f aca="false">IF(A915="","",SUMIFS(Trabalhos!$G$2:$G$1001,Trabalhos!$C$2:$C$1001,A915))</f>
        <v/>
      </c>
      <c r="H915" s="24"/>
    </row>
    <row r="916" customFormat="false" ht="15" hidden="false" customHeight="false" outlineLevel="0" collapsed="false">
      <c r="A916" s="24"/>
      <c r="B916" s="24"/>
      <c r="C916" s="24"/>
      <c r="D916" s="24"/>
      <c r="E916" s="24"/>
      <c r="F916" s="28" t="str">
        <f aca="false">IF(A916="","",COUNTIF(Trabalhos!$C$2:$C$1001,A916))</f>
        <v/>
      </c>
      <c r="G916" s="26" t="str">
        <f aca="false">IF(A916="","",SUMIFS(Trabalhos!$G$2:$G$1001,Trabalhos!$C$2:$C$1001,A916))</f>
        <v/>
      </c>
      <c r="H916" s="24"/>
    </row>
    <row r="917" customFormat="false" ht="15" hidden="false" customHeight="false" outlineLevel="0" collapsed="false">
      <c r="A917" s="24"/>
      <c r="B917" s="24"/>
      <c r="C917" s="24"/>
      <c r="D917" s="24"/>
      <c r="E917" s="24"/>
      <c r="F917" s="28" t="str">
        <f aca="false">IF(A917="","",COUNTIF(Trabalhos!$C$2:$C$1001,A917))</f>
        <v/>
      </c>
      <c r="G917" s="26" t="str">
        <f aca="false">IF(A917="","",SUMIFS(Trabalhos!$G$2:$G$1001,Trabalhos!$C$2:$C$1001,A917))</f>
        <v/>
      </c>
      <c r="H917" s="24"/>
    </row>
    <row r="918" customFormat="false" ht="15" hidden="false" customHeight="false" outlineLevel="0" collapsed="false">
      <c r="A918" s="24"/>
      <c r="B918" s="24"/>
      <c r="C918" s="24"/>
      <c r="D918" s="24"/>
      <c r="E918" s="24"/>
      <c r="F918" s="28" t="str">
        <f aca="false">IF(A918="","",COUNTIF(Trabalhos!$C$2:$C$1001,A918))</f>
        <v/>
      </c>
      <c r="G918" s="26" t="str">
        <f aca="false">IF(A918="","",SUMIFS(Trabalhos!$G$2:$G$1001,Trabalhos!$C$2:$C$1001,A918))</f>
        <v/>
      </c>
      <c r="H918" s="24"/>
    </row>
    <row r="919" customFormat="false" ht="15" hidden="false" customHeight="false" outlineLevel="0" collapsed="false">
      <c r="A919" s="24"/>
      <c r="B919" s="24"/>
      <c r="C919" s="24"/>
      <c r="D919" s="24"/>
      <c r="E919" s="24"/>
      <c r="F919" s="28" t="str">
        <f aca="false">IF(A919="","",COUNTIF(Trabalhos!$C$2:$C$1001,A919))</f>
        <v/>
      </c>
      <c r="G919" s="26" t="str">
        <f aca="false">IF(A919="","",SUMIFS(Trabalhos!$G$2:$G$1001,Trabalhos!$C$2:$C$1001,A919))</f>
        <v/>
      </c>
      <c r="H919" s="24"/>
    </row>
    <row r="920" customFormat="false" ht="15" hidden="false" customHeight="false" outlineLevel="0" collapsed="false">
      <c r="A920" s="24"/>
      <c r="B920" s="24"/>
      <c r="C920" s="24"/>
      <c r="D920" s="24"/>
      <c r="E920" s="24"/>
      <c r="F920" s="28" t="str">
        <f aca="false">IF(A920="","",COUNTIF(Trabalhos!$C$2:$C$1001,A920))</f>
        <v/>
      </c>
      <c r="G920" s="26" t="str">
        <f aca="false">IF(A920="","",SUMIFS(Trabalhos!$G$2:$G$1001,Trabalhos!$C$2:$C$1001,A920))</f>
        <v/>
      </c>
      <c r="H920" s="24"/>
    </row>
    <row r="921" customFormat="false" ht="15" hidden="false" customHeight="false" outlineLevel="0" collapsed="false">
      <c r="A921" s="24"/>
      <c r="B921" s="24"/>
      <c r="C921" s="24"/>
      <c r="D921" s="24"/>
      <c r="E921" s="24"/>
      <c r="F921" s="28" t="str">
        <f aca="false">IF(A921="","",COUNTIF(Trabalhos!$C$2:$C$1001,A921))</f>
        <v/>
      </c>
      <c r="G921" s="26" t="str">
        <f aca="false">IF(A921="","",SUMIFS(Trabalhos!$G$2:$G$1001,Trabalhos!$C$2:$C$1001,A921))</f>
        <v/>
      </c>
      <c r="H921" s="24"/>
    </row>
    <row r="922" customFormat="false" ht="15" hidden="false" customHeight="false" outlineLevel="0" collapsed="false">
      <c r="A922" s="24"/>
      <c r="B922" s="24"/>
      <c r="C922" s="24"/>
      <c r="D922" s="24"/>
      <c r="E922" s="24"/>
      <c r="F922" s="28" t="str">
        <f aca="false">IF(A922="","",COUNTIF(Trabalhos!$C$2:$C$1001,A922))</f>
        <v/>
      </c>
      <c r="G922" s="26" t="str">
        <f aca="false">IF(A922="","",SUMIFS(Trabalhos!$G$2:$G$1001,Trabalhos!$C$2:$C$1001,A922))</f>
        <v/>
      </c>
      <c r="H922" s="24"/>
    </row>
    <row r="923" customFormat="false" ht="15" hidden="false" customHeight="false" outlineLevel="0" collapsed="false">
      <c r="A923" s="24"/>
      <c r="B923" s="24"/>
      <c r="C923" s="24"/>
      <c r="D923" s="24"/>
      <c r="E923" s="24"/>
      <c r="F923" s="28" t="str">
        <f aca="false">IF(A923="","",COUNTIF(Trabalhos!$C$2:$C$1001,A923))</f>
        <v/>
      </c>
      <c r="G923" s="26" t="str">
        <f aca="false">IF(A923="","",SUMIFS(Trabalhos!$G$2:$G$1001,Trabalhos!$C$2:$C$1001,A923))</f>
        <v/>
      </c>
      <c r="H923" s="24"/>
    </row>
    <row r="924" customFormat="false" ht="15" hidden="false" customHeight="false" outlineLevel="0" collapsed="false">
      <c r="A924" s="24"/>
      <c r="B924" s="24"/>
      <c r="C924" s="24"/>
      <c r="D924" s="24"/>
      <c r="E924" s="24"/>
      <c r="F924" s="28" t="str">
        <f aca="false">IF(A924="","",COUNTIF(Trabalhos!$C$2:$C$1001,A924))</f>
        <v/>
      </c>
      <c r="G924" s="26" t="str">
        <f aca="false">IF(A924="","",SUMIFS(Trabalhos!$G$2:$G$1001,Trabalhos!$C$2:$C$1001,A924))</f>
        <v/>
      </c>
      <c r="H924" s="24"/>
    </row>
    <row r="925" customFormat="false" ht="15" hidden="false" customHeight="false" outlineLevel="0" collapsed="false">
      <c r="A925" s="24"/>
      <c r="B925" s="24"/>
      <c r="C925" s="24"/>
      <c r="D925" s="24"/>
      <c r="E925" s="24"/>
      <c r="F925" s="28" t="str">
        <f aca="false">IF(A925="","",COUNTIF(Trabalhos!$C$2:$C$1001,A925))</f>
        <v/>
      </c>
      <c r="G925" s="26" t="str">
        <f aca="false">IF(A925="","",SUMIFS(Trabalhos!$G$2:$G$1001,Trabalhos!$C$2:$C$1001,A925))</f>
        <v/>
      </c>
      <c r="H925" s="24"/>
    </row>
    <row r="926" customFormat="false" ht="15" hidden="false" customHeight="false" outlineLevel="0" collapsed="false">
      <c r="A926" s="24"/>
      <c r="B926" s="24"/>
      <c r="C926" s="24"/>
      <c r="D926" s="24"/>
      <c r="E926" s="24"/>
      <c r="F926" s="28" t="str">
        <f aca="false">IF(A926="","",COUNTIF(Trabalhos!$C$2:$C$1001,A926))</f>
        <v/>
      </c>
      <c r="G926" s="26" t="str">
        <f aca="false">IF(A926="","",SUMIFS(Trabalhos!$G$2:$G$1001,Trabalhos!$C$2:$C$1001,A926))</f>
        <v/>
      </c>
      <c r="H926" s="24"/>
    </row>
    <row r="927" customFormat="false" ht="15" hidden="false" customHeight="false" outlineLevel="0" collapsed="false">
      <c r="A927" s="24"/>
      <c r="B927" s="24"/>
      <c r="C927" s="24"/>
      <c r="D927" s="24"/>
      <c r="E927" s="24"/>
      <c r="F927" s="28" t="str">
        <f aca="false">IF(A927="","",COUNTIF(Trabalhos!$C$2:$C$1001,A927))</f>
        <v/>
      </c>
      <c r="G927" s="26" t="str">
        <f aca="false">IF(A927="","",SUMIFS(Trabalhos!$G$2:$G$1001,Trabalhos!$C$2:$C$1001,A927))</f>
        <v/>
      </c>
      <c r="H927" s="24"/>
    </row>
    <row r="928" customFormat="false" ht="15" hidden="false" customHeight="false" outlineLevel="0" collapsed="false">
      <c r="A928" s="24"/>
      <c r="B928" s="24"/>
      <c r="C928" s="24"/>
      <c r="D928" s="24"/>
      <c r="E928" s="24"/>
      <c r="F928" s="28" t="str">
        <f aca="false">IF(A928="","",COUNTIF(Trabalhos!$C$2:$C$1001,A928))</f>
        <v/>
      </c>
      <c r="G928" s="26" t="str">
        <f aca="false">IF(A928="","",SUMIFS(Trabalhos!$G$2:$G$1001,Trabalhos!$C$2:$C$1001,A928))</f>
        <v/>
      </c>
      <c r="H928" s="24"/>
    </row>
    <row r="929" customFormat="false" ht="15" hidden="false" customHeight="false" outlineLevel="0" collapsed="false">
      <c r="A929" s="24"/>
      <c r="B929" s="24"/>
      <c r="C929" s="24"/>
      <c r="D929" s="24"/>
      <c r="E929" s="24"/>
      <c r="F929" s="28" t="str">
        <f aca="false">IF(A929="","",COUNTIF(Trabalhos!$C$2:$C$1001,A929))</f>
        <v/>
      </c>
      <c r="G929" s="26" t="str">
        <f aca="false">IF(A929="","",SUMIFS(Trabalhos!$G$2:$G$1001,Trabalhos!$C$2:$C$1001,A929))</f>
        <v/>
      </c>
      <c r="H929" s="24"/>
    </row>
    <row r="930" customFormat="false" ht="15" hidden="false" customHeight="false" outlineLevel="0" collapsed="false">
      <c r="A930" s="24"/>
      <c r="B930" s="24"/>
      <c r="C930" s="24"/>
      <c r="D930" s="24"/>
      <c r="E930" s="24"/>
      <c r="F930" s="28" t="str">
        <f aca="false">IF(A930="","",COUNTIF(Trabalhos!$C$2:$C$1001,A930))</f>
        <v/>
      </c>
      <c r="G930" s="26" t="str">
        <f aca="false">IF(A930="","",SUMIFS(Trabalhos!$G$2:$G$1001,Trabalhos!$C$2:$C$1001,A930))</f>
        <v/>
      </c>
      <c r="H930" s="24"/>
    </row>
    <row r="931" customFormat="false" ht="15" hidden="false" customHeight="false" outlineLevel="0" collapsed="false">
      <c r="A931" s="24"/>
      <c r="B931" s="24"/>
      <c r="C931" s="24"/>
      <c r="D931" s="24"/>
      <c r="E931" s="24"/>
      <c r="F931" s="28" t="str">
        <f aca="false">IF(A931="","",COUNTIF(Trabalhos!$C$2:$C$1001,A931))</f>
        <v/>
      </c>
      <c r="G931" s="26" t="str">
        <f aca="false">IF(A931="","",SUMIFS(Trabalhos!$G$2:$G$1001,Trabalhos!$C$2:$C$1001,A931))</f>
        <v/>
      </c>
      <c r="H931" s="24"/>
    </row>
    <row r="932" customFormat="false" ht="15" hidden="false" customHeight="false" outlineLevel="0" collapsed="false">
      <c r="A932" s="24"/>
      <c r="B932" s="24"/>
      <c r="C932" s="24"/>
      <c r="D932" s="24"/>
      <c r="E932" s="24"/>
      <c r="F932" s="28" t="str">
        <f aca="false">IF(A932="","",COUNTIF(Trabalhos!$C$2:$C$1001,A932))</f>
        <v/>
      </c>
      <c r="G932" s="26" t="str">
        <f aca="false">IF(A932="","",SUMIFS(Trabalhos!$G$2:$G$1001,Trabalhos!$C$2:$C$1001,A932))</f>
        <v/>
      </c>
      <c r="H932" s="24"/>
    </row>
    <row r="933" customFormat="false" ht="15" hidden="false" customHeight="false" outlineLevel="0" collapsed="false">
      <c r="A933" s="24"/>
      <c r="B933" s="24"/>
      <c r="C933" s="24"/>
      <c r="D933" s="24"/>
      <c r="E933" s="24"/>
      <c r="F933" s="28" t="str">
        <f aca="false">IF(A933="","",COUNTIF(Trabalhos!$C$2:$C$1001,A933))</f>
        <v/>
      </c>
      <c r="G933" s="26" t="str">
        <f aca="false">IF(A933="","",SUMIFS(Trabalhos!$G$2:$G$1001,Trabalhos!$C$2:$C$1001,A933))</f>
        <v/>
      </c>
      <c r="H933" s="24"/>
    </row>
    <row r="934" customFormat="false" ht="15" hidden="false" customHeight="false" outlineLevel="0" collapsed="false">
      <c r="A934" s="24"/>
      <c r="B934" s="24"/>
      <c r="C934" s="24"/>
      <c r="D934" s="24"/>
      <c r="E934" s="24"/>
      <c r="F934" s="28" t="str">
        <f aca="false">IF(A934="","",COUNTIF(Trabalhos!$C$2:$C$1001,A934))</f>
        <v/>
      </c>
      <c r="G934" s="26" t="str">
        <f aca="false">IF(A934="","",SUMIFS(Trabalhos!$G$2:$G$1001,Trabalhos!$C$2:$C$1001,A934))</f>
        <v/>
      </c>
      <c r="H934" s="24"/>
    </row>
    <row r="935" customFormat="false" ht="15" hidden="false" customHeight="false" outlineLevel="0" collapsed="false">
      <c r="A935" s="24"/>
      <c r="B935" s="24"/>
      <c r="C935" s="24"/>
      <c r="D935" s="24"/>
      <c r="E935" s="24"/>
      <c r="F935" s="28" t="str">
        <f aca="false">IF(A935="","",COUNTIF(Trabalhos!$C$2:$C$1001,A935))</f>
        <v/>
      </c>
      <c r="G935" s="26" t="str">
        <f aca="false">IF(A935="","",SUMIFS(Trabalhos!$G$2:$G$1001,Trabalhos!$C$2:$C$1001,A935))</f>
        <v/>
      </c>
      <c r="H935" s="24"/>
    </row>
    <row r="936" customFormat="false" ht="15" hidden="false" customHeight="false" outlineLevel="0" collapsed="false">
      <c r="A936" s="24"/>
      <c r="B936" s="24"/>
      <c r="C936" s="24"/>
      <c r="D936" s="24"/>
      <c r="E936" s="24"/>
      <c r="F936" s="28" t="str">
        <f aca="false">IF(A936="","",COUNTIF(Trabalhos!$C$2:$C$1001,A936))</f>
        <v/>
      </c>
      <c r="G936" s="26" t="str">
        <f aca="false">IF(A936="","",SUMIFS(Trabalhos!$G$2:$G$1001,Trabalhos!$C$2:$C$1001,A936))</f>
        <v/>
      </c>
      <c r="H936" s="24"/>
    </row>
    <row r="937" customFormat="false" ht="15" hidden="false" customHeight="false" outlineLevel="0" collapsed="false">
      <c r="A937" s="24"/>
      <c r="B937" s="24"/>
      <c r="C937" s="24"/>
      <c r="D937" s="24"/>
      <c r="E937" s="24"/>
      <c r="F937" s="28" t="str">
        <f aca="false">IF(A937="","",COUNTIF(Trabalhos!$C$2:$C$1001,A937))</f>
        <v/>
      </c>
      <c r="G937" s="26" t="str">
        <f aca="false">IF(A937="","",SUMIFS(Trabalhos!$G$2:$G$1001,Trabalhos!$C$2:$C$1001,A937))</f>
        <v/>
      </c>
      <c r="H937" s="24"/>
    </row>
    <row r="938" customFormat="false" ht="15" hidden="false" customHeight="false" outlineLevel="0" collapsed="false">
      <c r="A938" s="24"/>
      <c r="B938" s="24"/>
      <c r="C938" s="24"/>
      <c r="D938" s="24"/>
      <c r="E938" s="24"/>
      <c r="F938" s="28" t="str">
        <f aca="false">IF(A938="","",COUNTIF(Trabalhos!$C$2:$C$1001,A938))</f>
        <v/>
      </c>
      <c r="G938" s="26" t="str">
        <f aca="false">IF(A938="","",SUMIFS(Trabalhos!$G$2:$G$1001,Trabalhos!$C$2:$C$1001,A938))</f>
        <v/>
      </c>
      <c r="H938" s="24"/>
    </row>
    <row r="939" customFormat="false" ht="15" hidden="false" customHeight="false" outlineLevel="0" collapsed="false">
      <c r="A939" s="24"/>
      <c r="B939" s="24"/>
      <c r="C939" s="24"/>
      <c r="D939" s="24"/>
      <c r="E939" s="24"/>
      <c r="F939" s="28" t="str">
        <f aca="false">IF(A939="","",COUNTIF(Trabalhos!$C$2:$C$1001,A939))</f>
        <v/>
      </c>
      <c r="G939" s="26" t="str">
        <f aca="false">IF(A939="","",SUMIFS(Trabalhos!$G$2:$G$1001,Trabalhos!$C$2:$C$1001,A939))</f>
        <v/>
      </c>
      <c r="H939" s="24"/>
    </row>
    <row r="940" customFormat="false" ht="15" hidden="false" customHeight="false" outlineLevel="0" collapsed="false">
      <c r="A940" s="24"/>
      <c r="B940" s="24"/>
      <c r="C940" s="24"/>
      <c r="D940" s="24"/>
      <c r="E940" s="24"/>
      <c r="F940" s="28" t="str">
        <f aca="false">IF(A940="","",COUNTIF(Trabalhos!$C$2:$C$1001,A940))</f>
        <v/>
      </c>
      <c r="G940" s="26" t="str">
        <f aca="false">IF(A940="","",SUMIFS(Trabalhos!$G$2:$G$1001,Trabalhos!$C$2:$C$1001,A940))</f>
        <v/>
      </c>
      <c r="H940" s="24"/>
    </row>
    <row r="941" customFormat="false" ht="15" hidden="false" customHeight="false" outlineLevel="0" collapsed="false">
      <c r="A941" s="24"/>
      <c r="B941" s="24"/>
      <c r="C941" s="24"/>
      <c r="D941" s="24"/>
      <c r="E941" s="24"/>
      <c r="F941" s="28" t="str">
        <f aca="false">IF(A941="","",COUNTIF(Trabalhos!$C$2:$C$1001,A941))</f>
        <v/>
      </c>
      <c r="G941" s="26" t="str">
        <f aca="false">IF(A941="","",SUMIFS(Trabalhos!$G$2:$G$1001,Trabalhos!$C$2:$C$1001,A941))</f>
        <v/>
      </c>
      <c r="H941" s="24"/>
    </row>
    <row r="942" customFormat="false" ht="15" hidden="false" customHeight="false" outlineLevel="0" collapsed="false">
      <c r="A942" s="24"/>
      <c r="B942" s="24"/>
      <c r="C942" s="24"/>
      <c r="D942" s="24"/>
      <c r="E942" s="24"/>
      <c r="F942" s="28" t="str">
        <f aca="false">IF(A942="","",COUNTIF(Trabalhos!$C$2:$C$1001,A942))</f>
        <v/>
      </c>
      <c r="G942" s="26" t="str">
        <f aca="false">IF(A942="","",SUMIFS(Trabalhos!$G$2:$G$1001,Trabalhos!$C$2:$C$1001,A942))</f>
        <v/>
      </c>
      <c r="H942" s="24"/>
    </row>
    <row r="943" customFormat="false" ht="15" hidden="false" customHeight="false" outlineLevel="0" collapsed="false">
      <c r="A943" s="24"/>
      <c r="B943" s="24"/>
      <c r="C943" s="24"/>
      <c r="D943" s="24"/>
      <c r="E943" s="24"/>
      <c r="F943" s="28" t="str">
        <f aca="false">IF(A943="","",COUNTIF(Trabalhos!$C$2:$C$1001,A943))</f>
        <v/>
      </c>
      <c r="G943" s="26" t="str">
        <f aca="false">IF(A943="","",SUMIFS(Trabalhos!$G$2:$G$1001,Trabalhos!$C$2:$C$1001,A943))</f>
        <v/>
      </c>
      <c r="H943" s="24"/>
    </row>
    <row r="944" customFormat="false" ht="15" hidden="false" customHeight="false" outlineLevel="0" collapsed="false">
      <c r="A944" s="24"/>
      <c r="B944" s="24"/>
      <c r="C944" s="24"/>
      <c r="D944" s="24"/>
      <c r="E944" s="24"/>
      <c r="F944" s="28" t="str">
        <f aca="false">IF(A944="","",COUNTIF(Trabalhos!$C$2:$C$1001,A944))</f>
        <v/>
      </c>
      <c r="G944" s="26" t="str">
        <f aca="false">IF(A944="","",SUMIFS(Trabalhos!$G$2:$G$1001,Trabalhos!$C$2:$C$1001,A944))</f>
        <v/>
      </c>
      <c r="H944" s="24"/>
    </row>
    <row r="945" customFormat="false" ht="15" hidden="false" customHeight="false" outlineLevel="0" collapsed="false">
      <c r="A945" s="24"/>
      <c r="B945" s="24"/>
      <c r="C945" s="24"/>
      <c r="D945" s="24"/>
      <c r="E945" s="24"/>
      <c r="F945" s="28" t="str">
        <f aca="false">IF(A945="","",COUNTIF(Trabalhos!$C$2:$C$1001,A945))</f>
        <v/>
      </c>
      <c r="G945" s="26" t="str">
        <f aca="false">IF(A945="","",SUMIFS(Trabalhos!$G$2:$G$1001,Trabalhos!$C$2:$C$1001,A945))</f>
        <v/>
      </c>
      <c r="H945" s="24"/>
    </row>
    <row r="946" customFormat="false" ht="15" hidden="false" customHeight="false" outlineLevel="0" collapsed="false">
      <c r="A946" s="24"/>
      <c r="B946" s="24"/>
      <c r="C946" s="24"/>
      <c r="D946" s="24"/>
      <c r="E946" s="24"/>
      <c r="F946" s="28" t="str">
        <f aca="false">IF(A946="","",COUNTIF(Trabalhos!$C$2:$C$1001,A946))</f>
        <v/>
      </c>
      <c r="G946" s="26" t="str">
        <f aca="false">IF(A946="","",SUMIFS(Trabalhos!$G$2:$G$1001,Trabalhos!$C$2:$C$1001,A946))</f>
        <v/>
      </c>
      <c r="H946" s="24"/>
    </row>
    <row r="947" customFormat="false" ht="15" hidden="false" customHeight="false" outlineLevel="0" collapsed="false">
      <c r="A947" s="24"/>
      <c r="B947" s="24"/>
      <c r="C947" s="24"/>
      <c r="D947" s="24"/>
      <c r="E947" s="24"/>
      <c r="F947" s="28" t="str">
        <f aca="false">IF(A947="","",COUNTIF(Trabalhos!$C$2:$C$1001,A947))</f>
        <v/>
      </c>
      <c r="G947" s="26" t="str">
        <f aca="false">IF(A947="","",SUMIFS(Trabalhos!$G$2:$G$1001,Trabalhos!$C$2:$C$1001,A947))</f>
        <v/>
      </c>
      <c r="H947" s="24"/>
    </row>
    <row r="948" customFormat="false" ht="15" hidden="false" customHeight="false" outlineLevel="0" collapsed="false">
      <c r="A948" s="24"/>
      <c r="B948" s="24"/>
      <c r="C948" s="24"/>
      <c r="D948" s="24"/>
      <c r="E948" s="24"/>
      <c r="F948" s="28" t="str">
        <f aca="false">IF(A948="","",COUNTIF(Trabalhos!$C$2:$C$1001,A948))</f>
        <v/>
      </c>
      <c r="G948" s="26" t="str">
        <f aca="false">IF(A948="","",SUMIFS(Trabalhos!$G$2:$G$1001,Trabalhos!$C$2:$C$1001,A948))</f>
        <v/>
      </c>
      <c r="H948" s="24"/>
    </row>
    <row r="949" customFormat="false" ht="15" hidden="false" customHeight="false" outlineLevel="0" collapsed="false">
      <c r="A949" s="24"/>
      <c r="B949" s="24"/>
      <c r="C949" s="24"/>
      <c r="D949" s="24"/>
      <c r="E949" s="24"/>
      <c r="F949" s="28" t="str">
        <f aca="false">IF(A949="","",COUNTIF(Trabalhos!$C$2:$C$1001,A949))</f>
        <v/>
      </c>
      <c r="G949" s="26" t="str">
        <f aca="false">IF(A949="","",SUMIFS(Trabalhos!$G$2:$G$1001,Trabalhos!$C$2:$C$1001,A949))</f>
        <v/>
      </c>
      <c r="H949" s="24"/>
    </row>
    <row r="950" customFormat="false" ht="15" hidden="false" customHeight="false" outlineLevel="0" collapsed="false">
      <c r="A950" s="24"/>
      <c r="B950" s="24"/>
      <c r="C950" s="24"/>
      <c r="D950" s="24"/>
      <c r="E950" s="24"/>
      <c r="F950" s="28" t="str">
        <f aca="false">IF(A950="","",COUNTIF(Trabalhos!$C$2:$C$1001,A950))</f>
        <v/>
      </c>
      <c r="G950" s="26" t="str">
        <f aca="false">IF(A950="","",SUMIFS(Trabalhos!$G$2:$G$1001,Trabalhos!$C$2:$C$1001,A950))</f>
        <v/>
      </c>
      <c r="H950" s="24"/>
    </row>
    <row r="951" customFormat="false" ht="15" hidden="false" customHeight="false" outlineLevel="0" collapsed="false">
      <c r="A951" s="24"/>
      <c r="B951" s="24"/>
      <c r="C951" s="24"/>
      <c r="D951" s="24"/>
      <c r="E951" s="24"/>
      <c r="F951" s="28" t="str">
        <f aca="false">IF(A951="","",COUNTIF(Trabalhos!$C$2:$C$1001,A951))</f>
        <v/>
      </c>
      <c r="G951" s="26" t="str">
        <f aca="false">IF(A951="","",SUMIFS(Trabalhos!$G$2:$G$1001,Trabalhos!$C$2:$C$1001,A951))</f>
        <v/>
      </c>
      <c r="H951" s="24"/>
    </row>
    <row r="952" customFormat="false" ht="15" hidden="false" customHeight="false" outlineLevel="0" collapsed="false">
      <c r="A952" s="24"/>
      <c r="B952" s="24"/>
      <c r="C952" s="24"/>
      <c r="D952" s="24"/>
      <c r="E952" s="24"/>
      <c r="F952" s="28" t="str">
        <f aca="false">IF(A952="","",COUNTIF(Trabalhos!$C$2:$C$1001,A952))</f>
        <v/>
      </c>
      <c r="G952" s="26" t="str">
        <f aca="false">IF(A952="","",SUMIFS(Trabalhos!$G$2:$G$1001,Trabalhos!$C$2:$C$1001,A952))</f>
        <v/>
      </c>
      <c r="H952" s="24"/>
    </row>
    <row r="953" customFormat="false" ht="15" hidden="false" customHeight="false" outlineLevel="0" collapsed="false">
      <c r="A953" s="24"/>
      <c r="B953" s="24"/>
      <c r="C953" s="24"/>
      <c r="D953" s="24"/>
      <c r="E953" s="24"/>
      <c r="F953" s="28" t="str">
        <f aca="false">IF(A953="","",COUNTIF(Trabalhos!$C$2:$C$1001,A953))</f>
        <v/>
      </c>
      <c r="G953" s="26" t="str">
        <f aca="false">IF(A953="","",SUMIFS(Trabalhos!$G$2:$G$1001,Trabalhos!$C$2:$C$1001,A953))</f>
        <v/>
      </c>
      <c r="H953" s="24"/>
    </row>
    <row r="954" customFormat="false" ht="15" hidden="false" customHeight="false" outlineLevel="0" collapsed="false">
      <c r="A954" s="24"/>
      <c r="B954" s="24"/>
      <c r="C954" s="24"/>
      <c r="D954" s="24"/>
      <c r="E954" s="24"/>
      <c r="F954" s="28" t="str">
        <f aca="false">IF(A954="","",COUNTIF(Trabalhos!$C$2:$C$1001,A954))</f>
        <v/>
      </c>
      <c r="G954" s="26" t="str">
        <f aca="false">IF(A954="","",SUMIFS(Trabalhos!$G$2:$G$1001,Trabalhos!$C$2:$C$1001,A954))</f>
        <v/>
      </c>
      <c r="H954" s="24"/>
    </row>
    <row r="955" customFormat="false" ht="15" hidden="false" customHeight="false" outlineLevel="0" collapsed="false">
      <c r="A955" s="24"/>
      <c r="B955" s="24"/>
      <c r="C955" s="24"/>
      <c r="D955" s="24"/>
      <c r="E955" s="24"/>
      <c r="F955" s="28" t="str">
        <f aca="false">IF(A955="","",COUNTIF(Trabalhos!$C$2:$C$1001,A955))</f>
        <v/>
      </c>
      <c r="G955" s="26" t="str">
        <f aca="false">IF(A955="","",SUMIFS(Trabalhos!$G$2:$G$1001,Trabalhos!$C$2:$C$1001,A955))</f>
        <v/>
      </c>
      <c r="H955" s="24"/>
    </row>
    <row r="956" customFormat="false" ht="15" hidden="false" customHeight="false" outlineLevel="0" collapsed="false">
      <c r="A956" s="24"/>
      <c r="B956" s="24"/>
      <c r="C956" s="24"/>
      <c r="D956" s="24"/>
      <c r="E956" s="24"/>
      <c r="F956" s="28" t="str">
        <f aca="false">IF(A956="","",COUNTIF(Trabalhos!$C$2:$C$1001,A956))</f>
        <v/>
      </c>
      <c r="G956" s="26" t="str">
        <f aca="false">IF(A956="","",SUMIFS(Trabalhos!$G$2:$G$1001,Trabalhos!$C$2:$C$1001,A956))</f>
        <v/>
      </c>
      <c r="H956" s="24"/>
    </row>
    <row r="957" customFormat="false" ht="15" hidden="false" customHeight="false" outlineLevel="0" collapsed="false">
      <c r="A957" s="24"/>
      <c r="B957" s="24"/>
      <c r="C957" s="24"/>
      <c r="D957" s="24"/>
      <c r="E957" s="24"/>
      <c r="F957" s="28" t="str">
        <f aca="false">IF(A957="","",COUNTIF(Trabalhos!$C$2:$C$1001,A957))</f>
        <v/>
      </c>
      <c r="G957" s="26" t="str">
        <f aca="false">IF(A957="","",SUMIFS(Trabalhos!$G$2:$G$1001,Trabalhos!$C$2:$C$1001,A957))</f>
        <v/>
      </c>
      <c r="H957" s="24"/>
    </row>
    <row r="958" customFormat="false" ht="15" hidden="false" customHeight="false" outlineLevel="0" collapsed="false">
      <c r="A958" s="24"/>
      <c r="B958" s="24"/>
      <c r="C958" s="24"/>
      <c r="D958" s="24"/>
      <c r="E958" s="24"/>
      <c r="F958" s="28" t="str">
        <f aca="false">IF(A958="","",COUNTIF(Trabalhos!$C$2:$C$1001,A958))</f>
        <v/>
      </c>
      <c r="G958" s="26" t="str">
        <f aca="false">IF(A958="","",SUMIFS(Trabalhos!$G$2:$G$1001,Trabalhos!$C$2:$C$1001,A958))</f>
        <v/>
      </c>
      <c r="H958" s="24"/>
    </row>
    <row r="959" customFormat="false" ht="15" hidden="false" customHeight="false" outlineLevel="0" collapsed="false">
      <c r="A959" s="24"/>
      <c r="B959" s="24"/>
      <c r="C959" s="24"/>
      <c r="D959" s="24"/>
      <c r="E959" s="24"/>
      <c r="F959" s="28" t="str">
        <f aca="false">IF(A959="","",COUNTIF(Trabalhos!$C$2:$C$1001,A959))</f>
        <v/>
      </c>
      <c r="G959" s="26" t="str">
        <f aca="false">IF(A959="","",SUMIFS(Trabalhos!$G$2:$G$1001,Trabalhos!$C$2:$C$1001,A959))</f>
        <v/>
      </c>
      <c r="H959" s="24"/>
    </row>
    <row r="960" customFormat="false" ht="15" hidden="false" customHeight="false" outlineLevel="0" collapsed="false">
      <c r="A960" s="24"/>
      <c r="B960" s="24"/>
      <c r="C960" s="24"/>
      <c r="D960" s="24"/>
      <c r="E960" s="24"/>
      <c r="F960" s="28" t="str">
        <f aca="false">IF(A960="","",COUNTIF(Trabalhos!$C$2:$C$1001,A960))</f>
        <v/>
      </c>
      <c r="G960" s="26" t="str">
        <f aca="false">IF(A960="","",SUMIFS(Trabalhos!$G$2:$G$1001,Trabalhos!$C$2:$C$1001,A960))</f>
        <v/>
      </c>
      <c r="H960" s="24"/>
    </row>
    <row r="961" customFormat="false" ht="15" hidden="false" customHeight="false" outlineLevel="0" collapsed="false">
      <c r="A961" s="24"/>
      <c r="B961" s="24"/>
      <c r="C961" s="24"/>
      <c r="D961" s="24"/>
      <c r="E961" s="24"/>
      <c r="F961" s="28" t="str">
        <f aca="false">IF(A961="","",COUNTIF(Trabalhos!$C$2:$C$1001,A961))</f>
        <v/>
      </c>
      <c r="G961" s="26" t="str">
        <f aca="false">IF(A961="","",SUMIFS(Trabalhos!$G$2:$G$1001,Trabalhos!$C$2:$C$1001,A961))</f>
        <v/>
      </c>
      <c r="H961" s="24"/>
    </row>
    <row r="962" customFormat="false" ht="15" hidden="false" customHeight="false" outlineLevel="0" collapsed="false">
      <c r="A962" s="24"/>
      <c r="B962" s="24"/>
      <c r="C962" s="24"/>
      <c r="D962" s="24"/>
      <c r="E962" s="24"/>
      <c r="F962" s="28" t="str">
        <f aca="false">IF(A962="","",COUNTIF(Trabalhos!$C$2:$C$1001,A962))</f>
        <v/>
      </c>
      <c r="G962" s="26" t="str">
        <f aca="false">IF(A962="","",SUMIFS(Trabalhos!$G$2:$G$1001,Trabalhos!$C$2:$C$1001,A962))</f>
        <v/>
      </c>
      <c r="H962" s="24"/>
    </row>
    <row r="963" customFormat="false" ht="15" hidden="false" customHeight="false" outlineLevel="0" collapsed="false">
      <c r="A963" s="24"/>
      <c r="B963" s="24"/>
      <c r="C963" s="24"/>
      <c r="D963" s="24"/>
      <c r="E963" s="24"/>
      <c r="F963" s="28" t="str">
        <f aca="false">IF(A963="","",COUNTIF(Trabalhos!$C$2:$C$1001,A963))</f>
        <v/>
      </c>
      <c r="G963" s="26" t="str">
        <f aca="false">IF(A963="","",SUMIFS(Trabalhos!$G$2:$G$1001,Trabalhos!$C$2:$C$1001,A963))</f>
        <v/>
      </c>
      <c r="H963" s="24"/>
    </row>
    <row r="964" customFormat="false" ht="15" hidden="false" customHeight="false" outlineLevel="0" collapsed="false">
      <c r="A964" s="24"/>
      <c r="B964" s="24"/>
      <c r="C964" s="24"/>
      <c r="D964" s="24"/>
      <c r="E964" s="24"/>
      <c r="F964" s="28" t="str">
        <f aca="false">IF(A964="","",COUNTIF(Trabalhos!$C$2:$C$1001,A964))</f>
        <v/>
      </c>
      <c r="G964" s="26" t="str">
        <f aca="false">IF(A964="","",SUMIFS(Trabalhos!$G$2:$G$1001,Trabalhos!$C$2:$C$1001,A964))</f>
        <v/>
      </c>
      <c r="H964" s="24"/>
    </row>
    <row r="965" customFormat="false" ht="15" hidden="false" customHeight="false" outlineLevel="0" collapsed="false">
      <c r="A965" s="24"/>
      <c r="B965" s="24"/>
      <c r="C965" s="24"/>
      <c r="D965" s="24"/>
      <c r="E965" s="24"/>
      <c r="F965" s="28" t="str">
        <f aca="false">IF(A965="","",COUNTIF(Trabalhos!$C$2:$C$1001,A965))</f>
        <v/>
      </c>
      <c r="G965" s="26" t="str">
        <f aca="false">IF(A965="","",SUMIFS(Trabalhos!$G$2:$G$1001,Trabalhos!$C$2:$C$1001,A965))</f>
        <v/>
      </c>
      <c r="H965" s="24"/>
    </row>
    <row r="966" customFormat="false" ht="15" hidden="false" customHeight="false" outlineLevel="0" collapsed="false">
      <c r="A966" s="24"/>
      <c r="B966" s="24"/>
      <c r="C966" s="24"/>
      <c r="D966" s="24"/>
      <c r="E966" s="24"/>
      <c r="F966" s="28" t="str">
        <f aca="false">IF(A966="","",COUNTIF(Trabalhos!$C$2:$C$1001,A966))</f>
        <v/>
      </c>
      <c r="G966" s="26" t="str">
        <f aca="false">IF(A966="","",SUMIFS(Trabalhos!$G$2:$G$1001,Trabalhos!$C$2:$C$1001,A966))</f>
        <v/>
      </c>
      <c r="H966" s="24"/>
    </row>
    <row r="967" customFormat="false" ht="15" hidden="false" customHeight="false" outlineLevel="0" collapsed="false">
      <c r="A967" s="24"/>
      <c r="B967" s="24"/>
      <c r="C967" s="24"/>
      <c r="D967" s="24"/>
      <c r="E967" s="24"/>
      <c r="F967" s="28" t="str">
        <f aca="false">IF(A967="","",COUNTIF(Trabalhos!$C$2:$C$1001,A967))</f>
        <v/>
      </c>
      <c r="G967" s="26" t="str">
        <f aca="false">IF(A967="","",SUMIFS(Trabalhos!$G$2:$G$1001,Trabalhos!$C$2:$C$1001,A967))</f>
        <v/>
      </c>
      <c r="H967" s="24"/>
    </row>
    <row r="968" customFormat="false" ht="15" hidden="false" customHeight="false" outlineLevel="0" collapsed="false">
      <c r="A968" s="24"/>
      <c r="B968" s="24"/>
      <c r="C968" s="24"/>
      <c r="D968" s="24"/>
      <c r="E968" s="24"/>
      <c r="F968" s="28" t="str">
        <f aca="false">IF(A968="","",COUNTIF(Trabalhos!$C$2:$C$1001,A968))</f>
        <v/>
      </c>
      <c r="G968" s="26" t="str">
        <f aca="false">IF(A968="","",SUMIFS(Trabalhos!$G$2:$G$1001,Trabalhos!$C$2:$C$1001,A968))</f>
        <v/>
      </c>
      <c r="H968" s="24"/>
    </row>
    <row r="969" customFormat="false" ht="15" hidden="false" customHeight="false" outlineLevel="0" collapsed="false">
      <c r="A969" s="24"/>
      <c r="B969" s="24"/>
      <c r="C969" s="24"/>
      <c r="D969" s="24"/>
      <c r="E969" s="24"/>
      <c r="F969" s="28" t="str">
        <f aca="false">IF(A969="","",COUNTIF(Trabalhos!$C$2:$C$1001,A969))</f>
        <v/>
      </c>
      <c r="G969" s="26" t="str">
        <f aca="false">IF(A969="","",SUMIFS(Trabalhos!$G$2:$G$1001,Trabalhos!$C$2:$C$1001,A969))</f>
        <v/>
      </c>
      <c r="H969" s="24"/>
    </row>
    <row r="970" customFormat="false" ht="15" hidden="false" customHeight="false" outlineLevel="0" collapsed="false">
      <c r="A970" s="24"/>
      <c r="B970" s="24"/>
      <c r="C970" s="24"/>
      <c r="D970" s="24"/>
      <c r="E970" s="24"/>
      <c r="F970" s="28" t="str">
        <f aca="false">IF(A970="","",COUNTIF(Trabalhos!$C$2:$C$1001,A970))</f>
        <v/>
      </c>
      <c r="G970" s="26" t="str">
        <f aca="false">IF(A970="","",SUMIFS(Trabalhos!$G$2:$G$1001,Trabalhos!$C$2:$C$1001,A970))</f>
        <v/>
      </c>
      <c r="H970" s="24"/>
    </row>
    <row r="971" customFormat="false" ht="15" hidden="false" customHeight="false" outlineLevel="0" collapsed="false">
      <c r="A971" s="24"/>
      <c r="B971" s="24"/>
      <c r="C971" s="24"/>
      <c r="D971" s="24"/>
      <c r="E971" s="24"/>
      <c r="F971" s="28" t="str">
        <f aca="false">IF(A971="","",COUNTIF(Trabalhos!$C$2:$C$1001,A971))</f>
        <v/>
      </c>
      <c r="G971" s="26" t="str">
        <f aca="false">IF(A971="","",SUMIFS(Trabalhos!$G$2:$G$1001,Trabalhos!$C$2:$C$1001,A971))</f>
        <v/>
      </c>
      <c r="H971" s="24"/>
    </row>
    <row r="972" customFormat="false" ht="15" hidden="false" customHeight="false" outlineLevel="0" collapsed="false">
      <c r="A972" s="24"/>
      <c r="B972" s="24"/>
      <c r="C972" s="24"/>
      <c r="D972" s="24"/>
      <c r="E972" s="24"/>
      <c r="F972" s="28" t="str">
        <f aca="false">IF(A972="","",COUNTIF(Trabalhos!$C$2:$C$1001,A972))</f>
        <v/>
      </c>
      <c r="G972" s="26" t="str">
        <f aca="false">IF(A972="","",SUMIFS(Trabalhos!$G$2:$G$1001,Trabalhos!$C$2:$C$1001,A972))</f>
        <v/>
      </c>
      <c r="H972" s="24"/>
    </row>
    <row r="973" customFormat="false" ht="15" hidden="false" customHeight="false" outlineLevel="0" collapsed="false">
      <c r="A973" s="24"/>
      <c r="B973" s="24"/>
      <c r="C973" s="24"/>
      <c r="D973" s="24"/>
      <c r="E973" s="24"/>
      <c r="F973" s="28" t="str">
        <f aca="false">IF(A973="","",COUNTIF(Trabalhos!$C$2:$C$1001,A973))</f>
        <v/>
      </c>
      <c r="G973" s="26" t="str">
        <f aca="false">IF(A973="","",SUMIFS(Trabalhos!$G$2:$G$1001,Trabalhos!$C$2:$C$1001,A973))</f>
        <v/>
      </c>
      <c r="H973" s="24"/>
    </row>
    <row r="974" customFormat="false" ht="15" hidden="false" customHeight="false" outlineLevel="0" collapsed="false">
      <c r="A974" s="24"/>
      <c r="B974" s="24"/>
      <c r="C974" s="24"/>
      <c r="D974" s="24"/>
      <c r="E974" s="24"/>
      <c r="F974" s="28" t="str">
        <f aca="false">IF(A974="","",COUNTIF(Trabalhos!$C$2:$C$1001,A974))</f>
        <v/>
      </c>
      <c r="G974" s="26" t="str">
        <f aca="false">IF(A974="","",SUMIFS(Trabalhos!$G$2:$G$1001,Trabalhos!$C$2:$C$1001,A974))</f>
        <v/>
      </c>
      <c r="H974" s="24"/>
    </row>
    <row r="975" customFormat="false" ht="15" hidden="false" customHeight="false" outlineLevel="0" collapsed="false">
      <c r="A975" s="24"/>
      <c r="B975" s="24"/>
      <c r="C975" s="24"/>
      <c r="D975" s="24"/>
      <c r="E975" s="24"/>
      <c r="F975" s="28" t="str">
        <f aca="false">IF(A975="","",COUNTIF(Trabalhos!$C$2:$C$1001,A975))</f>
        <v/>
      </c>
      <c r="G975" s="26" t="str">
        <f aca="false">IF(A975="","",SUMIFS(Trabalhos!$G$2:$G$1001,Trabalhos!$C$2:$C$1001,A975))</f>
        <v/>
      </c>
      <c r="H975" s="24"/>
    </row>
    <row r="976" customFormat="false" ht="15" hidden="false" customHeight="false" outlineLevel="0" collapsed="false">
      <c r="A976" s="24"/>
      <c r="B976" s="24"/>
      <c r="C976" s="24"/>
      <c r="D976" s="24"/>
      <c r="E976" s="24"/>
      <c r="F976" s="28" t="str">
        <f aca="false">IF(A976="","",COUNTIF(Trabalhos!$C$2:$C$1001,A976))</f>
        <v/>
      </c>
      <c r="G976" s="26" t="str">
        <f aca="false">IF(A976="","",SUMIFS(Trabalhos!$G$2:$G$1001,Trabalhos!$C$2:$C$1001,A976))</f>
        <v/>
      </c>
      <c r="H976" s="24"/>
    </row>
    <row r="977" customFormat="false" ht="15" hidden="false" customHeight="false" outlineLevel="0" collapsed="false">
      <c r="A977" s="24"/>
      <c r="B977" s="24"/>
      <c r="C977" s="24"/>
      <c r="D977" s="24"/>
      <c r="E977" s="24"/>
      <c r="F977" s="28" t="str">
        <f aca="false">IF(A977="","",COUNTIF(Trabalhos!$C$2:$C$1001,A977))</f>
        <v/>
      </c>
      <c r="G977" s="26" t="str">
        <f aca="false">IF(A977="","",SUMIFS(Trabalhos!$G$2:$G$1001,Trabalhos!$C$2:$C$1001,A977))</f>
        <v/>
      </c>
      <c r="H977" s="24"/>
    </row>
    <row r="978" customFormat="false" ht="15" hidden="false" customHeight="false" outlineLevel="0" collapsed="false">
      <c r="A978" s="24"/>
      <c r="B978" s="24"/>
      <c r="C978" s="24"/>
      <c r="D978" s="24"/>
      <c r="E978" s="24"/>
      <c r="F978" s="28" t="str">
        <f aca="false">IF(A978="","",COUNTIF(Trabalhos!$C$2:$C$1001,A978))</f>
        <v/>
      </c>
      <c r="G978" s="26" t="str">
        <f aca="false">IF(A978="","",SUMIFS(Trabalhos!$G$2:$G$1001,Trabalhos!$C$2:$C$1001,A978))</f>
        <v/>
      </c>
      <c r="H978" s="24"/>
    </row>
    <row r="979" customFormat="false" ht="15" hidden="false" customHeight="false" outlineLevel="0" collapsed="false">
      <c r="A979" s="24"/>
      <c r="B979" s="24"/>
      <c r="C979" s="24"/>
      <c r="D979" s="24"/>
      <c r="E979" s="24"/>
      <c r="F979" s="28" t="str">
        <f aca="false">IF(A979="","",COUNTIF(Trabalhos!$C$2:$C$1001,A979))</f>
        <v/>
      </c>
      <c r="G979" s="26" t="str">
        <f aca="false">IF(A979="","",SUMIFS(Trabalhos!$G$2:$G$1001,Trabalhos!$C$2:$C$1001,A979))</f>
        <v/>
      </c>
      <c r="H979" s="24"/>
    </row>
    <row r="980" customFormat="false" ht="15" hidden="false" customHeight="false" outlineLevel="0" collapsed="false">
      <c r="A980" s="24"/>
      <c r="B980" s="24"/>
      <c r="C980" s="24"/>
      <c r="D980" s="24"/>
      <c r="E980" s="24"/>
      <c r="F980" s="28" t="str">
        <f aca="false">IF(A980="","",COUNTIF(Trabalhos!$C$2:$C$1001,A980))</f>
        <v/>
      </c>
      <c r="G980" s="26" t="str">
        <f aca="false">IF(A980="","",SUMIFS(Trabalhos!$G$2:$G$1001,Trabalhos!$C$2:$C$1001,A980))</f>
        <v/>
      </c>
      <c r="H980" s="24"/>
    </row>
    <row r="981" customFormat="false" ht="15" hidden="false" customHeight="false" outlineLevel="0" collapsed="false">
      <c r="A981" s="24"/>
      <c r="B981" s="24"/>
      <c r="C981" s="24"/>
      <c r="D981" s="24"/>
      <c r="E981" s="24"/>
      <c r="F981" s="28" t="str">
        <f aca="false">IF(A981="","",COUNTIF(Trabalhos!$C$2:$C$1001,A981))</f>
        <v/>
      </c>
      <c r="G981" s="26" t="str">
        <f aca="false">IF(A981="","",SUMIFS(Trabalhos!$G$2:$G$1001,Trabalhos!$C$2:$C$1001,A981))</f>
        <v/>
      </c>
      <c r="H981" s="24"/>
    </row>
    <row r="982" customFormat="false" ht="15" hidden="false" customHeight="false" outlineLevel="0" collapsed="false">
      <c r="A982" s="24"/>
      <c r="B982" s="24"/>
      <c r="C982" s="24"/>
      <c r="D982" s="24"/>
      <c r="E982" s="24"/>
      <c r="F982" s="28" t="str">
        <f aca="false">IF(A982="","",COUNTIF(Trabalhos!$C$2:$C$1001,A982))</f>
        <v/>
      </c>
      <c r="G982" s="26" t="str">
        <f aca="false">IF(A982="","",SUMIFS(Trabalhos!$G$2:$G$1001,Trabalhos!$C$2:$C$1001,A982))</f>
        <v/>
      </c>
      <c r="H982" s="24"/>
    </row>
    <row r="983" customFormat="false" ht="15" hidden="false" customHeight="false" outlineLevel="0" collapsed="false">
      <c r="A983" s="24"/>
      <c r="B983" s="24"/>
      <c r="C983" s="24"/>
      <c r="D983" s="24"/>
      <c r="E983" s="24"/>
      <c r="F983" s="28" t="str">
        <f aca="false">IF(A983="","",COUNTIF(Trabalhos!$C$2:$C$1001,A983))</f>
        <v/>
      </c>
      <c r="G983" s="26" t="str">
        <f aca="false">IF(A983="","",SUMIFS(Trabalhos!$G$2:$G$1001,Trabalhos!$C$2:$C$1001,A983))</f>
        <v/>
      </c>
      <c r="H983" s="24"/>
    </row>
    <row r="984" customFormat="false" ht="15" hidden="false" customHeight="false" outlineLevel="0" collapsed="false">
      <c r="A984" s="24"/>
      <c r="B984" s="24"/>
      <c r="C984" s="24"/>
      <c r="D984" s="24"/>
      <c r="E984" s="24"/>
      <c r="F984" s="28" t="str">
        <f aca="false">IF(A984="","",COUNTIF(Trabalhos!$C$2:$C$1001,A984))</f>
        <v/>
      </c>
      <c r="G984" s="26" t="str">
        <f aca="false">IF(A984="","",SUMIFS(Trabalhos!$G$2:$G$1001,Trabalhos!$C$2:$C$1001,A984))</f>
        <v/>
      </c>
      <c r="H984" s="24"/>
    </row>
    <row r="985" customFormat="false" ht="15" hidden="false" customHeight="false" outlineLevel="0" collapsed="false">
      <c r="A985" s="24"/>
      <c r="B985" s="24"/>
      <c r="C985" s="24"/>
      <c r="D985" s="24"/>
      <c r="E985" s="24"/>
      <c r="F985" s="28" t="str">
        <f aca="false">IF(A985="","",COUNTIF(Trabalhos!$C$2:$C$1001,A985))</f>
        <v/>
      </c>
      <c r="G985" s="26" t="str">
        <f aca="false">IF(A985="","",SUMIFS(Trabalhos!$G$2:$G$1001,Trabalhos!$C$2:$C$1001,A985))</f>
        <v/>
      </c>
      <c r="H985" s="24"/>
    </row>
    <row r="986" customFormat="false" ht="15" hidden="false" customHeight="false" outlineLevel="0" collapsed="false">
      <c r="A986" s="24"/>
      <c r="B986" s="24"/>
      <c r="C986" s="24"/>
      <c r="D986" s="24"/>
      <c r="E986" s="24"/>
      <c r="F986" s="28" t="str">
        <f aca="false">IF(A986="","",COUNTIF(Trabalhos!$C$2:$C$1001,A986))</f>
        <v/>
      </c>
      <c r="G986" s="26" t="str">
        <f aca="false">IF(A986="","",SUMIFS(Trabalhos!$G$2:$G$1001,Trabalhos!$C$2:$C$1001,A986))</f>
        <v/>
      </c>
      <c r="H986" s="24"/>
    </row>
    <row r="987" customFormat="false" ht="15" hidden="false" customHeight="false" outlineLevel="0" collapsed="false">
      <c r="A987" s="24"/>
      <c r="B987" s="24"/>
      <c r="C987" s="24"/>
      <c r="D987" s="24"/>
      <c r="E987" s="24"/>
      <c r="F987" s="28" t="str">
        <f aca="false">IF(A987="","",COUNTIF(Trabalhos!$C$2:$C$1001,A987))</f>
        <v/>
      </c>
      <c r="G987" s="26" t="str">
        <f aca="false">IF(A987="","",SUMIFS(Trabalhos!$G$2:$G$1001,Trabalhos!$C$2:$C$1001,A987))</f>
        <v/>
      </c>
      <c r="H987" s="24"/>
    </row>
    <row r="988" customFormat="false" ht="15" hidden="false" customHeight="false" outlineLevel="0" collapsed="false">
      <c r="A988" s="24"/>
      <c r="B988" s="24"/>
      <c r="C988" s="24"/>
      <c r="D988" s="24"/>
      <c r="E988" s="24"/>
      <c r="F988" s="28" t="str">
        <f aca="false">IF(A988="","",COUNTIF(Trabalhos!$C$2:$C$1001,A988))</f>
        <v/>
      </c>
      <c r="G988" s="26" t="str">
        <f aca="false">IF(A988="","",SUMIFS(Trabalhos!$G$2:$G$1001,Trabalhos!$C$2:$C$1001,A988))</f>
        <v/>
      </c>
      <c r="H988" s="24"/>
    </row>
    <row r="989" customFormat="false" ht="15" hidden="false" customHeight="false" outlineLevel="0" collapsed="false">
      <c r="A989" s="24"/>
      <c r="B989" s="24"/>
      <c r="C989" s="24"/>
      <c r="D989" s="24"/>
      <c r="E989" s="24"/>
      <c r="F989" s="28" t="str">
        <f aca="false">IF(A989="","",COUNTIF(Trabalhos!$C$2:$C$1001,A989))</f>
        <v/>
      </c>
      <c r="G989" s="26" t="str">
        <f aca="false">IF(A989="","",SUMIFS(Trabalhos!$G$2:$G$1001,Trabalhos!$C$2:$C$1001,A989))</f>
        <v/>
      </c>
      <c r="H989" s="24"/>
    </row>
    <row r="990" customFormat="false" ht="15" hidden="false" customHeight="false" outlineLevel="0" collapsed="false">
      <c r="A990" s="24"/>
      <c r="B990" s="24"/>
      <c r="C990" s="24"/>
      <c r="D990" s="24"/>
      <c r="E990" s="24"/>
      <c r="F990" s="28" t="str">
        <f aca="false">IF(A990="","",COUNTIF(Trabalhos!$C$2:$C$1001,A990))</f>
        <v/>
      </c>
      <c r="G990" s="26" t="str">
        <f aca="false">IF(A990="","",SUMIFS(Trabalhos!$G$2:$G$1001,Trabalhos!$C$2:$C$1001,A990))</f>
        <v/>
      </c>
      <c r="H990" s="24"/>
    </row>
    <row r="991" customFormat="false" ht="15" hidden="false" customHeight="false" outlineLevel="0" collapsed="false">
      <c r="A991" s="24"/>
      <c r="B991" s="24"/>
      <c r="C991" s="24"/>
      <c r="D991" s="24"/>
      <c r="E991" s="24"/>
      <c r="F991" s="28" t="str">
        <f aca="false">IF(A991="","",COUNTIF(Trabalhos!$C$2:$C$1001,A991))</f>
        <v/>
      </c>
      <c r="G991" s="26" t="str">
        <f aca="false">IF(A991="","",SUMIFS(Trabalhos!$G$2:$G$1001,Trabalhos!$C$2:$C$1001,A991))</f>
        <v/>
      </c>
      <c r="H991" s="24"/>
    </row>
    <row r="992" customFormat="false" ht="15" hidden="false" customHeight="false" outlineLevel="0" collapsed="false">
      <c r="A992" s="24"/>
      <c r="B992" s="24"/>
      <c r="C992" s="24"/>
      <c r="D992" s="24"/>
      <c r="E992" s="24"/>
      <c r="F992" s="28" t="str">
        <f aca="false">IF(A992="","",COUNTIF(Trabalhos!$C$2:$C$1001,A992))</f>
        <v/>
      </c>
      <c r="G992" s="26" t="str">
        <f aca="false">IF(A992="","",SUMIFS(Trabalhos!$G$2:$G$1001,Trabalhos!$C$2:$C$1001,A992))</f>
        <v/>
      </c>
      <c r="H992" s="24"/>
    </row>
    <row r="993" customFormat="false" ht="15" hidden="false" customHeight="false" outlineLevel="0" collapsed="false">
      <c r="A993" s="24"/>
      <c r="B993" s="24"/>
      <c r="C993" s="24"/>
      <c r="D993" s="24"/>
      <c r="E993" s="24"/>
      <c r="F993" s="28" t="str">
        <f aca="false">IF(A993="","",COUNTIF(Trabalhos!$C$2:$C$1001,A993))</f>
        <v/>
      </c>
      <c r="G993" s="26" t="str">
        <f aca="false">IF(A993="","",SUMIFS(Trabalhos!$G$2:$G$1001,Trabalhos!$C$2:$C$1001,A993))</f>
        <v/>
      </c>
      <c r="H993" s="24"/>
    </row>
    <row r="994" customFormat="false" ht="15" hidden="false" customHeight="false" outlineLevel="0" collapsed="false">
      <c r="A994" s="24"/>
      <c r="B994" s="24"/>
      <c r="C994" s="24"/>
      <c r="D994" s="24"/>
      <c r="E994" s="24"/>
      <c r="F994" s="28" t="str">
        <f aca="false">IF(A994="","",COUNTIF(Trabalhos!$C$2:$C$1001,A994))</f>
        <v/>
      </c>
      <c r="G994" s="26" t="str">
        <f aca="false">IF(A994="","",SUMIFS(Trabalhos!$G$2:$G$1001,Trabalhos!$C$2:$C$1001,A994))</f>
        <v/>
      </c>
      <c r="H994" s="24"/>
    </row>
    <row r="995" customFormat="false" ht="15" hidden="false" customHeight="false" outlineLevel="0" collapsed="false">
      <c r="A995" s="24"/>
      <c r="B995" s="24"/>
      <c r="C995" s="24"/>
      <c r="D995" s="24"/>
      <c r="E995" s="24"/>
      <c r="F995" s="28" t="str">
        <f aca="false">IF(A995="","",COUNTIF(Trabalhos!$C$2:$C$1001,A995))</f>
        <v/>
      </c>
      <c r="G995" s="26" t="str">
        <f aca="false">IF(A995="","",SUMIFS(Trabalhos!$G$2:$G$1001,Trabalhos!$C$2:$C$1001,A995))</f>
        <v/>
      </c>
      <c r="H995" s="24"/>
    </row>
    <row r="996" customFormat="false" ht="15" hidden="false" customHeight="false" outlineLevel="0" collapsed="false">
      <c r="A996" s="24"/>
      <c r="B996" s="24"/>
      <c r="C996" s="24"/>
      <c r="D996" s="24"/>
      <c r="E996" s="24"/>
      <c r="F996" s="28" t="str">
        <f aca="false">IF(A996="","",COUNTIF(Trabalhos!$C$2:$C$1001,A996))</f>
        <v/>
      </c>
      <c r="G996" s="26" t="str">
        <f aca="false">IF(A996="","",SUMIFS(Trabalhos!$G$2:$G$1001,Trabalhos!$C$2:$C$1001,A996))</f>
        <v/>
      </c>
      <c r="H996" s="24"/>
    </row>
    <row r="997" customFormat="false" ht="15" hidden="false" customHeight="false" outlineLevel="0" collapsed="false">
      <c r="A997" s="24"/>
      <c r="B997" s="24"/>
      <c r="C997" s="24"/>
      <c r="D997" s="24"/>
      <c r="E997" s="24"/>
      <c r="F997" s="28" t="str">
        <f aca="false">IF(A997="","",COUNTIF(Trabalhos!$C$2:$C$1001,A997))</f>
        <v/>
      </c>
      <c r="G997" s="26" t="str">
        <f aca="false">IF(A997="","",SUMIFS(Trabalhos!$G$2:$G$1001,Trabalhos!$C$2:$C$1001,A997))</f>
        <v/>
      </c>
      <c r="H997" s="24"/>
    </row>
    <row r="998" customFormat="false" ht="15" hidden="false" customHeight="false" outlineLevel="0" collapsed="false">
      <c r="A998" s="24"/>
      <c r="B998" s="24"/>
      <c r="C998" s="24"/>
      <c r="D998" s="24"/>
      <c r="E998" s="24"/>
      <c r="F998" s="28" t="str">
        <f aca="false">IF(A998="","",COUNTIF(Trabalhos!$C$2:$C$1001,A998))</f>
        <v/>
      </c>
      <c r="G998" s="26" t="str">
        <f aca="false">IF(A998="","",SUMIFS(Trabalhos!$G$2:$G$1001,Trabalhos!$C$2:$C$1001,A998))</f>
        <v/>
      </c>
      <c r="H998" s="24"/>
    </row>
    <row r="999" customFormat="false" ht="15" hidden="false" customHeight="false" outlineLevel="0" collapsed="false">
      <c r="A999" s="24"/>
      <c r="B999" s="24"/>
      <c r="C999" s="24"/>
      <c r="D999" s="24"/>
      <c r="E999" s="24"/>
      <c r="F999" s="28" t="str">
        <f aca="false">IF(A999="","",COUNTIF(Trabalhos!$C$2:$C$1001,A999))</f>
        <v/>
      </c>
      <c r="G999" s="26" t="str">
        <f aca="false">IF(A999="","",SUMIFS(Trabalhos!$G$2:$G$1001,Trabalhos!$C$2:$C$1001,A999))</f>
        <v/>
      </c>
      <c r="H999" s="24"/>
    </row>
    <row r="1000" customFormat="false" ht="15" hidden="false" customHeight="false" outlineLevel="0" collapsed="false">
      <c r="A1000" s="24"/>
      <c r="B1000" s="24"/>
      <c r="C1000" s="24"/>
      <c r="D1000" s="24"/>
      <c r="E1000" s="24"/>
      <c r="F1000" s="28" t="str">
        <f aca="false">IF(A1000="","",COUNTIF(Trabalhos!$C$2:$C$1001,A1000))</f>
        <v/>
      </c>
      <c r="G1000" s="26" t="str">
        <f aca="false">IF(A1000="","",SUMIFS(Trabalhos!$G$2:$G$1001,Trabalhos!$C$2:$C$1001,A1000))</f>
        <v/>
      </c>
      <c r="H1000" s="24"/>
    </row>
    <row r="1001" customFormat="false" ht="15" hidden="false" customHeight="false" outlineLevel="0" collapsed="false">
      <c r="A1001" s="24"/>
      <c r="B1001" s="24"/>
      <c r="C1001" s="24"/>
      <c r="D1001" s="24"/>
      <c r="E1001" s="24"/>
      <c r="F1001" s="28" t="str">
        <f aca="false">IF(A1001="","",COUNTIF(Trabalhos!$C$2:$C$1001,A1001))</f>
        <v/>
      </c>
      <c r="G1001" s="26" t="str">
        <f aca="false">IF(A1001="","",SUMIFS(Trabalhos!$G$2:$G$1001,Trabalhos!$C$2:$C$1001,A1001))</f>
        <v/>
      </c>
      <c r="H1001" s="24"/>
    </row>
  </sheetData>
  <autoFilter ref="A1:H1001"/>
  <dataValidations count="1">
    <dataValidation allowBlank="true" errorStyle="stop" operator="between" showDropDown="false" showErrorMessage="false" showInputMessage="false" sqref="E2:E1001" type="list">
      <formula1>Listas!$F$2:$F$40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2E24"/>
    <pageSetUpPr fitToPage="false"/>
  </sheetPr>
  <dimension ref="A1:E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33.75" hidden="false" customHeight="true" outlineLevel="0" collapsed="false">
      <c r="A1" s="10" t="s">
        <v>187</v>
      </c>
      <c r="B1" s="10" t="s">
        <v>188</v>
      </c>
      <c r="C1" s="10" t="s">
        <v>189</v>
      </c>
      <c r="D1" s="10" t="s">
        <v>190</v>
      </c>
      <c r="E1" s="10" t="s">
        <v>82</v>
      </c>
    </row>
    <row r="2" customFormat="false" ht="15" hidden="false" customHeight="false" outlineLevel="0" collapsed="false">
      <c r="A2" s="22" t="n">
        <v>46027</v>
      </c>
      <c r="B2" s="24" t="s">
        <v>191</v>
      </c>
      <c r="C2" s="24" t="s">
        <v>192</v>
      </c>
      <c r="D2" s="25" t="n">
        <v>60</v>
      </c>
      <c r="E2" s="24" t="s">
        <v>123</v>
      </c>
    </row>
    <row r="3" customFormat="false" ht="15" hidden="false" customHeight="false" outlineLevel="0" collapsed="false">
      <c r="A3" s="22" t="n">
        <v>46058</v>
      </c>
      <c r="B3" s="24" t="s">
        <v>191</v>
      </c>
      <c r="C3" s="24" t="s">
        <v>192</v>
      </c>
      <c r="D3" s="25" t="n">
        <v>60</v>
      </c>
      <c r="E3" s="24" t="s">
        <v>123</v>
      </c>
    </row>
    <row r="4" customFormat="false" ht="15" hidden="false" customHeight="false" outlineLevel="0" collapsed="false">
      <c r="A4" s="22" t="n">
        <v>46086</v>
      </c>
      <c r="B4" s="24" t="s">
        <v>191</v>
      </c>
      <c r="C4" s="24" t="s">
        <v>192</v>
      </c>
      <c r="D4" s="25" t="n">
        <v>60</v>
      </c>
      <c r="E4" s="24" t="s">
        <v>123</v>
      </c>
    </row>
    <row r="5" customFormat="false" ht="23.85" hidden="false" customHeight="false" outlineLevel="0" collapsed="false">
      <c r="A5" s="22" t="n">
        <v>46091</v>
      </c>
      <c r="B5" s="24" t="s">
        <v>193</v>
      </c>
      <c r="C5" s="24" t="s">
        <v>194</v>
      </c>
      <c r="D5" s="25" t="n">
        <v>200</v>
      </c>
      <c r="E5" s="24" t="s">
        <v>123</v>
      </c>
    </row>
    <row r="6" customFormat="false" ht="15" hidden="false" customHeight="false" outlineLevel="0" collapsed="false">
      <c r="A6" s="22" t="n">
        <v>46117</v>
      </c>
      <c r="B6" s="24" t="s">
        <v>191</v>
      </c>
      <c r="C6" s="24" t="s">
        <v>192</v>
      </c>
      <c r="D6" s="25" t="n">
        <v>60</v>
      </c>
      <c r="E6" s="24" t="s">
        <v>123</v>
      </c>
    </row>
    <row r="7" customFormat="false" ht="15" hidden="false" customHeight="false" outlineLevel="0" collapsed="false">
      <c r="A7" s="22" t="n">
        <v>46147</v>
      </c>
      <c r="B7" s="24" t="s">
        <v>191</v>
      </c>
      <c r="C7" s="24" t="s">
        <v>192</v>
      </c>
      <c r="D7" s="25" t="n">
        <v>60</v>
      </c>
      <c r="E7" s="24" t="s">
        <v>123</v>
      </c>
    </row>
    <row r="8" customFormat="false" ht="15" hidden="false" customHeight="false" outlineLevel="0" collapsed="false">
      <c r="A8" s="22" t="n">
        <v>46178</v>
      </c>
      <c r="B8" s="24" t="s">
        <v>191</v>
      </c>
      <c r="C8" s="24" t="s">
        <v>192</v>
      </c>
      <c r="D8" s="25" t="n">
        <v>60</v>
      </c>
      <c r="E8" s="24" t="s">
        <v>123</v>
      </c>
    </row>
    <row r="9" customFormat="false" ht="15" hidden="false" customHeight="false" outlineLevel="0" collapsed="false">
      <c r="A9" s="22" t="n">
        <v>46191</v>
      </c>
      <c r="B9" s="24" t="s">
        <v>195</v>
      </c>
      <c r="C9" s="24" t="s">
        <v>196</v>
      </c>
      <c r="D9" s="25" t="n">
        <v>350</v>
      </c>
      <c r="E9" s="24" t="s">
        <v>91</v>
      </c>
    </row>
    <row r="10" customFormat="false" ht="15" hidden="false" customHeight="false" outlineLevel="0" collapsed="false">
      <c r="A10" s="22" t="n">
        <v>46208</v>
      </c>
      <c r="B10" s="24" t="s">
        <v>191</v>
      </c>
      <c r="C10" s="24" t="s">
        <v>192</v>
      </c>
      <c r="D10" s="25" t="n">
        <v>60</v>
      </c>
      <c r="E10" s="24" t="s">
        <v>123</v>
      </c>
    </row>
    <row r="11" customFormat="false" ht="15" hidden="false" customHeight="false" outlineLevel="0" collapsed="false">
      <c r="A11" s="22" t="n">
        <v>46236</v>
      </c>
      <c r="B11" s="24" t="s">
        <v>197</v>
      </c>
      <c r="C11" s="24" t="s">
        <v>198</v>
      </c>
      <c r="D11" s="25" t="n">
        <v>180</v>
      </c>
      <c r="E11" s="24" t="s">
        <v>91</v>
      </c>
    </row>
    <row r="12" customFormat="false" ht="15" hidden="false" customHeight="false" outlineLevel="0" collapsed="false">
      <c r="A12" s="22" t="n">
        <v>46239</v>
      </c>
      <c r="B12" s="24" t="s">
        <v>191</v>
      </c>
      <c r="C12" s="24" t="s">
        <v>192</v>
      </c>
      <c r="D12" s="25" t="n">
        <v>60</v>
      </c>
      <c r="E12" s="24" t="s">
        <v>123</v>
      </c>
    </row>
    <row r="13" customFormat="false" ht="15" hidden="false" customHeight="false" outlineLevel="0" collapsed="false">
      <c r="A13" s="22" t="n">
        <v>46270</v>
      </c>
      <c r="B13" s="24" t="s">
        <v>191</v>
      </c>
      <c r="C13" s="24" t="s">
        <v>192</v>
      </c>
      <c r="D13" s="25" t="n">
        <v>60</v>
      </c>
      <c r="E13" s="24" t="s">
        <v>123</v>
      </c>
    </row>
    <row r="14" customFormat="false" ht="23.85" hidden="false" customHeight="false" outlineLevel="0" collapsed="false">
      <c r="A14" s="22" t="n">
        <v>46274</v>
      </c>
      <c r="B14" s="24" t="s">
        <v>193</v>
      </c>
      <c r="C14" s="24" t="s">
        <v>194</v>
      </c>
      <c r="D14" s="25" t="n">
        <v>250</v>
      </c>
      <c r="E14" s="24" t="s">
        <v>123</v>
      </c>
    </row>
    <row r="15" customFormat="false" ht="15" hidden="false" customHeight="false" outlineLevel="0" collapsed="false">
      <c r="A15" s="22" t="n">
        <v>46300</v>
      </c>
      <c r="B15" s="24" t="s">
        <v>191</v>
      </c>
      <c r="C15" s="24" t="s">
        <v>192</v>
      </c>
      <c r="D15" s="25" t="n">
        <v>60</v>
      </c>
      <c r="E15" s="24" t="s">
        <v>123</v>
      </c>
    </row>
    <row r="16" customFormat="false" ht="15" hidden="false" customHeight="false" outlineLevel="0" collapsed="false">
      <c r="A16" s="22"/>
      <c r="B16" s="24"/>
      <c r="C16" s="24"/>
      <c r="D16" s="25"/>
      <c r="E16" s="24"/>
    </row>
    <row r="17" customFormat="false" ht="15" hidden="false" customHeight="false" outlineLevel="0" collapsed="false">
      <c r="A17" s="22"/>
      <c r="B17" s="24"/>
      <c r="C17" s="24"/>
      <c r="D17" s="25"/>
      <c r="E17" s="24"/>
    </row>
    <row r="18" customFormat="false" ht="15" hidden="false" customHeight="false" outlineLevel="0" collapsed="false">
      <c r="A18" s="22"/>
      <c r="B18" s="24"/>
      <c r="C18" s="24"/>
      <c r="D18" s="25"/>
      <c r="E18" s="24"/>
    </row>
    <row r="19" customFormat="false" ht="15" hidden="false" customHeight="false" outlineLevel="0" collapsed="false">
      <c r="A19" s="22"/>
      <c r="B19" s="24"/>
      <c r="C19" s="24"/>
      <c r="D19" s="25"/>
      <c r="E19" s="24"/>
    </row>
    <row r="20" customFormat="false" ht="15" hidden="false" customHeight="false" outlineLevel="0" collapsed="false">
      <c r="A20" s="22"/>
      <c r="B20" s="24"/>
      <c r="C20" s="24"/>
      <c r="D20" s="25"/>
      <c r="E20" s="24"/>
    </row>
    <row r="21" customFormat="false" ht="15" hidden="false" customHeight="false" outlineLevel="0" collapsed="false">
      <c r="A21" s="22"/>
      <c r="B21" s="24"/>
      <c r="C21" s="24"/>
      <c r="D21" s="25"/>
      <c r="E21" s="24"/>
    </row>
    <row r="22" customFormat="false" ht="15" hidden="false" customHeight="false" outlineLevel="0" collapsed="false">
      <c r="A22" s="22"/>
      <c r="B22" s="24"/>
      <c r="C22" s="24"/>
      <c r="D22" s="25"/>
      <c r="E22" s="24"/>
    </row>
    <row r="23" customFormat="false" ht="15" hidden="false" customHeight="false" outlineLevel="0" collapsed="false">
      <c r="A23" s="22"/>
      <c r="B23" s="24"/>
      <c r="C23" s="24"/>
      <c r="D23" s="25"/>
      <c r="E23" s="24"/>
    </row>
    <row r="24" customFormat="false" ht="15" hidden="false" customHeight="false" outlineLevel="0" collapsed="false">
      <c r="A24" s="22"/>
      <c r="B24" s="24"/>
      <c r="C24" s="24"/>
      <c r="D24" s="25"/>
      <c r="E24" s="24"/>
    </row>
    <row r="25" customFormat="false" ht="15" hidden="false" customHeight="false" outlineLevel="0" collapsed="false">
      <c r="A25" s="22"/>
      <c r="B25" s="24"/>
      <c r="C25" s="24"/>
      <c r="D25" s="25"/>
      <c r="E25" s="24"/>
    </row>
    <row r="26" customFormat="false" ht="15" hidden="false" customHeight="false" outlineLevel="0" collapsed="false">
      <c r="A26" s="22"/>
      <c r="B26" s="24"/>
      <c r="C26" s="24"/>
      <c r="D26" s="25"/>
      <c r="E26" s="24"/>
    </row>
    <row r="27" customFormat="false" ht="15" hidden="false" customHeight="false" outlineLevel="0" collapsed="false">
      <c r="A27" s="22"/>
      <c r="B27" s="24"/>
      <c r="C27" s="24"/>
      <c r="D27" s="25"/>
      <c r="E27" s="24"/>
    </row>
    <row r="28" customFormat="false" ht="15" hidden="false" customHeight="false" outlineLevel="0" collapsed="false">
      <c r="A28" s="22"/>
      <c r="B28" s="24"/>
      <c r="C28" s="24"/>
      <c r="D28" s="25"/>
      <c r="E28" s="24"/>
    </row>
    <row r="29" customFormat="false" ht="15" hidden="false" customHeight="false" outlineLevel="0" collapsed="false">
      <c r="A29" s="22"/>
      <c r="B29" s="24"/>
      <c r="C29" s="24"/>
      <c r="D29" s="25"/>
      <c r="E29" s="24"/>
    </row>
    <row r="30" customFormat="false" ht="15" hidden="false" customHeight="false" outlineLevel="0" collapsed="false">
      <c r="A30" s="22"/>
      <c r="B30" s="24"/>
      <c r="C30" s="24"/>
      <c r="D30" s="25"/>
      <c r="E30" s="24"/>
    </row>
    <row r="31" customFormat="false" ht="15" hidden="false" customHeight="false" outlineLevel="0" collapsed="false">
      <c r="A31" s="22"/>
      <c r="B31" s="24"/>
      <c r="C31" s="24"/>
      <c r="D31" s="25"/>
      <c r="E31" s="24"/>
    </row>
    <row r="32" customFormat="false" ht="15" hidden="false" customHeight="false" outlineLevel="0" collapsed="false">
      <c r="A32" s="22"/>
      <c r="B32" s="24"/>
      <c r="C32" s="24"/>
      <c r="D32" s="25"/>
      <c r="E32" s="24"/>
    </row>
    <row r="33" customFormat="false" ht="15" hidden="false" customHeight="false" outlineLevel="0" collapsed="false">
      <c r="A33" s="22"/>
      <c r="B33" s="24"/>
      <c r="C33" s="24"/>
      <c r="D33" s="25"/>
      <c r="E33" s="24"/>
    </row>
    <row r="34" customFormat="false" ht="15" hidden="false" customHeight="false" outlineLevel="0" collapsed="false">
      <c r="A34" s="22"/>
      <c r="B34" s="24"/>
      <c r="C34" s="24"/>
      <c r="D34" s="25"/>
      <c r="E34" s="24"/>
    </row>
    <row r="35" customFormat="false" ht="15" hidden="false" customHeight="false" outlineLevel="0" collapsed="false">
      <c r="A35" s="22"/>
      <c r="B35" s="24"/>
      <c r="C35" s="24"/>
      <c r="D35" s="25"/>
      <c r="E35" s="24"/>
    </row>
    <row r="36" customFormat="false" ht="15" hidden="false" customHeight="false" outlineLevel="0" collapsed="false">
      <c r="A36" s="22"/>
      <c r="B36" s="24"/>
      <c r="C36" s="24"/>
      <c r="D36" s="25"/>
      <c r="E36" s="24"/>
    </row>
    <row r="37" customFormat="false" ht="15" hidden="false" customHeight="false" outlineLevel="0" collapsed="false">
      <c r="A37" s="22"/>
      <c r="B37" s="24"/>
      <c r="C37" s="24"/>
      <c r="D37" s="25"/>
      <c r="E37" s="24"/>
    </row>
    <row r="38" customFormat="false" ht="15" hidden="false" customHeight="false" outlineLevel="0" collapsed="false">
      <c r="A38" s="22"/>
      <c r="B38" s="24"/>
      <c r="C38" s="24"/>
      <c r="D38" s="25"/>
      <c r="E38" s="24"/>
    </row>
    <row r="39" customFormat="false" ht="15" hidden="false" customHeight="false" outlineLevel="0" collapsed="false">
      <c r="A39" s="22"/>
      <c r="B39" s="24"/>
      <c r="C39" s="24"/>
      <c r="D39" s="25"/>
      <c r="E39" s="24"/>
    </row>
    <row r="40" customFormat="false" ht="15" hidden="false" customHeight="false" outlineLevel="0" collapsed="false">
      <c r="A40" s="22"/>
      <c r="B40" s="24"/>
      <c r="C40" s="24"/>
      <c r="D40" s="25"/>
      <c r="E40" s="24"/>
    </row>
    <row r="41" customFormat="false" ht="15" hidden="false" customHeight="false" outlineLevel="0" collapsed="false">
      <c r="A41" s="22"/>
      <c r="B41" s="24"/>
      <c r="C41" s="24"/>
      <c r="D41" s="25"/>
      <c r="E41" s="24"/>
    </row>
    <row r="42" customFormat="false" ht="15" hidden="false" customHeight="false" outlineLevel="0" collapsed="false">
      <c r="A42" s="22"/>
      <c r="B42" s="24"/>
      <c r="C42" s="24"/>
      <c r="D42" s="25"/>
      <c r="E42" s="24"/>
    </row>
    <row r="43" customFormat="false" ht="15" hidden="false" customHeight="false" outlineLevel="0" collapsed="false">
      <c r="A43" s="22"/>
      <c r="B43" s="24"/>
      <c r="C43" s="24"/>
      <c r="D43" s="25"/>
      <c r="E43" s="24"/>
    </row>
    <row r="44" customFormat="false" ht="15" hidden="false" customHeight="false" outlineLevel="0" collapsed="false">
      <c r="A44" s="22"/>
      <c r="B44" s="24"/>
      <c r="C44" s="24"/>
      <c r="D44" s="25"/>
      <c r="E44" s="24"/>
    </row>
    <row r="45" customFormat="false" ht="15" hidden="false" customHeight="false" outlineLevel="0" collapsed="false">
      <c r="A45" s="22"/>
      <c r="B45" s="24"/>
      <c r="C45" s="24"/>
      <c r="D45" s="25"/>
      <c r="E45" s="24"/>
    </row>
    <row r="46" customFormat="false" ht="15" hidden="false" customHeight="false" outlineLevel="0" collapsed="false">
      <c r="A46" s="22"/>
      <c r="B46" s="24"/>
      <c r="C46" s="24"/>
      <c r="D46" s="25"/>
      <c r="E46" s="24"/>
    </row>
    <row r="47" customFormat="false" ht="15" hidden="false" customHeight="false" outlineLevel="0" collapsed="false">
      <c r="A47" s="22"/>
      <c r="B47" s="24"/>
      <c r="C47" s="24"/>
      <c r="D47" s="25"/>
      <c r="E47" s="24"/>
    </row>
    <row r="48" customFormat="false" ht="15" hidden="false" customHeight="false" outlineLevel="0" collapsed="false">
      <c r="A48" s="22"/>
      <c r="B48" s="24"/>
      <c r="C48" s="24"/>
      <c r="D48" s="25"/>
      <c r="E48" s="24"/>
    </row>
    <row r="49" customFormat="false" ht="15" hidden="false" customHeight="false" outlineLevel="0" collapsed="false">
      <c r="A49" s="22"/>
      <c r="B49" s="24"/>
      <c r="C49" s="24"/>
      <c r="D49" s="25"/>
      <c r="E49" s="24"/>
    </row>
    <row r="50" customFormat="false" ht="15" hidden="false" customHeight="false" outlineLevel="0" collapsed="false">
      <c r="A50" s="22"/>
      <c r="B50" s="24"/>
      <c r="C50" s="24"/>
      <c r="D50" s="25"/>
      <c r="E50" s="24"/>
    </row>
    <row r="51" customFormat="false" ht="15" hidden="false" customHeight="false" outlineLevel="0" collapsed="false">
      <c r="A51" s="22"/>
      <c r="B51" s="24"/>
      <c r="C51" s="24"/>
      <c r="D51" s="25"/>
      <c r="E51" s="24"/>
    </row>
    <row r="52" customFormat="false" ht="15" hidden="false" customHeight="false" outlineLevel="0" collapsed="false">
      <c r="A52" s="22"/>
      <c r="B52" s="24"/>
      <c r="C52" s="24"/>
      <c r="D52" s="25"/>
      <c r="E52" s="24"/>
    </row>
    <row r="53" customFormat="false" ht="15" hidden="false" customHeight="false" outlineLevel="0" collapsed="false">
      <c r="A53" s="22"/>
      <c r="B53" s="24"/>
      <c r="C53" s="24"/>
      <c r="D53" s="25"/>
      <c r="E53" s="24"/>
    </row>
    <row r="54" customFormat="false" ht="15" hidden="false" customHeight="false" outlineLevel="0" collapsed="false">
      <c r="A54" s="22"/>
      <c r="B54" s="24"/>
      <c r="C54" s="24"/>
      <c r="D54" s="25"/>
      <c r="E54" s="24"/>
    </row>
    <row r="55" customFormat="false" ht="15" hidden="false" customHeight="false" outlineLevel="0" collapsed="false">
      <c r="A55" s="22"/>
      <c r="B55" s="24"/>
      <c r="C55" s="24"/>
      <c r="D55" s="25"/>
      <c r="E55" s="24"/>
    </row>
    <row r="56" customFormat="false" ht="15" hidden="false" customHeight="false" outlineLevel="0" collapsed="false">
      <c r="A56" s="22"/>
      <c r="B56" s="24"/>
      <c r="C56" s="24"/>
      <c r="D56" s="25"/>
      <c r="E56" s="24"/>
    </row>
    <row r="57" customFormat="false" ht="15" hidden="false" customHeight="false" outlineLevel="0" collapsed="false">
      <c r="A57" s="22"/>
      <c r="B57" s="24"/>
      <c r="C57" s="24"/>
      <c r="D57" s="25"/>
      <c r="E57" s="24"/>
    </row>
    <row r="58" customFormat="false" ht="15" hidden="false" customHeight="false" outlineLevel="0" collapsed="false">
      <c r="A58" s="22"/>
      <c r="B58" s="24"/>
      <c r="C58" s="24"/>
      <c r="D58" s="25"/>
      <c r="E58" s="24"/>
    </row>
    <row r="59" customFormat="false" ht="15" hidden="false" customHeight="false" outlineLevel="0" collapsed="false">
      <c r="A59" s="22"/>
      <c r="B59" s="24"/>
      <c r="C59" s="24"/>
      <c r="D59" s="25"/>
      <c r="E59" s="24"/>
    </row>
    <row r="60" customFormat="false" ht="15" hidden="false" customHeight="false" outlineLevel="0" collapsed="false">
      <c r="A60" s="22"/>
      <c r="B60" s="24"/>
      <c r="C60" s="24"/>
      <c r="D60" s="25"/>
      <c r="E60" s="24"/>
    </row>
    <row r="61" customFormat="false" ht="15" hidden="false" customHeight="false" outlineLevel="0" collapsed="false">
      <c r="A61" s="22"/>
      <c r="B61" s="24"/>
      <c r="C61" s="24"/>
      <c r="D61" s="25"/>
      <c r="E61" s="24"/>
    </row>
    <row r="62" customFormat="false" ht="15" hidden="false" customHeight="false" outlineLevel="0" collapsed="false">
      <c r="A62" s="22"/>
      <c r="B62" s="24"/>
      <c r="C62" s="24"/>
      <c r="D62" s="25"/>
      <c r="E62" s="24"/>
    </row>
    <row r="63" customFormat="false" ht="15" hidden="false" customHeight="false" outlineLevel="0" collapsed="false">
      <c r="A63" s="22"/>
      <c r="B63" s="24"/>
      <c r="C63" s="24"/>
      <c r="D63" s="25"/>
      <c r="E63" s="24"/>
    </row>
    <row r="64" customFormat="false" ht="15" hidden="false" customHeight="false" outlineLevel="0" collapsed="false">
      <c r="A64" s="22"/>
      <c r="B64" s="24"/>
      <c r="C64" s="24"/>
      <c r="D64" s="25"/>
      <c r="E64" s="24"/>
    </row>
    <row r="65" customFormat="false" ht="15" hidden="false" customHeight="false" outlineLevel="0" collapsed="false">
      <c r="A65" s="22"/>
      <c r="B65" s="24"/>
      <c r="C65" s="24"/>
      <c r="D65" s="25"/>
      <c r="E65" s="24"/>
    </row>
    <row r="66" customFormat="false" ht="15" hidden="false" customHeight="false" outlineLevel="0" collapsed="false">
      <c r="A66" s="22"/>
      <c r="B66" s="24"/>
      <c r="C66" s="24"/>
      <c r="D66" s="25"/>
      <c r="E66" s="24"/>
    </row>
    <row r="67" customFormat="false" ht="15" hidden="false" customHeight="false" outlineLevel="0" collapsed="false">
      <c r="A67" s="22"/>
      <c r="B67" s="24"/>
      <c r="C67" s="24"/>
      <c r="D67" s="25"/>
      <c r="E67" s="24"/>
    </row>
    <row r="68" customFormat="false" ht="15" hidden="false" customHeight="false" outlineLevel="0" collapsed="false">
      <c r="A68" s="22"/>
      <c r="B68" s="24"/>
      <c r="C68" s="24"/>
      <c r="D68" s="25"/>
      <c r="E68" s="24"/>
    </row>
    <row r="69" customFormat="false" ht="15" hidden="false" customHeight="false" outlineLevel="0" collapsed="false">
      <c r="A69" s="22"/>
      <c r="B69" s="24"/>
      <c r="C69" s="24"/>
      <c r="D69" s="25"/>
      <c r="E69" s="24"/>
    </row>
    <row r="70" customFormat="false" ht="15" hidden="false" customHeight="false" outlineLevel="0" collapsed="false">
      <c r="A70" s="22"/>
      <c r="B70" s="24"/>
      <c r="C70" s="24"/>
      <c r="D70" s="25"/>
      <c r="E70" s="24"/>
    </row>
    <row r="71" customFormat="false" ht="15" hidden="false" customHeight="false" outlineLevel="0" collapsed="false">
      <c r="A71" s="22"/>
      <c r="B71" s="24"/>
      <c r="C71" s="24"/>
      <c r="D71" s="25"/>
      <c r="E71" s="24"/>
    </row>
    <row r="72" customFormat="false" ht="15" hidden="false" customHeight="false" outlineLevel="0" collapsed="false">
      <c r="A72" s="22"/>
      <c r="B72" s="24"/>
      <c r="C72" s="24"/>
      <c r="D72" s="25"/>
      <c r="E72" s="24"/>
    </row>
    <row r="73" customFormat="false" ht="15" hidden="false" customHeight="false" outlineLevel="0" collapsed="false">
      <c r="A73" s="22"/>
      <c r="B73" s="24"/>
      <c r="C73" s="24"/>
      <c r="D73" s="25"/>
      <c r="E73" s="24"/>
    </row>
    <row r="74" customFormat="false" ht="15" hidden="false" customHeight="false" outlineLevel="0" collapsed="false">
      <c r="A74" s="22"/>
      <c r="B74" s="24"/>
      <c r="C74" s="24"/>
      <c r="D74" s="25"/>
      <c r="E74" s="24"/>
    </row>
    <row r="75" customFormat="false" ht="15" hidden="false" customHeight="false" outlineLevel="0" collapsed="false">
      <c r="A75" s="22"/>
      <c r="B75" s="24"/>
      <c r="C75" s="24"/>
      <c r="D75" s="25"/>
      <c r="E75" s="24"/>
    </row>
    <row r="76" customFormat="false" ht="15" hidden="false" customHeight="false" outlineLevel="0" collapsed="false">
      <c r="A76" s="22"/>
      <c r="B76" s="24"/>
      <c r="C76" s="24"/>
      <c r="D76" s="25"/>
      <c r="E76" s="24"/>
    </row>
    <row r="77" customFormat="false" ht="15" hidden="false" customHeight="false" outlineLevel="0" collapsed="false">
      <c r="A77" s="22"/>
      <c r="B77" s="24"/>
      <c r="C77" s="24"/>
      <c r="D77" s="25"/>
      <c r="E77" s="24"/>
    </row>
    <row r="78" customFormat="false" ht="15" hidden="false" customHeight="false" outlineLevel="0" collapsed="false">
      <c r="A78" s="22"/>
      <c r="B78" s="24"/>
      <c r="C78" s="24"/>
      <c r="D78" s="25"/>
      <c r="E78" s="24"/>
    </row>
    <row r="79" customFormat="false" ht="15" hidden="false" customHeight="false" outlineLevel="0" collapsed="false">
      <c r="A79" s="22"/>
      <c r="B79" s="24"/>
      <c r="C79" s="24"/>
      <c r="D79" s="25"/>
      <c r="E79" s="24"/>
    </row>
    <row r="80" customFormat="false" ht="15" hidden="false" customHeight="false" outlineLevel="0" collapsed="false">
      <c r="A80" s="22"/>
      <c r="B80" s="24"/>
      <c r="C80" s="24"/>
      <c r="D80" s="25"/>
      <c r="E80" s="24"/>
    </row>
    <row r="81" customFormat="false" ht="15" hidden="false" customHeight="false" outlineLevel="0" collapsed="false">
      <c r="A81" s="22"/>
      <c r="B81" s="24"/>
      <c r="C81" s="24"/>
      <c r="D81" s="25"/>
      <c r="E81" s="24"/>
    </row>
    <row r="82" customFormat="false" ht="15" hidden="false" customHeight="false" outlineLevel="0" collapsed="false">
      <c r="A82" s="22"/>
      <c r="B82" s="24"/>
      <c r="C82" s="24"/>
      <c r="D82" s="25"/>
      <c r="E82" s="24"/>
    </row>
    <row r="83" customFormat="false" ht="15" hidden="false" customHeight="false" outlineLevel="0" collapsed="false">
      <c r="A83" s="22"/>
      <c r="B83" s="24"/>
      <c r="C83" s="24"/>
      <c r="D83" s="25"/>
      <c r="E83" s="24"/>
    </row>
    <row r="84" customFormat="false" ht="15" hidden="false" customHeight="false" outlineLevel="0" collapsed="false">
      <c r="A84" s="22"/>
      <c r="B84" s="24"/>
      <c r="C84" s="24"/>
      <c r="D84" s="25"/>
      <c r="E84" s="24"/>
    </row>
    <row r="85" customFormat="false" ht="15" hidden="false" customHeight="false" outlineLevel="0" collapsed="false">
      <c r="A85" s="22"/>
      <c r="B85" s="24"/>
      <c r="C85" s="24"/>
      <c r="D85" s="25"/>
      <c r="E85" s="24"/>
    </row>
    <row r="86" customFormat="false" ht="15" hidden="false" customHeight="false" outlineLevel="0" collapsed="false">
      <c r="A86" s="22"/>
      <c r="B86" s="24"/>
      <c r="C86" s="24"/>
      <c r="D86" s="25"/>
      <c r="E86" s="24"/>
    </row>
    <row r="87" customFormat="false" ht="15" hidden="false" customHeight="false" outlineLevel="0" collapsed="false">
      <c r="A87" s="22"/>
      <c r="B87" s="24"/>
      <c r="C87" s="24"/>
      <c r="D87" s="25"/>
      <c r="E87" s="24"/>
    </row>
    <row r="88" customFormat="false" ht="15" hidden="false" customHeight="false" outlineLevel="0" collapsed="false">
      <c r="A88" s="22"/>
      <c r="B88" s="24"/>
      <c r="C88" s="24"/>
      <c r="D88" s="25"/>
      <c r="E88" s="24"/>
    </row>
    <row r="89" customFormat="false" ht="15" hidden="false" customHeight="false" outlineLevel="0" collapsed="false">
      <c r="A89" s="22"/>
      <c r="B89" s="24"/>
      <c r="C89" s="24"/>
      <c r="D89" s="25"/>
      <c r="E89" s="24"/>
    </row>
    <row r="90" customFormat="false" ht="15" hidden="false" customHeight="false" outlineLevel="0" collapsed="false">
      <c r="A90" s="22"/>
      <c r="B90" s="24"/>
      <c r="C90" s="24"/>
      <c r="D90" s="25"/>
      <c r="E90" s="24"/>
    </row>
    <row r="91" customFormat="false" ht="15" hidden="false" customHeight="false" outlineLevel="0" collapsed="false">
      <c r="A91" s="22"/>
      <c r="B91" s="24"/>
      <c r="C91" s="24"/>
      <c r="D91" s="25"/>
      <c r="E91" s="24"/>
    </row>
    <row r="92" customFormat="false" ht="15" hidden="false" customHeight="false" outlineLevel="0" collapsed="false">
      <c r="A92" s="22"/>
      <c r="B92" s="24"/>
      <c r="C92" s="24"/>
      <c r="D92" s="25"/>
      <c r="E92" s="24"/>
    </row>
    <row r="93" customFormat="false" ht="15" hidden="false" customHeight="false" outlineLevel="0" collapsed="false">
      <c r="A93" s="22"/>
      <c r="B93" s="24"/>
      <c r="C93" s="24"/>
      <c r="D93" s="25"/>
      <c r="E93" s="24"/>
    </row>
    <row r="94" customFormat="false" ht="15" hidden="false" customHeight="false" outlineLevel="0" collapsed="false">
      <c r="A94" s="22"/>
      <c r="B94" s="24"/>
      <c r="C94" s="24"/>
      <c r="D94" s="25"/>
      <c r="E94" s="24"/>
    </row>
    <row r="95" customFormat="false" ht="15" hidden="false" customHeight="false" outlineLevel="0" collapsed="false">
      <c r="A95" s="22"/>
      <c r="B95" s="24"/>
      <c r="C95" s="24"/>
      <c r="D95" s="25"/>
      <c r="E95" s="24"/>
    </row>
    <row r="96" customFormat="false" ht="15" hidden="false" customHeight="false" outlineLevel="0" collapsed="false">
      <c r="A96" s="22"/>
      <c r="B96" s="24"/>
      <c r="C96" s="24"/>
      <c r="D96" s="25"/>
      <c r="E96" s="24"/>
    </row>
    <row r="97" customFormat="false" ht="15" hidden="false" customHeight="false" outlineLevel="0" collapsed="false">
      <c r="A97" s="22"/>
      <c r="B97" s="24"/>
      <c r="C97" s="24"/>
      <c r="D97" s="25"/>
      <c r="E97" s="24"/>
    </row>
    <row r="98" customFormat="false" ht="15" hidden="false" customHeight="false" outlineLevel="0" collapsed="false">
      <c r="A98" s="22"/>
      <c r="B98" s="24"/>
      <c r="C98" s="24"/>
      <c r="D98" s="25"/>
      <c r="E98" s="24"/>
    </row>
    <row r="99" customFormat="false" ht="15" hidden="false" customHeight="false" outlineLevel="0" collapsed="false">
      <c r="A99" s="22"/>
      <c r="B99" s="24"/>
      <c r="C99" s="24"/>
      <c r="D99" s="25"/>
      <c r="E99" s="24"/>
    </row>
    <row r="100" customFormat="false" ht="15" hidden="false" customHeight="false" outlineLevel="0" collapsed="false">
      <c r="A100" s="22"/>
      <c r="B100" s="24"/>
      <c r="C100" s="24"/>
      <c r="D100" s="25"/>
      <c r="E100" s="24"/>
    </row>
    <row r="101" customFormat="false" ht="15" hidden="false" customHeight="false" outlineLevel="0" collapsed="false">
      <c r="A101" s="22"/>
      <c r="B101" s="24"/>
      <c r="C101" s="24"/>
      <c r="D101" s="25"/>
      <c r="E101" s="24"/>
    </row>
    <row r="102" customFormat="false" ht="15" hidden="false" customHeight="false" outlineLevel="0" collapsed="false">
      <c r="A102" s="22"/>
      <c r="B102" s="24"/>
      <c r="C102" s="24"/>
      <c r="D102" s="25"/>
      <c r="E102" s="24"/>
    </row>
    <row r="103" customFormat="false" ht="15" hidden="false" customHeight="false" outlineLevel="0" collapsed="false">
      <c r="A103" s="22"/>
      <c r="B103" s="24"/>
      <c r="C103" s="24"/>
      <c r="D103" s="25"/>
      <c r="E103" s="24"/>
    </row>
    <row r="104" customFormat="false" ht="15" hidden="false" customHeight="false" outlineLevel="0" collapsed="false">
      <c r="A104" s="22"/>
      <c r="B104" s="24"/>
      <c r="C104" s="24"/>
      <c r="D104" s="25"/>
      <c r="E104" s="24"/>
    </row>
    <row r="105" customFormat="false" ht="15" hidden="false" customHeight="false" outlineLevel="0" collapsed="false">
      <c r="A105" s="22"/>
      <c r="B105" s="24"/>
      <c r="C105" s="24"/>
      <c r="D105" s="25"/>
      <c r="E105" s="24"/>
    </row>
    <row r="106" customFormat="false" ht="15" hidden="false" customHeight="false" outlineLevel="0" collapsed="false">
      <c r="A106" s="22"/>
      <c r="B106" s="24"/>
      <c r="C106" s="24"/>
      <c r="D106" s="25"/>
      <c r="E106" s="24"/>
    </row>
    <row r="107" customFormat="false" ht="15" hidden="false" customHeight="false" outlineLevel="0" collapsed="false">
      <c r="A107" s="22"/>
      <c r="B107" s="24"/>
      <c r="C107" s="24"/>
      <c r="D107" s="25"/>
      <c r="E107" s="24"/>
    </row>
    <row r="108" customFormat="false" ht="15" hidden="false" customHeight="false" outlineLevel="0" collapsed="false">
      <c r="A108" s="22"/>
      <c r="B108" s="24"/>
      <c r="C108" s="24"/>
      <c r="D108" s="25"/>
      <c r="E108" s="24"/>
    </row>
    <row r="109" customFormat="false" ht="15" hidden="false" customHeight="false" outlineLevel="0" collapsed="false">
      <c r="A109" s="22"/>
      <c r="B109" s="24"/>
      <c r="C109" s="24"/>
      <c r="D109" s="25"/>
      <c r="E109" s="24"/>
    </row>
    <row r="110" customFormat="false" ht="15" hidden="false" customHeight="false" outlineLevel="0" collapsed="false">
      <c r="A110" s="22"/>
      <c r="B110" s="24"/>
      <c r="C110" s="24"/>
      <c r="D110" s="25"/>
      <c r="E110" s="24"/>
    </row>
    <row r="111" customFormat="false" ht="15" hidden="false" customHeight="false" outlineLevel="0" collapsed="false">
      <c r="A111" s="22"/>
      <c r="B111" s="24"/>
      <c r="C111" s="24"/>
      <c r="D111" s="25"/>
      <c r="E111" s="24"/>
    </row>
    <row r="112" customFormat="false" ht="15" hidden="false" customHeight="false" outlineLevel="0" collapsed="false">
      <c r="A112" s="22"/>
      <c r="B112" s="24"/>
      <c r="C112" s="24"/>
      <c r="D112" s="25"/>
      <c r="E112" s="24"/>
    </row>
    <row r="113" customFormat="false" ht="15" hidden="false" customHeight="false" outlineLevel="0" collapsed="false">
      <c r="A113" s="22"/>
      <c r="B113" s="24"/>
      <c r="C113" s="24"/>
      <c r="D113" s="25"/>
      <c r="E113" s="24"/>
    </row>
    <row r="114" customFormat="false" ht="15" hidden="false" customHeight="false" outlineLevel="0" collapsed="false">
      <c r="A114" s="22"/>
      <c r="B114" s="24"/>
      <c r="C114" s="24"/>
      <c r="D114" s="25"/>
      <c r="E114" s="24"/>
    </row>
    <row r="115" customFormat="false" ht="15" hidden="false" customHeight="false" outlineLevel="0" collapsed="false">
      <c r="A115" s="22"/>
      <c r="B115" s="24"/>
      <c r="C115" s="24"/>
      <c r="D115" s="25"/>
      <c r="E115" s="24"/>
    </row>
    <row r="116" customFormat="false" ht="15" hidden="false" customHeight="false" outlineLevel="0" collapsed="false">
      <c r="A116" s="22"/>
      <c r="B116" s="24"/>
      <c r="C116" s="24"/>
      <c r="D116" s="25"/>
      <c r="E116" s="24"/>
    </row>
    <row r="117" customFormat="false" ht="15" hidden="false" customHeight="false" outlineLevel="0" collapsed="false">
      <c r="A117" s="22"/>
      <c r="B117" s="24"/>
      <c r="C117" s="24"/>
      <c r="D117" s="25"/>
      <c r="E117" s="24"/>
    </row>
    <row r="118" customFormat="false" ht="15" hidden="false" customHeight="false" outlineLevel="0" collapsed="false">
      <c r="A118" s="22"/>
      <c r="B118" s="24"/>
      <c r="C118" s="24"/>
      <c r="D118" s="25"/>
      <c r="E118" s="24"/>
    </row>
    <row r="119" customFormat="false" ht="15" hidden="false" customHeight="false" outlineLevel="0" collapsed="false">
      <c r="A119" s="22"/>
      <c r="B119" s="24"/>
      <c r="C119" s="24"/>
      <c r="D119" s="25"/>
      <c r="E119" s="24"/>
    </row>
    <row r="120" customFormat="false" ht="15" hidden="false" customHeight="false" outlineLevel="0" collapsed="false">
      <c r="A120" s="22"/>
      <c r="B120" s="24"/>
      <c r="C120" s="24"/>
      <c r="D120" s="25"/>
      <c r="E120" s="24"/>
    </row>
    <row r="121" customFormat="false" ht="15" hidden="false" customHeight="false" outlineLevel="0" collapsed="false">
      <c r="A121" s="22"/>
      <c r="B121" s="24"/>
      <c r="C121" s="24"/>
      <c r="D121" s="25"/>
      <c r="E121" s="24"/>
    </row>
    <row r="122" customFormat="false" ht="15" hidden="false" customHeight="false" outlineLevel="0" collapsed="false">
      <c r="A122" s="22"/>
      <c r="B122" s="24"/>
      <c r="C122" s="24"/>
      <c r="D122" s="25"/>
      <c r="E122" s="24"/>
    </row>
    <row r="123" customFormat="false" ht="15" hidden="false" customHeight="false" outlineLevel="0" collapsed="false">
      <c r="A123" s="22"/>
      <c r="B123" s="24"/>
      <c r="C123" s="24"/>
      <c r="D123" s="25"/>
      <c r="E123" s="24"/>
    </row>
    <row r="124" customFormat="false" ht="15" hidden="false" customHeight="false" outlineLevel="0" collapsed="false">
      <c r="A124" s="22"/>
      <c r="B124" s="24"/>
      <c r="C124" s="24"/>
      <c r="D124" s="25"/>
      <c r="E124" s="24"/>
    </row>
    <row r="125" customFormat="false" ht="15" hidden="false" customHeight="false" outlineLevel="0" collapsed="false">
      <c r="A125" s="22"/>
      <c r="B125" s="24"/>
      <c r="C125" s="24"/>
      <c r="D125" s="25"/>
      <c r="E125" s="24"/>
    </row>
    <row r="126" customFormat="false" ht="15" hidden="false" customHeight="false" outlineLevel="0" collapsed="false">
      <c r="A126" s="22"/>
      <c r="B126" s="24"/>
      <c r="C126" s="24"/>
      <c r="D126" s="25"/>
      <c r="E126" s="24"/>
    </row>
    <row r="127" customFormat="false" ht="15" hidden="false" customHeight="false" outlineLevel="0" collapsed="false">
      <c r="A127" s="22"/>
      <c r="B127" s="24"/>
      <c r="C127" s="24"/>
      <c r="D127" s="25"/>
      <c r="E127" s="24"/>
    </row>
    <row r="128" customFormat="false" ht="15" hidden="false" customHeight="false" outlineLevel="0" collapsed="false">
      <c r="A128" s="22"/>
      <c r="B128" s="24"/>
      <c r="C128" s="24"/>
      <c r="D128" s="25"/>
      <c r="E128" s="24"/>
    </row>
    <row r="129" customFormat="false" ht="15" hidden="false" customHeight="false" outlineLevel="0" collapsed="false">
      <c r="A129" s="22"/>
      <c r="B129" s="24"/>
      <c r="C129" s="24"/>
      <c r="D129" s="25"/>
      <c r="E129" s="24"/>
    </row>
    <row r="130" customFormat="false" ht="15" hidden="false" customHeight="false" outlineLevel="0" collapsed="false">
      <c r="A130" s="22"/>
      <c r="B130" s="24"/>
      <c r="C130" s="24"/>
      <c r="D130" s="25"/>
      <c r="E130" s="24"/>
    </row>
    <row r="131" customFormat="false" ht="15" hidden="false" customHeight="false" outlineLevel="0" collapsed="false">
      <c r="A131" s="22"/>
      <c r="B131" s="24"/>
      <c r="C131" s="24"/>
      <c r="D131" s="25"/>
      <c r="E131" s="24"/>
    </row>
    <row r="132" customFormat="false" ht="15" hidden="false" customHeight="false" outlineLevel="0" collapsed="false">
      <c r="A132" s="22"/>
      <c r="B132" s="24"/>
      <c r="C132" s="24"/>
      <c r="D132" s="25"/>
      <c r="E132" s="24"/>
    </row>
    <row r="133" customFormat="false" ht="15" hidden="false" customHeight="false" outlineLevel="0" collapsed="false">
      <c r="A133" s="22"/>
      <c r="B133" s="24"/>
      <c r="C133" s="24"/>
      <c r="D133" s="25"/>
      <c r="E133" s="24"/>
    </row>
    <row r="134" customFormat="false" ht="15" hidden="false" customHeight="false" outlineLevel="0" collapsed="false">
      <c r="A134" s="22"/>
      <c r="B134" s="24"/>
      <c r="C134" s="24"/>
      <c r="D134" s="25"/>
      <c r="E134" s="24"/>
    </row>
    <row r="135" customFormat="false" ht="15" hidden="false" customHeight="false" outlineLevel="0" collapsed="false">
      <c r="A135" s="22"/>
      <c r="B135" s="24"/>
      <c r="C135" s="24"/>
      <c r="D135" s="25"/>
      <c r="E135" s="24"/>
    </row>
    <row r="136" customFormat="false" ht="15" hidden="false" customHeight="false" outlineLevel="0" collapsed="false">
      <c r="A136" s="22"/>
      <c r="B136" s="24"/>
      <c r="C136" s="24"/>
      <c r="D136" s="25"/>
      <c r="E136" s="24"/>
    </row>
    <row r="137" customFormat="false" ht="15" hidden="false" customHeight="false" outlineLevel="0" collapsed="false">
      <c r="A137" s="22"/>
      <c r="B137" s="24"/>
      <c r="C137" s="24"/>
      <c r="D137" s="25"/>
      <c r="E137" s="24"/>
    </row>
    <row r="138" customFormat="false" ht="15" hidden="false" customHeight="false" outlineLevel="0" collapsed="false">
      <c r="A138" s="22"/>
      <c r="B138" s="24"/>
      <c r="C138" s="24"/>
      <c r="D138" s="25"/>
      <c r="E138" s="24"/>
    </row>
    <row r="139" customFormat="false" ht="15" hidden="false" customHeight="false" outlineLevel="0" collapsed="false">
      <c r="A139" s="22"/>
      <c r="B139" s="24"/>
      <c r="C139" s="24"/>
      <c r="D139" s="25"/>
      <c r="E139" s="24"/>
    </row>
    <row r="140" customFormat="false" ht="15" hidden="false" customHeight="false" outlineLevel="0" collapsed="false">
      <c r="A140" s="22"/>
      <c r="B140" s="24"/>
      <c r="C140" s="24"/>
      <c r="D140" s="25"/>
      <c r="E140" s="24"/>
    </row>
    <row r="141" customFormat="false" ht="15" hidden="false" customHeight="false" outlineLevel="0" collapsed="false">
      <c r="A141" s="22"/>
      <c r="B141" s="24"/>
      <c r="C141" s="24"/>
      <c r="D141" s="25"/>
      <c r="E141" s="24"/>
    </row>
    <row r="142" customFormat="false" ht="15" hidden="false" customHeight="false" outlineLevel="0" collapsed="false">
      <c r="A142" s="22"/>
      <c r="B142" s="24"/>
      <c r="C142" s="24"/>
      <c r="D142" s="25"/>
      <c r="E142" s="24"/>
    </row>
    <row r="143" customFormat="false" ht="15" hidden="false" customHeight="false" outlineLevel="0" collapsed="false">
      <c r="A143" s="22"/>
      <c r="B143" s="24"/>
      <c r="C143" s="24"/>
      <c r="D143" s="25"/>
      <c r="E143" s="24"/>
    </row>
    <row r="144" customFormat="false" ht="15" hidden="false" customHeight="false" outlineLevel="0" collapsed="false">
      <c r="A144" s="22"/>
      <c r="B144" s="24"/>
      <c r="C144" s="24"/>
      <c r="D144" s="25"/>
      <c r="E144" s="24"/>
    </row>
    <row r="145" customFormat="false" ht="15" hidden="false" customHeight="false" outlineLevel="0" collapsed="false">
      <c r="A145" s="22"/>
      <c r="B145" s="24"/>
      <c r="C145" s="24"/>
      <c r="D145" s="25"/>
      <c r="E145" s="24"/>
    </row>
    <row r="146" customFormat="false" ht="15" hidden="false" customHeight="false" outlineLevel="0" collapsed="false">
      <c r="A146" s="22"/>
      <c r="B146" s="24"/>
      <c r="C146" s="24"/>
      <c r="D146" s="25"/>
      <c r="E146" s="24"/>
    </row>
    <row r="147" customFormat="false" ht="15" hidden="false" customHeight="false" outlineLevel="0" collapsed="false">
      <c r="A147" s="22"/>
      <c r="B147" s="24"/>
      <c r="C147" s="24"/>
      <c r="D147" s="25"/>
      <c r="E147" s="24"/>
    </row>
    <row r="148" customFormat="false" ht="15" hidden="false" customHeight="false" outlineLevel="0" collapsed="false">
      <c r="A148" s="22"/>
      <c r="B148" s="24"/>
      <c r="C148" s="24"/>
      <c r="D148" s="25"/>
      <c r="E148" s="24"/>
    </row>
    <row r="149" customFormat="false" ht="15" hidden="false" customHeight="false" outlineLevel="0" collapsed="false">
      <c r="A149" s="22"/>
      <c r="B149" s="24"/>
      <c r="C149" s="24"/>
      <c r="D149" s="25"/>
      <c r="E149" s="24"/>
    </row>
    <row r="150" customFormat="false" ht="15" hidden="false" customHeight="false" outlineLevel="0" collapsed="false">
      <c r="A150" s="22"/>
      <c r="B150" s="24"/>
      <c r="C150" s="24"/>
      <c r="D150" s="25"/>
      <c r="E150" s="24"/>
    </row>
    <row r="151" customFormat="false" ht="15" hidden="false" customHeight="false" outlineLevel="0" collapsed="false">
      <c r="A151" s="22"/>
      <c r="B151" s="24"/>
      <c r="C151" s="24"/>
      <c r="D151" s="25"/>
      <c r="E151" s="24"/>
    </row>
    <row r="152" customFormat="false" ht="15" hidden="false" customHeight="false" outlineLevel="0" collapsed="false">
      <c r="A152" s="22"/>
      <c r="B152" s="24"/>
      <c r="C152" s="24"/>
      <c r="D152" s="25"/>
      <c r="E152" s="24"/>
    </row>
    <row r="153" customFormat="false" ht="15" hidden="false" customHeight="false" outlineLevel="0" collapsed="false">
      <c r="A153" s="22"/>
      <c r="B153" s="24"/>
      <c r="C153" s="24"/>
      <c r="D153" s="25"/>
      <c r="E153" s="24"/>
    </row>
    <row r="154" customFormat="false" ht="15" hidden="false" customHeight="false" outlineLevel="0" collapsed="false">
      <c r="A154" s="22"/>
      <c r="B154" s="24"/>
      <c r="C154" s="24"/>
      <c r="D154" s="25"/>
      <c r="E154" s="24"/>
    </row>
    <row r="155" customFormat="false" ht="15" hidden="false" customHeight="false" outlineLevel="0" collapsed="false">
      <c r="A155" s="22"/>
      <c r="B155" s="24"/>
      <c r="C155" s="24"/>
      <c r="D155" s="25"/>
      <c r="E155" s="24"/>
    </row>
    <row r="156" customFormat="false" ht="15" hidden="false" customHeight="false" outlineLevel="0" collapsed="false">
      <c r="A156" s="22"/>
      <c r="B156" s="24"/>
      <c r="C156" s="24"/>
      <c r="D156" s="25"/>
      <c r="E156" s="24"/>
    </row>
    <row r="157" customFormat="false" ht="15" hidden="false" customHeight="false" outlineLevel="0" collapsed="false">
      <c r="A157" s="22"/>
      <c r="B157" s="24"/>
      <c r="C157" s="24"/>
      <c r="D157" s="25"/>
      <c r="E157" s="24"/>
    </row>
    <row r="158" customFormat="false" ht="15" hidden="false" customHeight="false" outlineLevel="0" collapsed="false">
      <c r="A158" s="22"/>
      <c r="B158" s="24"/>
      <c r="C158" s="24"/>
      <c r="D158" s="25"/>
      <c r="E158" s="24"/>
    </row>
    <row r="159" customFormat="false" ht="15" hidden="false" customHeight="false" outlineLevel="0" collapsed="false">
      <c r="A159" s="22"/>
      <c r="B159" s="24"/>
      <c r="C159" s="24"/>
      <c r="D159" s="25"/>
      <c r="E159" s="24"/>
    </row>
    <row r="160" customFormat="false" ht="15" hidden="false" customHeight="false" outlineLevel="0" collapsed="false">
      <c r="A160" s="22"/>
      <c r="B160" s="24"/>
      <c r="C160" s="24"/>
      <c r="D160" s="25"/>
      <c r="E160" s="24"/>
    </row>
    <row r="161" customFormat="false" ht="15" hidden="false" customHeight="false" outlineLevel="0" collapsed="false">
      <c r="A161" s="22"/>
      <c r="B161" s="24"/>
      <c r="C161" s="24"/>
      <c r="D161" s="25"/>
      <c r="E161" s="24"/>
    </row>
    <row r="162" customFormat="false" ht="15" hidden="false" customHeight="false" outlineLevel="0" collapsed="false">
      <c r="A162" s="22"/>
      <c r="B162" s="24"/>
      <c r="C162" s="24"/>
      <c r="D162" s="25"/>
      <c r="E162" s="24"/>
    </row>
    <row r="163" customFormat="false" ht="15" hidden="false" customHeight="false" outlineLevel="0" collapsed="false">
      <c r="A163" s="22"/>
      <c r="B163" s="24"/>
      <c r="C163" s="24"/>
      <c r="D163" s="25"/>
      <c r="E163" s="24"/>
    </row>
    <row r="164" customFormat="false" ht="15" hidden="false" customHeight="false" outlineLevel="0" collapsed="false">
      <c r="A164" s="22"/>
      <c r="B164" s="24"/>
      <c r="C164" s="24"/>
      <c r="D164" s="25"/>
      <c r="E164" s="24"/>
    </row>
    <row r="165" customFormat="false" ht="15" hidden="false" customHeight="false" outlineLevel="0" collapsed="false">
      <c r="A165" s="22"/>
      <c r="B165" s="24"/>
      <c r="C165" s="24"/>
      <c r="D165" s="25"/>
      <c r="E165" s="24"/>
    </row>
    <row r="166" customFormat="false" ht="15" hidden="false" customHeight="false" outlineLevel="0" collapsed="false">
      <c r="A166" s="22"/>
      <c r="B166" s="24"/>
      <c r="C166" s="24"/>
      <c r="D166" s="25"/>
      <c r="E166" s="24"/>
    </row>
    <row r="167" customFormat="false" ht="15" hidden="false" customHeight="false" outlineLevel="0" collapsed="false">
      <c r="A167" s="22"/>
      <c r="B167" s="24"/>
      <c r="C167" s="24"/>
      <c r="D167" s="25"/>
      <c r="E167" s="24"/>
    </row>
    <row r="168" customFormat="false" ht="15" hidden="false" customHeight="false" outlineLevel="0" collapsed="false">
      <c r="A168" s="22"/>
      <c r="B168" s="24"/>
      <c r="C168" s="24"/>
      <c r="D168" s="25"/>
      <c r="E168" s="24"/>
    </row>
    <row r="169" customFormat="false" ht="15" hidden="false" customHeight="false" outlineLevel="0" collapsed="false">
      <c r="A169" s="22"/>
      <c r="B169" s="24"/>
      <c r="C169" s="24"/>
      <c r="D169" s="25"/>
      <c r="E169" s="24"/>
    </row>
    <row r="170" customFormat="false" ht="15" hidden="false" customHeight="false" outlineLevel="0" collapsed="false">
      <c r="A170" s="22"/>
      <c r="B170" s="24"/>
      <c r="C170" s="24"/>
      <c r="D170" s="25"/>
      <c r="E170" s="24"/>
    </row>
    <row r="171" customFormat="false" ht="15" hidden="false" customHeight="false" outlineLevel="0" collapsed="false">
      <c r="A171" s="22"/>
      <c r="B171" s="24"/>
      <c r="C171" s="24"/>
      <c r="D171" s="25"/>
      <c r="E171" s="24"/>
    </row>
    <row r="172" customFormat="false" ht="15" hidden="false" customHeight="false" outlineLevel="0" collapsed="false">
      <c r="A172" s="22"/>
      <c r="B172" s="24"/>
      <c r="C172" s="24"/>
      <c r="D172" s="25"/>
      <c r="E172" s="24"/>
    </row>
    <row r="173" customFormat="false" ht="15" hidden="false" customHeight="false" outlineLevel="0" collapsed="false">
      <c r="A173" s="22"/>
      <c r="B173" s="24"/>
      <c r="C173" s="24"/>
      <c r="D173" s="25"/>
      <c r="E173" s="24"/>
    </row>
    <row r="174" customFormat="false" ht="15" hidden="false" customHeight="false" outlineLevel="0" collapsed="false">
      <c r="A174" s="22"/>
      <c r="B174" s="24"/>
      <c r="C174" s="24"/>
      <c r="D174" s="25"/>
      <c r="E174" s="24"/>
    </row>
    <row r="175" customFormat="false" ht="15" hidden="false" customHeight="false" outlineLevel="0" collapsed="false">
      <c r="A175" s="22"/>
      <c r="B175" s="24"/>
      <c r="C175" s="24"/>
      <c r="D175" s="25"/>
      <c r="E175" s="24"/>
    </row>
    <row r="176" customFormat="false" ht="15" hidden="false" customHeight="false" outlineLevel="0" collapsed="false">
      <c r="A176" s="22"/>
      <c r="B176" s="24"/>
      <c r="C176" s="24"/>
      <c r="D176" s="25"/>
      <c r="E176" s="24"/>
    </row>
    <row r="177" customFormat="false" ht="15" hidden="false" customHeight="false" outlineLevel="0" collapsed="false">
      <c r="A177" s="22"/>
      <c r="B177" s="24"/>
      <c r="C177" s="24"/>
      <c r="D177" s="25"/>
      <c r="E177" s="24"/>
    </row>
    <row r="178" customFormat="false" ht="15" hidden="false" customHeight="false" outlineLevel="0" collapsed="false">
      <c r="A178" s="22"/>
      <c r="B178" s="24"/>
      <c r="C178" s="24"/>
      <c r="D178" s="25"/>
      <c r="E178" s="24"/>
    </row>
    <row r="179" customFormat="false" ht="15" hidden="false" customHeight="false" outlineLevel="0" collapsed="false">
      <c r="A179" s="22"/>
      <c r="B179" s="24"/>
      <c r="C179" s="24"/>
      <c r="D179" s="25"/>
      <c r="E179" s="24"/>
    </row>
    <row r="180" customFormat="false" ht="15" hidden="false" customHeight="false" outlineLevel="0" collapsed="false">
      <c r="A180" s="22"/>
      <c r="B180" s="24"/>
      <c r="C180" s="24"/>
      <c r="D180" s="25"/>
      <c r="E180" s="24"/>
    </row>
    <row r="181" customFormat="false" ht="15" hidden="false" customHeight="false" outlineLevel="0" collapsed="false">
      <c r="A181" s="22"/>
      <c r="B181" s="24"/>
      <c r="C181" s="24"/>
      <c r="D181" s="25"/>
      <c r="E181" s="24"/>
    </row>
    <row r="182" customFormat="false" ht="15" hidden="false" customHeight="false" outlineLevel="0" collapsed="false">
      <c r="A182" s="22"/>
      <c r="B182" s="24"/>
      <c r="C182" s="24"/>
      <c r="D182" s="25"/>
      <c r="E182" s="24"/>
    </row>
    <row r="183" customFormat="false" ht="15" hidden="false" customHeight="false" outlineLevel="0" collapsed="false">
      <c r="A183" s="22"/>
      <c r="B183" s="24"/>
      <c r="C183" s="24"/>
      <c r="D183" s="25"/>
      <c r="E183" s="24"/>
    </row>
    <row r="184" customFormat="false" ht="15" hidden="false" customHeight="false" outlineLevel="0" collapsed="false">
      <c r="A184" s="22"/>
      <c r="B184" s="24"/>
      <c r="C184" s="24"/>
      <c r="D184" s="25"/>
      <c r="E184" s="24"/>
    </row>
    <row r="185" customFormat="false" ht="15" hidden="false" customHeight="false" outlineLevel="0" collapsed="false">
      <c r="A185" s="22"/>
      <c r="B185" s="24"/>
      <c r="C185" s="24"/>
      <c r="D185" s="25"/>
      <c r="E185" s="24"/>
    </row>
    <row r="186" customFormat="false" ht="15" hidden="false" customHeight="false" outlineLevel="0" collapsed="false">
      <c r="A186" s="22"/>
      <c r="B186" s="24"/>
      <c r="C186" s="24"/>
      <c r="D186" s="25"/>
      <c r="E186" s="24"/>
    </row>
    <row r="187" customFormat="false" ht="15" hidden="false" customHeight="false" outlineLevel="0" collapsed="false">
      <c r="A187" s="22"/>
      <c r="B187" s="24"/>
      <c r="C187" s="24"/>
      <c r="D187" s="25"/>
      <c r="E187" s="24"/>
    </row>
    <row r="188" customFormat="false" ht="15" hidden="false" customHeight="false" outlineLevel="0" collapsed="false">
      <c r="A188" s="22"/>
      <c r="B188" s="24"/>
      <c r="C188" s="24"/>
      <c r="D188" s="25"/>
      <c r="E188" s="24"/>
    </row>
    <row r="189" customFormat="false" ht="15" hidden="false" customHeight="false" outlineLevel="0" collapsed="false">
      <c r="A189" s="22"/>
      <c r="B189" s="24"/>
      <c r="C189" s="24"/>
      <c r="D189" s="25"/>
      <c r="E189" s="24"/>
    </row>
    <row r="190" customFormat="false" ht="15" hidden="false" customHeight="false" outlineLevel="0" collapsed="false">
      <c r="A190" s="22"/>
      <c r="B190" s="24"/>
      <c r="C190" s="24"/>
      <c r="D190" s="25"/>
      <c r="E190" s="24"/>
    </row>
    <row r="191" customFormat="false" ht="15" hidden="false" customHeight="false" outlineLevel="0" collapsed="false">
      <c r="A191" s="22"/>
      <c r="B191" s="24"/>
      <c r="C191" s="24"/>
      <c r="D191" s="25"/>
      <c r="E191" s="24"/>
    </row>
    <row r="192" customFormat="false" ht="15" hidden="false" customHeight="false" outlineLevel="0" collapsed="false">
      <c r="A192" s="22"/>
      <c r="B192" s="24"/>
      <c r="C192" s="24"/>
      <c r="D192" s="25"/>
      <c r="E192" s="24"/>
    </row>
    <row r="193" customFormat="false" ht="15" hidden="false" customHeight="false" outlineLevel="0" collapsed="false">
      <c r="A193" s="22"/>
      <c r="B193" s="24"/>
      <c r="C193" s="24"/>
      <c r="D193" s="25"/>
      <c r="E193" s="24"/>
    </row>
    <row r="194" customFormat="false" ht="15" hidden="false" customHeight="false" outlineLevel="0" collapsed="false">
      <c r="A194" s="22"/>
      <c r="B194" s="24"/>
      <c r="C194" s="24"/>
      <c r="D194" s="25"/>
      <c r="E194" s="24"/>
    </row>
    <row r="195" customFormat="false" ht="15" hidden="false" customHeight="false" outlineLevel="0" collapsed="false">
      <c r="A195" s="22"/>
      <c r="B195" s="24"/>
      <c r="C195" s="24"/>
      <c r="D195" s="25"/>
      <c r="E195" s="24"/>
    </row>
    <row r="196" customFormat="false" ht="15" hidden="false" customHeight="false" outlineLevel="0" collapsed="false">
      <c r="A196" s="22"/>
      <c r="B196" s="24"/>
      <c r="C196" s="24"/>
      <c r="D196" s="25"/>
      <c r="E196" s="24"/>
    </row>
    <row r="197" customFormat="false" ht="15" hidden="false" customHeight="false" outlineLevel="0" collapsed="false">
      <c r="A197" s="22"/>
      <c r="B197" s="24"/>
      <c r="C197" s="24"/>
      <c r="D197" s="25"/>
      <c r="E197" s="24"/>
    </row>
    <row r="198" customFormat="false" ht="15" hidden="false" customHeight="false" outlineLevel="0" collapsed="false">
      <c r="A198" s="22"/>
      <c r="B198" s="24"/>
      <c r="C198" s="24"/>
      <c r="D198" s="25"/>
      <c r="E198" s="24"/>
    </row>
    <row r="199" customFormat="false" ht="15" hidden="false" customHeight="false" outlineLevel="0" collapsed="false">
      <c r="A199" s="22"/>
      <c r="B199" s="24"/>
      <c r="C199" s="24"/>
      <c r="D199" s="25"/>
      <c r="E199" s="24"/>
    </row>
    <row r="200" customFormat="false" ht="15" hidden="false" customHeight="false" outlineLevel="0" collapsed="false">
      <c r="A200" s="22"/>
      <c r="B200" s="24"/>
      <c r="C200" s="24"/>
      <c r="D200" s="25"/>
      <c r="E200" s="24"/>
    </row>
    <row r="201" customFormat="false" ht="15" hidden="false" customHeight="false" outlineLevel="0" collapsed="false">
      <c r="A201" s="22"/>
      <c r="B201" s="24"/>
      <c r="C201" s="24"/>
      <c r="D201" s="25"/>
      <c r="E201" s="24"/>
    </row>
    <row r="202" customFormat="false" ht="15" hidden="false" customHeight="false" outlineLevel="0" collapsed="false">
      <c r="A202" s="22"/>
      <c r="B202" s="24"/>
      <c r="C202" s="24"/>
      <c r="D202" s="25"/>
      <c r="E202" s="24"/>
    </row>
    <row r="203" customFormat="false" ht="15" hidden="false" customHeight="false" outlineLevel="0" collapsed="false">
      <c r="A203" s="22"/>
      <c r="B203" s="24"/>
      <c r="C203" s="24"/>
      <c r="D203" s="25"/>
      <c r="E203" s="24"/>
    </row>
    <row r="204" customFormat="false" ht="15" hidden="false" customHeight="false" outlineLevel="0" collapsed="false">
      <c r="A204" s="22"/>
      <c r="B204" s="24"/>
      <c r="C204" s="24"/>
      <c r="D204" s="25"/>
      <c r="E204" s="24"/>
    </row>
    <row r="205" customFormat="false" ht="15" hidden="false" customHeight="false" outlineLevel="0" collapsed="false">
      <c r="A205" s="22"/>
      <c r="B205" s="24"/>
      <c r="C205" s="24"/>
      <c r="D205" s="25"/>
      <c r="E205" s="24"/>
    </row>
    <row r="206" customFormat="false" ht="15" hidden="false" customHeight="false" outlineLevel="0" collapsed="false">
      <c r="A206" s="22"/>
      <c r="B206" s="24"/>
      <c r="C206" s="24"/>
      <c r="D206" s="25"/>
      <c r="E206" s="24"/>
    </row>
    <row r="207" customFormat="false" ht="15" hidden="false" customHeight="false" outlineLevel="0" collapsed="false">
      <c r="A207" s="22"/>
      <c r="B207" s="24"/>
      <c r="C207" s="24"/>
      <c r="D207" s="25"/>
      <c r="E207" s="24"/>
    </row>
    <row r="208" customFormat="false" ht="15" hidden="false" customHeight="false" outlineLevel="0" collapsed="false">
      <c r="A208" s="22"/>
      <c r="B208" s="24"/>
      <c r="C208" s="24"/>
      <c r="D208" s="25"/>
      <c r="E208" s="24"/>
    </row>
    <row r="209" customFormat="false" ht="15" hidden="false" customHeight="false" outlineLevel="0" collapsed="false">
      <c r="A209" s="22"/>
      <c r="B209" s="24"/>
      <c r="C209" s="24"/>
      <c r="D209" s="25"/>
      <c r="E209" s="24"/>
    </row>
    <row r="210" customFormat="false" ht="15" hidden="false" customHeight="false" outlineLevel="0" collapsed="false">
      <c r="A210" s="22"/>
      <c r="B210" s="24"/>
      <c r="C210" s="24"/>
      <c r="D210" s="25"/>
      <c r="E210" s="24"/>
    </row>
    <row r="211" customFormat="false" ht="15" hidden="false" customHeight="false" outlineLevel="0" collapsed="false">
      <c r="A211" s="22"/>
      <c r="B211" s="24"/>
      <c r="C211" s="24"/>
      <c r="D211" s="25"/>
      <c r="E211" s="24"/>
    </row>
    <row r="212" customFormat="false" ht="15" hidden="false" customHeight="false" outlineLevel="0" collapsed="false">
      <c r="A212" s="22"/>
      <c r="B212" s="24"/>
      <c r="C212" s="24"/>
      <c r="D212" s="25"/>
      <c r="E212" s="24"/>
    </row>
    <row r="213" customFormat="false" ht="15" hidden="false" customHeight="false" outlineLevel="0" collapsed="false">
      <c r="A213" s="22"/>
      <c r="B213" s="24"/>
      <c r="C213" s="24"/>
      <c r="D213" s="25"/>
      <c r="E213" s="24"/>
    </row>
    <row r="214" customFormat="false" ht="15" hidden="false" customHeight="false" outlineLevel="0" collapsed="false">
      <c r="A214" s="22"/>
      <c r="B214" s="24"/>
      <c r="C214" s="24"/>
      <c r="D214" s="25"/>
      <c r="E214" s="24"/>
    </row>
    <row r="215" customFormat="false" ht="15" hidden="false" customHeight="false" outlineLevel="0" collapsed="false">
      <c r="A215" s="22"/>
      <c r="B215" s="24"/>
      <c r="C215" s="24"/>
      <c r="D215" s="25"/>
      <c r="E215" s="24"/>
    </row>
    <row r="216" customFormat="false" ht="15" hidden="false" customHeight="false" outlineLevel="0" collapsed="false">
      <c r="A216" s="22"/>
      <c r="B216" s="24"/>
      <c r="C216" s="24"/>
      <c r="D216" s="25"/>
      <c r="E216" s="24"/>
    </row>
    <row r="217" customFormat="false" ht="15" hidden="false" customHeight="false" outlineLevel="0" collapsed="false">
      <c r="A217" s="22"/>
      <c r="B217" s="24"/>
      <c r="C217" s="24"/>
      <c r="D217" s="25"/>
      <c r="E217" s="24"/>
    </row>
    <row r="218" customFormat="false" ht="15" hidden="false" customHeight="false" outlineLevel="0" collapsed="false">
      <c r="A218" s="22"/>
      <c r="B218" s="24"/>
      <c r="C218" s="24"/>
      <c r="D218" s="25"/>
      <c r="E218" s="24"/>
    </row>
    <row r="219" customFormat="false" ht="15" hidden="false" customHeight="false" outlineLevel="0" collapsed="false">
      <c r="A219" s="22"/>
      <c r="B219" s="24"/>
      <c r="C219" s="24"/>
      <c r="D219" s="25"/>
      <c r="E219" s="24"/>
    </row>
    <row r="220" customFormat="false" ht="15" hidden="false" customHeight="false" outlineLevel="0" collapsed="false">
      <c r="A220" s="22"/>
      <c r="B220" s="24"/>
      <c r="C220" s="24"/>
      <c r="D220" s="25"/>
      <c r="E220" s="24"/>
    </row>
    <row r="221" customFormat="false" ht="15" hidden="false" customHeight="false" outlineLevel="0" collapsed="false">
      <c r="A221" s="22"/>
      <c r="B221" s="24"/>
      <c r="C221" s="24"/>
      <c r="D221" s="25"/>
      <c r="E221" s="24"/>
    </row>
    <row r="222" customFormat="false" ht="15" hidden="false" customHeight="false" outlineLevel="0" collapsed="false">
      <c r="A222" s="22"/>
      <c r="B222" s="24"/>
      <c r="C222" s="24"/>
      <c r="D222" s="25"/>
      <c r="E222" s="24"/>
    </row>
    <row r="223" customFormat="false" ht="15" hidden="false" customHeight="false" outlineLevel="0" collapsed="false">
      <c r="A223" s="22"/>
      <c r="B223" s="24"/>
      <c r="C223" s="24"/>
      <c r="D223" s="25"/>
      <c r="E223" s="24"/>
    </row>
    <row r="224" customFormat="false" ht="15" hidden="false" customHeight="false" outlineLevel="0" collapsed="false">
      <c r="A224" s="22"/>
      <c r="B224" s="24"/>
      <c r="C224" s="24"/>
      <c r="D224" s="25"/>
      <c r="E224" s="24"/>
    </row>
    <row r="225" customFormat="false" ht="15" hidden="false" customHeight="false" outlineLevel="0" collapsed="false">
      <c r="A225" s="22"/>
      <c r="B225" s="24"/>
      <c r="C225" s="24"/>
      <c r="D225" s="25"/>
      <c r="E225" s="24"/>
    </row>
    <row r="226" customFormat="false" ht="15" hidden="false" customHeight="false" outlineLevel="0" collapsed="false">
      <c r="A226" s="22"/>
      <c r="B226" s="24"/>
      <c r="C226" s="24"/>
      <c r="D226" s="25"/>
      <c r="E226" s="24"/>
    </row>
    <row r="227" customFormat="false" ht="15" hidden="false" customHeight="false" outlineLevel="0" collapsed="false">
      <c r="A227" s="22"/>
      <c r="B227" s="24"/>
      <c r="C227" s="24"/>
      <c r="D227" s="25"/>
      <c r="E227" s="24"/>
    </row>
    <row r="228" customFormat="false" ht="15" hidden="false" customHeight="false" outlineLevel="0" collapsed="false">
      <c r="A228" s="22"/>
      <c r="B228" s="24"/>
      <c r="C228" s="24"/>
      <c r="D228" s="25"/>
      <c r="E228" s="24"/>
    </row>
    <row r="229" customFormat="false" ht="15" hidden="false" customHeight="false" outlineLevel="0" collapsed="false">
      <c r="A229" s="22"/>
      <c r="B229" s="24"/>
      <c r="C229" s="24"/>
      <c r="D229" s="25"/>
      <c r="E229" s="24"/>
    </row>
    <row r="230" customFormat="false" ht="15" hidden="false" customHeight="false" outlineLevel="0" collapsed="false">
      <c r="A230" s="22"/>
      <c r="B230" s="24"/>
      <c r="C230" s="24"/>
      <c r="D230" s="25"/>
      <c r="E230" s="24"/>
    </row>
    <row r="231" customFormat="false" ht="15" hidden="false" customHeight="false" outlineLevel="0" collapsed="false">
      <c r="A231" s="22"/>
      <c r="B231" s="24"/>
      <c r="C231" s="24"/>
      <c r="D231" s="25"/>
      <c r="E231" s="24"/>
    </row>
    <row r="232" customFormat="false" ht="15" hidden="false" customHeight="false" outlineLevel="0" collapsed="false">
      <c r="A232" s="22"/>
      <c r="B232" s="24"/>
      <c r="C232" s="24"/>
      <c r="D232" s="25"/>
      <c r="E232" s="24"/>
    </row>
    <row r="233" customFormat="false" ht="15" hidden="false" customHeight="false" outlineLevel="0" collapsed="false">
      <c r="A233" s="22"/>
      <c r="B233" s="24"/>
      <c r="C233" s="24"/>
      <c r="D233" s="25"/>
      <c r="E233" s="24"/>
    </row>
    <row r="234" customFormat="false" ht="15" hidden="false" customHeight="false" outlineLevel="0" collapsed="false">
      <c r="A234" s="22"/>
      <c r="B234" s="24"/>
      <c r="C234" s="24"/>
      <c r="D234" s="25"/>
      <c r="E234" s="24"/>
    </row>
    <row r="235" customFormat="false" ht="15" hidden="false" customHeight="false" outlineLevel="0" collapsed="false">
      <c r="A235" s="22"/>
      <c r="B235" s="24"/>
      <c r="C235" s="24"/>
      <c r="D235" s="25"/>
      <c r="E235" s="24"/>
    </row>
    <row r="236" customFormat="false" ht="15" hidden="false" customHeight="false" outlineLevel="0" collapsed="false">
      <c r="A236" s="22"/>
      <c r="B236" s="24"/>
      <c r="C236" s="24"/>
      <c r="D236" s="25"/>
      <c r="E236" s="24"/>
    </row>
    <row r="237" customFormat="false" ht="15" hidden="false" customHeight="false" outlineLevel="0" collapsed="false">
      <c r="A237" s="22"/>
      <c r="B237" s="24"/>
      <c r="C237" s="24"/>
      <c r="D237" s="25"/>
      <c r="E237" s="24"/>
    </row>
    <row r="238" customFormat="false" ht="15" hidden="false" customHeight="false" outlineLevel="0" collapsed="false">
      <c r="A238" s="22"/>
      <c r="B238" s="24"/>
      <c r="C238" s="24"/>
      <c r="D238" s="25"/>
      <c r="E238" s="24"/>
    </row>
    <row r="239" customFormat="false" ht="15" hidden="false" customHeight="false" outlineLevel="0" collapsed="false">
      <c r="A239" s="22"/>
      <c r="B239" s="24"/>
      <c r="C239" s="24"/>
      <c r="D239" s="25"/>
      <c r="E239" s="24"/>
    </row>
    <row r="240" customFormat="false" ht="15" hidden="false" customHeight="false" outlineLevel="0" collapsed="false">
      <c r="A240" s="22"/>
      <c r="B240" s="24"/>
      <c r="C240" s="24"/>
      <c r="D240" s="25"/>
      <c r="E240" s="24"/>
    </row>
    <row r="241" customFormat="false" ht="15" hidden="false" customHeight="false" outlineLevel="0" collapsed="false">
      <c r="A241" s="22"/>
      <c r="B241" s="24"/>
      <c r="C241" s="24"/>
      <c r="D241" s="25"/>
      <c r="E241" s="24"/>
    </row>
    <row r="242" customFormat="false" ht="15" hidden="false" customHeight="false" outlineLevel="0" collapsed="false">
      <c r="A242" s="22"/>
      <c r="B242" s="24"/>
      <c r="C242" s="24"/>
      <c r="D242" s="25"/>
      <c r="E242" s="24"/>
    </row>
    <row r="243" customFormat="false" ht="15" hidden="false" customHeight="false" outlineLevel="0" collapsed="false">
      <c r="A243" s="22"/>
      <c r="B243" s="24"/>
      <c r="C243" s="24"/>
      <c r="D243" s="25"/>
      <c r="E243" s="24"/>
    </row>
    <row r="244" customFormat="false" ht="15" hidden="false" customHeight="false" outlineLevel="0" collapsed="false">
      <c r="A244" s="22"/>
      <c r="B244" s="24"/>
      <c r="C244" s="24"/>
      <c r="D244" s="25"/>
      <c r="E244" s="24"/>
    </row>
    <row r="245" customFormat="false" ht="15" hidden="false" customHeight="false" outlineLevel="0" collapsed="false">
      <c r="A245" s="22"/>
      <c r="B245" s="24"/>
      <c r="C245" s="24"/>
      <c r="D245" s="25"/>
      <c r="E245" s="24"/>
    </row>
    <row r="246" customFormat="false" ht="15" hidden="false" customHeight="false" outlineLevel="0" collapsed="false">
      <c r="A246" s="22"/>
      <c r="B246" s="24"/>
      <c r="C246" s="24"/>
      <c r="D246" s="25"/>
      <c r="E246" s="24"/>
    </row>
    <row r="247" customFormat="false" ht="15" hidden="false" customHeight="false" outlineLevel="0" collapsed="false">
      <c r="A247" s="22"/>
      <c r="B247" s="24"/>
      <c r="C247" s="24"/>
      <c r="D247" s="25"/>
      <c r="E247" s="24"/>
    </row>
    <row r="248" customFormat="false" ht="15" hidden="false" customHeight="false" outlineLevel="0" collapsed="false">
      <c r="A248" s="22"/>
      <c r="B248" s="24"/>
      <c r="C248" s="24"/>
      <c r="D248" s="25"/>
      <c r="E248" s="24"/>
    </row>
    <row r="249" customFormat="false" ht="15" hidden="false" customHeight="false" outlineLevel="0" collapsed="false">
      <c r="A249" s="22"/>
      <c r="B249" s="24"/>
      <c r="C249" s="24"/>
      <c r="D249" s="25"/>
      <c r="E249" s="24"/>
    </row>
    <row r="250" customFormat="false" ht="15" hidden="false" customHeight="false" outlineLevel="0" collapsed="false">
      <c r="A250" s="22"/>
      <c r="B250" s="24"/>
      <c r="C250" s="24"/>
      <c r="D250" s="25"/>
      <c r="E250" s="24"/>
    </row>
    <row r="251" customFormat="false" ht="15" hidden="false" customHeight="false" outlineLevel="0" collapsed="false">
      <c r="A251" s="22"/>
      <c r="B251" s="24"/>
      <c r="C251" s="24"/>
      <c r="D251" s="25"/>
      <c r="E251" s="24"/>
    </row>
    <row r="252" customFormat="false" ht="15" hidden="false" customHeight="false" outlineLevel="0" collapsed="false">
      <c r="A252" s="22"/>
      <c r="B252" s="24"/>
      <c r="C252" s="24"/>
      <c r="D252" s="25"/>
      <c r="E252" s="24"/>
    </row>
    <row r="253" customFormat="false" ht="15" hidden="false" customHeight="false" outlineLevel="0" collapsed="false">
      <c r="A253" s="22"/>
      <c r="B253" s="24"/>
      <c r="C253" s="24"/>
      <c r="D253" s="25"/>
      <c r="E253" s="24"/>
    </row>
    <row r="254" customFormat="false" ht="15" hidden="false" customHeight="false" outlineLevel="0" collapsed="false">
      <c r="A254" s="22"/>
      <c r="B254" s="24"/>
      <c r="C254" s="24"/>
      <c r="D254" s="25"/>
      <c r="E254" s="24"/>
    </row>
    <row r="255" customFormat="false" ht="15" hidden="false" customHeight="false" outlineLevel="0" collapsed="false">
      <c r="A255" s="22"/>
      <c r="B255" s="24"/>
      <c r="C255" s="24"/>
      <c r="D255" s="25"/>
      <c r="E255" s="24"/>
    </row>
    <row r="256" customFormat="false" ht="15" hidden="false" customHeight="false" outlineLevel="0" collapsed="false">
      <c r="A256" s="22"/>
      <c r="B256" s="24"/>
      <c r="C256" s="24"/>
      <c r="D256" s="25"/>
      <c r="E256" s="24"/>
    </row>
    <row r="257" customFormat="false" ht="15" hidden="false" customHeight="false" outlineLevel="0" collapsed="false">
      <c r="A257" s="22"/>
      <c r="B257" s="24"/>
      <c r="C257" s="24"/>
      <c r="D257" s="25"/>
      <c r="E257" s="24"/>
    </row>
    <row r="258" customFormat="false" ht="15" hidden="false" customHeight="false" outlineLevel="0" collapsed="false">
      <c r="A258" s="22"/>
      <c r="B258" s="24"/>
      <c r="C258" s="24"/>
      <c r="D258" s="25"/>
      <c r="E258" s="24"/>
    </row>
    <row r="259" customFormat="false" ht="15" hidden="false" customHeight="false" outlineLevel="0" collapsed="false">
      <c r="A259" s="22"/>
      <c r="B259" s="24"/>
      <c r="C259" s="24"/>
      <c r="D259" s="25"/>
      <c r="E259" s="24"/>
    </row>
    <row r="260" customFormat="false" ht="15" hidden="false" customHeight="false" outlineLevel="0" collapsed="false">
      <c r="A260" s="22"/>
      <c r="B260" s="24"/>
      <c r="C260" s="24"/>
      <c r="D260" s="25"/>
      <c r="E260" s="24"/>
    </row>
    <row r="261" customFormat="false" ht="15" hidden="false" customHeight="false" outlineLevel="0" collapsed="false">
      <c r="A261" s="22"/>
      <c r="B261" s="24"/>
      <c r="C261" s="24"/>
      <c r="D261" s="25"/>
      <c r="E261" s="24"/>
    </row>
    <row r="262" customFormat="false" ht="15" hidden="false" customHeight="false" outlineLevel="0" collapsed="false">
      <c r="A262" s="22"/>
      <c r="B262" s="24"/>
      <c r="C262" s="24"/>
      <c r="D262" s="25"/>
      <c r="E262" s="24"/>
    </row>
    <row r="263" customFormat="false" ht="15" hidden="false" customHeight="false" outlineLevel="0" collapsed="false">
      <c r="A263" s="22"/>
      <c r="B263" s="24"/>
      <c r="C263" s="24"/>
      <c r="D263" s="25"/>
      <c r="E263" s="24"/>
    </row>
    <row r="264" customFormat="false" ht="15" hidden="false" customHeight="false" outlineLevel="0" collapsed="false">
      <c r="A264" s="22"/>
      <c r="B264" s="24"/>
      <c r="C264" s="24"/>
      <c r="D264" s="25"/>
      <c r="E264" s="24"/>
    </row>
    <row r="265" customFormat="false" ht="15" hidden="false" customHeight="false" outlineLevel="0" collapsed="false">
      <c r="A265" s="22"/>
      <c r="B265" s="24"/>
      <c r="C265" s="24"/>
      <c r="D265" s="25"/>
      <c r="E265" s="24"/>
    </row>
    <row r="266" customFormat="false" ht="15" hidden="false" customHeight="false" outlineLevel="0" collapsed="false">
      <c r="A266" s="22"/>
      <c r="B266" s="24"/>
      <c r="C266" s="24"/>
      <c r="D266" s="25"/>
      <c r="E266" s="24"/>
    </row>
    <row r="267" customFormat="false" ht="15" hidden="false" customHeight="false" outlineLevel="0" collapsed="false">
      <c r="A267" s="22"/>
      <c r="B267" s="24"/>
      <c r="C267" s="24"/>
      <c r="D267" s="25"/>
      <c r="E267" s="24"/>
    </row>
    <row r="268" customFormat="false" ht="15" hidden="false" customHeight="false" outlineLevel="0" collapsed="false">
      <c r="A268" s="22"/>
      <c r="B268" s="24"/>
      <c r="C268" s="24"/>
      <c r="D268" s="25"/>
      <c r="E268" s="24"/>
    </row>
    <row r="269" customFormat="false" ht="15" hidden="false" customHeight="false" outlineLevel="0" collapsed="false">
      <c r="A269" s="22"/>
      <c r="B269" s="24"/>
      <c r="C269" s="24"/>
      <c r="D269" s="25"/>
      <c r="E269" s="24"/>
    </row>
    <row r="270" customFormat="false" ht="15" hidden="false" customHeight="false" outlineLevel="0" collapsed="false">
      <c r="A270" s="22"/>
      <c r="B270" s="24"/>
      <c r="C270" s="24"/>
      <c r="D270" s="25"/>
      <c r="E270" s="24"/>
    </row>
    <row r="271" customFormat="false" ht="15" hidden="false" customHeight="false" outlineLevel="0" collapsed="false">
      <c r="A271" s="22"/>
      <c r="B271" s="24"/>
      <c r="C271" s="24"/>
      <c r="D271" s="25"/>
      <c r="E271" s="24"/>
    </row>
    <row r="272" customFormat="false" ht="15" hidden="false" customHeight="false" outlineLevel="0" collapsed="false">
      <c r="A272" s="22"/>
      <c r="B272" s="24"/>
      <c r="C272" s="24"/>
      <c r="D272" s="25"/>
      <c r="E272" s="24"/>
    </row>
    <row r="273" customFormat="false" ht="15" hidden="false" customHeight="false" outlineLevel="0" collapsed="false">
      <c r="A273" s="22"/>
      <c r="B273" s="24"/>
      <c r="C273" s="24"/>
      <c r="D273" s="25"/>
      <c r="E273" s="24"/>
    </row>
    <row r="274" customFormat="false" ht="15" hidden="false" customHeight="false" outlineLevel="0" collapsed="false">
      <c r="A274" s="22"/>
      <c r="B274" s="24"/>
      <c r="C274" s="24"/>
      <c r="D274" s="25"/>
      <c r="E274" s="24"/>
    </row>
    <row r="275" customFormat="false" ht="15" hidden="false" customHeight="false" outlineLevel="0" collapsed="false">
      <c r="A275" s="22"/>
      <c r="B275" s="24"/>
      <c r="C275" s="24"/>
      <c r="D275" s="25"/>
      <c r="E275" s="24"/>
    </row>
    <row r="276" customFormat="false" ht="15" hidden="false" customHeight="false" outlineLevel="0" collapsed="false">
      <c r="A276" s="22"/>
      <c r="B276" s="24"/>
      <c r="C276" s="24"/>
      <c r="D276" s="25"/>
      <c r="E276" s="24"/>
    </row>
    <row r="277" customFormat="false" ht="15" hidden="false" customHeight="false" outlineLevel="0" collapsed="false">
      <c r="A277" s="22"/>
      <c r="B277" s="24"/>
      <c r="C277" s="24"/>
      <c r="D277" s="25"/>
      <c r="E277" s="24"/>
    </row>
    <row r="278" customFormat="false" ht="15" hidden="false" customHeight="false" outlineLevel="0" collapsed="false">
      <c r="A278" s="22"/>
      <c r="B278" s="24"/>
      <c r="C278" s="24"/>
      <c r="D278" s="25"/>
      <c r="E278" s="24"/>
    </row>
    <row r="279" customFormat="false" ht="15" hidden="false" customHeight="false" outlineLevel="0" collapsed="false">
      <c r="A279" s="22"/>
      <c r="B279" s="24"/>
      <c r="C279" s="24"/>
      <c r="D279" s="25"/>
      <c r="E279" s="24"/>
    </row>
    <row r="280" customFormat="false" ht="15" hidden="false" customHeight="false" outlineLevel="0" collapsed="false">
      <c r="A280" s="22"/>
      <c r="B280" s="24"/>
      <c r="C280" s="24"/>
      <c r="D280" s="25"/>
      <c r="E280" s="24"/>
    </row>
    <row r="281" customFormat="false" ht="15" hidden="false" customHeight="false" outlineLevel="0" collapsed="false">
      <c r="A281" s="22"/>
      <c r="B281" s="24"/>
      <c r="C281" s="24"/>
      <c r="D281" s="25"/>
      <c r="E281" s="24"/>
    </row>
    <row r="282" customFormat="false" ht="15" hidden="false" customHeight="false" outlineLevel="0" collapsed="false">
      <c r="A282" s="22"/>
      <c r="B282" s="24"/>
      <c r="C282" s="24"/>
      <c r="D282" s="25"/>
      <c r="E282" s="24"/>
    </row>
    <row r="283" customFormat="false" ht="15" hidden="false" customHeight="false" outlineLevel="0" collapsed="false">
      <c r="A283" s="22"/>
      <c r="B283" s="24"/>
      <c r="C283" s="24"/>
      <c r="D283" s="25"/>
      <c r="E283" s="24"/>
    </row>
    <row r="284" customFormat="false" ht="15" hidden="false" customHeight="false" outlineLevel="0" collapsed="false">
      <c r="A284" s="22"/>
      <c r="B284" s="24"/>
      <c r="C284" s="24"/>
      <c r="D284" s="25"/>
      <c r="E284" s="24"/>
    </row>
    <row r="285" customFormat="false" ht="15" hidden="false" customHeight="false" outlineLevel="0" collapsed="false">
      <c r="A285" s="22"/>
      <c r="B285" s="24"/>
      <c r="C285" s="24"/>
      <c r="D285" s="25"/>
      <c r="E285" s="24"/>
    </row>
    <row r="286" customFormat="false" ht="15" hidden="false" customHeight="false" outlineLevel="0" collapsed="false">
      <c r="A286" s="22"/>
      <c r="B286" s="24"/>
      <c r="C286" s="24"/>
      <c r="D286" s="25"/>
      <c r="E286" s="24"/>
    </row>
    <row r="287" customFormat="false" ht="15" hidden="false" customHeight="false" outlineLevel="0" collapsed="false">
      <c r="A287" s="22"/>
      <c r="B287" s="24"/>
      <c r="C287" s="24"/>
      <c r="D287" s="25"/>
      <c r="E287" s="24"/>
    </row>
    <row r="288" customFormat="false" ht="15" hidden="false" customHeight="false" outlineLevel="0" collapsed="false">
      <c r="A288" s="22"/>
      <c r="B288" s="24"/>
      <c r="C288" s="24"/>
      <c r="D288" s="25"/>
      <c r="E288" s="24"/>
    </row>
    <row r="289" customFormat="false" ht="15" hidden="false" customHeight="false" outlineLevel="0" collapsed="false">
      <c r="A289" s="22"/>
      <c r="B289" s="24"/>
      <c r="C289" s="24"/>
      <c r="D289" s="25"/>
      <c r="E289" s="24"/>
    </row>
    <row r="290" customFormat="false" ht="15" hidden="false" customHeight="false" outlineLevel="0" collapsed="false">
      <c r="A290" s="22"/>
      <c r="B290" s="24"/>
      <c r="C290" s="24"/>
      <c r="D290" s="25"/>
      <c r="E290" s="24"/>
    </row>
    <row r="291" customFormat="false" ht="15" hidden="false" customHeight="false" outlineLevel="0" collapsed="false">
      <c r="A291" s="22"/>
      <c r="B291" s="24"/>
      <c r="C291" s="24"/>
      <c r="D291" s="25"/>
      <c r="E291" s="24"/>
    </row>
    <row r="292" customFormat="false" ht="15" hidden="false" customHeight="false" outlineLevel="0" collapsed="false">
      <c r="A292" s="22"/>
      <c r="B292" s="24"/>
      <c r="C292" s="24"/>
      <c r="D292" s="25"/>
      <c r="E292" s="24"/>
    </row>
    <row r="293" customFormat="false" ht="15" hidden="false" customHeight="false" outlineLevel="0" collapsed="false">
      <c r="A293" s="22"/>
      <c r="B293" s="24"/>
      <c r="C293" s="24"/>
      <c r="D293" s="25"/>
      <c r="E293" s="24"/>
    </row>
    <row r="294" customFormat="false" ht="15" hidden="false" customHeight="false" outlineLevel="0" collapsed="false">
      <c r="A294" s="22"/>
      <c r="B294" s="24"/>
      <c r="C294" s="24"/>
      <c r="D294" s="25"/>
      <c r="E294" s="24"/>
    </row>
    <row r="295" customFormat="false" ht="15" hidden="false" customHeight="false" outlineLevel="0" collapsed="false">
      <c r="A295" s="22"/>
      <c r="B295" s="24"/>
      <c r="C295" s="24"/>
      <c r="D295" s="25"/>
      <c r="E295" s="24"/>
    </row>
    <row r="296" customFormat="false" ht="15" hidden="false" customHeight="false" outlineLevel="0" collapsed="false">
      <c r="A296" s="22"/>
      <c r="B296" s="24"/>
      <c r="C296" s="24"/>
      <c r="D296" s="25"/>
      <c r="E296" s="24"/>
    </row>
    <row r="297" customFormat="false" ht="15" hidden="false" customHeight="false" outlineLevel="0" collapsed="false">
      <c r="A297" s="22"/>
      <c r="B297" s="24"/>
      <c r="C297" s="24"/>
      <c r="D297" s="25"/>
      <c r="E297" s="24"/>
    </row>
    <row r="298" customFormat="false" ht="15" hidden="false" customHeight="false" outlineLevel="0" collapsed="false">
      <c r="A298" s="22"/>
      <c r="B298" s="24"/>
      <c r="C298" s="24"/>
      <c r="D298" s="25"/>
      <c r="E298" s="24"/>
    </row>
    <row r="299" customFormat="false" ht="15" hidden="false" customHeight="false" outlineLevel="0" collapsed="false">
      <c r="A299" s="22"/>
      <c r="B299" s="24"/>
      <c r="C299" s="24"/>
      <c r="D299" s="25"/>
      <c r="E299" s="24"/>
    </row>
    <row r="300" customFormat="false" ht="15" hidden="false" customHeight="false" outlineLevel="0" collapsed="false">
      <c r="A300" s="22"/>
      <c r="B300" s="24"/>
      <c r="C300" s="24"/>
      <c r="D300" s="25"/>
      <c r="E300" s="24"/>
    </row>
    <row r="301" customFormat="false" ht="15" hidden="false" customHeight="false" outlineLevel="0" collapsed="false">
      <c r="A301" s="22"/>
      <c r="B301" s="24"/>
      <c r="C301" s="24"/>
      <c r="D301" s="25"/>
      <c r="E301" s="24"/>
    </row>
    <row r="302" customFormat="false" ht="15" hidden="false" customHeight="false" outlineLevel="0" collapsed="false">
      <c r="A302" s="22"/>
      <c r="B302" s="24"/>
      <c r="C302" s="24"/>
      <c r="D302" s="25"/>
      <c r="E302" s="24"/>
    </row>
    <row r="303" customFormat="false" ht="15" hidden="false" customHeight="false" outlineLevel="0" collapsed="false">
      <c r="A303" s="22"/>
      <c r="B303" s="24"/>
      <c r="C303" s="24"/>
      <c r="D303" s="25"/>
      <c r="E303" s="24"/>
    </row>
    <row r="304" customFormat="false" ht="15" hidden="false" customHeight="false" outlineLevel="0" collapsed="false">
      <c r="A304" s="22"/>
      <c r="B304" s="24"/>
      <c r="C304" s="24"/>
      <c r="D304" s="25"/>
      <c r="E304" s="24"/>
    </row>
    <row r="305" customFormat="false" ht="15" hidden="false" customHeight="false" outlineLevel="0" collapsed="false">
      <c r="A305" s="22"/>
      <c r="B305" s="24"/>
      <c r="C305" s="24"/>
      <c r="D305" s="25"/>
      <c r="E305" s="24"/>
    </row>
    <row r="306" customFormat="false" ht="15" hidden="false" customHeight="false" outlineLevel="0" collapsed="false">
      <c r="A306" s="22"/>
      <c r="B306" s="24"/>
      <c r="C306" s="24"/>
      <c r="D306" s="25"/>
      <c r="E306" s="24"/>
    </row>
    <row r="307" customFormat="false" ht="15" hidden="false" customHeight="false" outlineLevel="0" collapsed="false">
      <c r="A307" s="22"/>
      <c r="B307" s="24"/>
      <c r="C307" s="24"/>
      <c r="D307" s="25"/>
      <c r="E307" s="24"/>
    </row>
    <row r="308" customFormat="false" ht="15" hidden="false" customHeight="false" outlineLevel="0" collapsed="false">
      <c r="A308" s="22"/>
      <c r="B308" s="24"/>
      <c r="C308" s="24"/>
      <c r="D308" s="25"/>
      <c r="E308" s="24"/>
    </row>
    <row r="309" customFormat="false" ht="15" hidden="false" customHeight="false" outlineLevel="0" collapsed="false">
      <c r="A309" s="22"/>
      <c r="B309" s="24"/>
      <c r="C309" s="24"/>
      <c r="D309" s="25"/>
      <c r="E309" s="24"/>
    </row>
    <row r="310" customFormat="false" ht="15" hidden="false" customHeight="false" outlineLevel="0" collapsed="false">
      <c r="A310" s="22"/>
      <c r="B310" s="24"/>
      <c r="C310" s="24"/>
      <c r="D310" s="25"/>
      <c r="E310" s="24"/>
    </row>
    <row r="311" customFormat="false" ht="15" hidden="false" customHeight="false" outlineLevel="0" collapsed="false">
      <c r="A311" s="22"/>
      <c r="B311" s="24"/>
      <c r="C311" s="24"/>
      <c r="D311" s="25"/>
      <c r="E311" s="24"/>
    </row>
    <row r="312" customFormat="false" ht="15" hidden="false" customHeight="false" outlineLevel="0" collapsed="false">
      <c r="A312" s="22"/>
      <c r="B312" s="24"/>
      <c r="C312" s="24"/>
      <c r="D312" s="25"/>
      <c r="E312" s="24"/>
    </row>
    <row r="313" customFormat="false" ht="15" hidden="false" customHeight="false" outlineLevel="0" collapsed="false">
      <c r="A313" s="22"/>
      <c r="B313" s="24"/>
      <c r="C313" s="24"/>
      <c r="D313" s="25"/>
      <c r="E313" s="24"/>
    </row>
    <row r="314" customFormat="false" ht="15" hidden="false" customHeight="false" outlineLevel="0" collapsed="false">
      <c r="A314" s="22"/>
      <c r="B314" s="24"/>
      <c r="C314" s="24"/>
      <c r="D314" s="25"/>
      <c r="E314" s="24"/>
    </row>
    <row r="315" customFormat="false" ht="15" hidden="false" customHeight="false" outlineLevel="0" collapsed="false">
      <c r="A315" s="22"/>
      <c r="B315" s="24"/>
      <c r="C315" s="24"/>
      <c r="D315" s="25"/>
      <c r="E315" s="24"/>
    </row>
    <row r="316" customFormat="false" ht="15" hidden="false" customHeight="false" outlineLevel="0" collapsed="false">
      <c r="A316" s="22"/>
      <c r="B316" s="24"/>
      <c r="C316" s="24"/>
      <c r="D316" s="25"/>
      <c r="E316" s="24"/>
    </row>
    <row r="317" customFormat="false" ht="15" hidden="false" customHeight="false" outlineLevel="0" collapsed="false">
      <c r="A317" s="22"/>
      <c r="B317" s="24"/>
      <c r="C317" s="24"/>
      <c r="D317" s="25"/>
      <c r="E317" s="24"/>
    </row>
    <row r="318" customFormat="false" ht="15" hidden="false" customHeight="false" outlineLevel="0" collapsed="false">
      <c r="A318" s="22"/>
      <c r="B318" s="24"/>
      <c r="C318" s="24"/>
      <c r="D318" s="25"/>
      <c r="E318" s="24"/>
    </row>
    <row r="319" customFormat="false" ht="15" hidden="false" customHeight="false" outlineLevel="0" collapsed="false">
      <c r="A319" s="22"/>
      <c r="B319" s="24"/>
      <c r="C319" s="24"/>
      <c r="D319" s="25"/>
      <c r="E319" s="24"/>
    </row>
    <row r="320" customFormat="false" ht="15" hidden="false" customHeight="false" outlineLevel="0" collapsed="false">
      <c r="A320" s="22"/>
      <c r="B320" s="24"/>
      <c r="C320" s="24"/>
      <c r="D320" s="25"/>
      <c r="E320" s="24"/>
    </row>
    <row r="321" customFormat="false" ht="15" hidden="false" customHeight="false" outlineLevel="0" collapsed="false">
      <c r="A321" s="22"/>
      <c r="B321" s="24"/>
      <c r="C321" s="24"/>
      <c r="D321" s="25"/>
      <c r="E321" s="24"/>
    </row>
    <row r="322" customFormat="false" ht="15" hidden="false" customHeight="false" outlineLevel="0" collapsed="false">
      <c r="A322" s="22"/>
      <c r="B322" s="24"/>
      <c r="C322" s="24"/>
      <c r="D322" s="25"/>
      <c r="E322" s="24"/>
    </row>
    <row r="323" customFormat="false" ht="15" hidden="false" customHeight="false" outlineLevel="0" collapsed="false">
      <c r="A323" s="22"/>
      <c r="B323" s="24"/>
      <c r="C323" s="24"/>
      <c r="D323" s="25"/>
      <c r="E323" s="24"/>
    </row>
    <row r="324" customFormat="false" ht="15" hidden="false" customHeight="false" outlineLevel="0" collapsed="false">
      <c r="A324" s="22"/>
      <c r="B324" s="24"/>
      <c r="C324" s="24"/>
      <c r="D324" s="25"/>
      <c r="E324" s="24"/>
    </row>
    <row r="325" customFormat="false" ht="15" hidden="false" customHeight="false" outlineLevel="0" collapsed="false">
      <c r="A325" s="22"/>
      <c r="B325" s="24"/>
      <c r="C325" s="24"/>
      <c r="D325" s="25"/>
      <c r="E325" s="24"/>
    </row>
    <row r="326" customFormat="false" ht="15" hidden="false" customHeight="false" outlineLevel="0" collapsed="false">
      <c r="A326" s="22"/>
      <c r="B326" s="24"/>
      <c r="C326" s="24"/>
      <c r="D326" s="25"/>
      <c r="E326" s="24"/>
    </row>
    <row r="327" customFormat="false" ht="15" hidden="false" customHeight="false" outlineLevel="0" collapsed="false">
      <c r="A327" s="22"/>
      <c r="B327" s="24"/>
      <c r="C327" s="24"/>
      <c r="D327" s="25"/>
      <c r="E327" s="24"/>
    </row>
    <row r="328" customFormat="false" ht="15" hidden="false" customHeight="false" outlineLevel="0" collapsed="false">
      <c r="A328" s="22"/>
      <c r="B328" s="24"/>
      <c r="C328" s="24"/>
      <c r="D328" s="25"/>
      <c r="E328" s="24"/>
    </row>
    <row r="329" customFormat="false" ht="15" hidden="false" customHeight="false" outlineLevel="0" collapsed="false">
      <c r="A329" s="22"/>
      <c r="B329" s="24"/>
      <c r="C329" s="24"/>
      <c r="D329" s="25"/>
      <c r="E329" s="24"/>
    </row>
    <row r="330" customFormat="false" ht="15" hidden="false" customHeight="false" outlineLevel="0" collapsed="false">
      <c r="A330" s="22"/>
      <c r="B330" s="24"/>
      <c r="C330" s="24"/>
      <c r="D330" s="25"/>
      <c r="E330" s="24"/>
    </row>
    <row r="331" customFormat="false" ht="15" hidden="false" customHeight="false" outlineLevel="0" collapsed="false">
      <c r="A331" s="22"/>
      <c r="B331" s="24"/>
      <c r="C331" s="24"/>
      <c r="D331" s="25"/>
      <c r="E331" s="24"/>
    </row>
    <row r="332" customFormat="false" ht="15" hidden="false" customHeight="false" outlineLevel="0" collapsed="false">
      <c r="A332" s="22"/>
      <c r="B332" s="24"/>
      <c r="C332" s="24"/>
      <c r="D332" s="25"/>
      <c r="E332" s="24"/>
    </row>
    <row r="333" customFormat="false" ht="15" hidden="false" customHeight="false" outlineLevel="0" collapsed="false">
      <c r="A333" s="22"/>
      <c r="B333" s="24"/>
      <c r="C333" s="24"/>
      <c r="D333" s="25"/>
      <c r="E333" s="24"/>
    </row>
    <row r="334" customFormat="false" ht="15" hidden="false" customHeight="false" outlineLevel="0" collapsed="false">
      <c r="A334" s="22"/>
      <c r="B334" s="24"/>
      <c r="C334" s="24"/>
      <c r="D334" s="25"/>
      <c r="E334" s="24"/>
    </row>
    <row r="335" customFormat="false" ht="15" hidden="false" customHeight="false" outlineLevel="0" collapsed="false">
      <c r="A335" s="22"/>
      <c r="B335" s="24"/>
      <c r="C335" s="24"/>
      <c r="D335" s="25"/>
      <c r="E335" s="24"/>
    </row>
    <row r="336" customFormat="false" ht="15" hidden="false" customHeight="false" outlineLevel="0" collapsed="false">
      <c r="A336" s="22"/>
      <c r="B336" s="24"/>
      <c r="C336" s="24"/>
      <c r="D336" s="25"/>
      <c r="E336" s="24"/>
    </row>
    <row r="337" customFormat="false" ht="15" hidden="false" customHeight="false" outlineLevel="0" collapsed="false">
      <c r="A337" s="22"/>
      <c r="B337" s="24"/>
      <c r="C337" s="24"/>
      <c r="D337" s="25"/>
      <c r="E337" s="24"/>
    </row>
    <row r="338" customFormat="false" ht="15" hidden="false" customHeight="false" outlineLevel="0" collapsed="false">
      <c r="A338" s="22"/>
      <c r="B338" s="24"/>
      <c r="C338" s="24"/>
      <c r="D338" s="25"/>
      <c r="E338" s="24"/>
    </row>
    <row r="339" customFormat="false" ht="15" hidden="false" customHeight="false" outlineLevel="0" collapsed="false">
      <c r="A339" s="22"/>
      <c r="B339" s="24"/>
      <c r="C339" s="24"/>
      <c r="D339" s="25"/>
      <c r="E339" s="24"/>
    </row>
    <row r="340" customFormat="false" ht="15" hidden="false" customHeight="false" outlineLevel="0" collapsed="false">
      <c r="A340" s="22"/>
      <c r="B340" s="24"/>
      <c r="C340" s="24"/>
      <c r="D340" s="25"/>
      <c r="E340" s="24"/>
    </row>
    <row r="341" customFormat="false" ht="15" hidden="false" customHeight="false" outlineLevel="0" collapsed="false">
      <c r="A341" s="22"/>
      <c r="B341" s="24"/>
      <c r="C341" s="24"/>
      <c r="D341" s="25"/>
      <c r="E341" s="24"/>
    </row>
    <row r="342" customFormat="false" ht="15" hidden="false" customHeight="false" outlineLevel="0" collapsed="false">
      <c r="A342" s="22"/>
      <c r="B342" s="24"/>
      <c r="C342" s="24"/>
      <c r="D342" s="25"/>
      <c r="E342" s="24"/>
    </row>
    <row r="343" customFormat="false" ht="15" hidden="false" customHeight="false" outlineLevel="0" collapsed="false">
      <c r="A343" s="22"/>
      <c r="B343" s="24"/>
      <c r="C343" s="24"/>
      <c r="D343" s="25"/>
      <c r="E343" s="24"/>
    </row>
    <row r="344" customFormat="false" ht="15" hidden="false" customHeight="false" outlineLevel="0" collapsed="false">
      <c r="A344" s="22"/>
      <c r="B344" s="24"/>
      <c r="C344" s="24"/>
      <c r="D344" s="25"/>
      <c r="E344" s="24"/>
    </row>
    <row r="345" customFormat="false" ht="15" hidden="false" customHeight="false" outlineLevel="0" collapsed="false">
      <c r="A345" s="22"/>
      <c r="B345" s="24"/>
      <c r="C345" s="24"/>
      <c r="D345" s="25"/>
      <c r="E345" s="24"/>
    </row>
    <row r="346" customFormat="false" ht="15" hidden="false" customHeight="false" outlineLevel="0" collapsed="false">
      <c r="A346" s="22"/>
      <c r="B346" s="24"/>
      <c r="C346" s="24"/>
      <c r="D346" s="25"/>
      <c r="E346" s="24"/>
    </row>
    <row r="347" customFormat="false" ht="15" hidden="false" customHeight="false" outlineLevel="0" collapsed="false">
      <c r="A347" s="22"/>
      <c r="B347" s="24"/>
      <c r="C347" s="24"/>
      <c r="D347" s="25"/>
      <c r="E347" s="24"/>
    </row>
    <row r="348" customFormat="false" ht="15" hidden="false" customHeight="false" outlineLevel="0" collapsed="false">
      <c r="A348" s="22"/>
      <c r="B348" s="24"/>
      <c r="C348" s="24"/>
      <c r="D348" s="25"/>
      <c r="E348" s="24"/>
    </row>
    <row r="349" customFormat="false" ht="15" hidden="false" customHeight="false" outlineLevel="0" collapsed="false">
      <c r="A349" s="22"/>
      <c r="B349" s="24"/>
      <c r="C349" s="24"/>
      <c r="D349" s="25"/>
      <c r="E349" s="24"/>
    </row>
    <row r="350" customFormat="false" ht="15" hidden="false" customHeight="false" outlineLevel="0" collapsed="false">
      <c r="A350" s="22"/>
      <c r="B350" s="24"/>
      <c r="C350" s="24"/>
      <c r="D350" s="25"/>
      <c r="E350" s="24"/>
    </row>
    <row r="351" customFormat="false" ht="15" hidden="false" customHeight="false" outlineLevel="0" collapsed="false">
      <c r="A351" s="22"/>
      <c r="B351" s="24"/>
      <c r="C351" s="24"/>
      <c r="D351" s="25"/>
      <c r="E351" s="24"/>
    </row>
    <row r="352" customFormat="false" ht="15" hidden="false" customHeight="false" outlineLevel="0" collapsed="false">
      <c r="A352" s="22"/>
      <c r="B352" s="24"/>
      <c r="C352" s="24"/>
      <c r="D352" s="25"/>
      <c r="E352" s="24"/>
    </row>
    <row r="353" customFormat="false" ht="15" hidden="false" customHeight="false" outlineLevel="0" collapsed="false">
      <c r="A353" s="22"/>
      <c r="B353" s="24"/>
      <c r="C353" s="24"/>
      <c r="D353" s="25"/>
      <c r="E353" s="24"/>
    </row>
    <row r="354" customFormat="false" ht="15" hidden="false" customHeight="false" outlineLevel="0" collapsed="false">
      <c r="A354" s="22"/>
      <c r="B354" s="24"/>
      <c r="C354" s="24"/>
      <c r="D354" s="25"/>
      <c r="E354" s="24"/>
    </row>
    <row r="355" customFormat="false" ht="15" hidden="false" customHeight="false" outlineLevel="0" collapsed="false">
      <c r="A355" s="22"/>
      <c r="B355" s="24"/>
      <c r="C355" s="24"/>
      <c r="D355" s="25"/>
      <c r="E355" s="24"/>
    </row>
    <row r="356" customFormat="false" ht="15" hidden="false" customHeight="false" outlineLevel="0" collapsed="false">
      <c r="A356" s="22"/>
      <c r="B356" s="24"/>
      <c r="C356" s="24"/>
      <c r="D356" s="25"/>
      <c r="E356" s="24"/>
    </row>
    <row r="357" customFormat="false" ht="15" hidden="false" customHeight="false" outlineLevel="0" collapsed="false">
      <c r="A357" s="22"/>
      <c r="B357" s="24"/>
      <c r="C357" s="24"/>
      <c r="D357" s="25"/>
      <c r="E357" s="24"/>
    </row>
    <row r="358" customFormat="false" ht="15" hidden="false" customHeight="false" outlineLevel="0" collapsed="false">
      <c r="A358" s="22"/>
      <c r="B358" s="24"/>
      <c r="C358" s="24"/>
      <c r="D358" s="25"/>
      <c r="E358" s="24"/>
    </row>
    <row r="359" customFormat="false" ht="15" hidden="false" customHeight="false" outlineLevel="0" collapsed="false">
      <c r="A359" s="22"/>
      <c r="B359" s="24"/>
      <c r="C359" s="24"/>
      <c r="D359" s="25"/>
      <c r="E359" s="24"/>
    </row>
    <row r="360" customFormat="false" ht="15" hidden="false" customHeight="false" outlineLevel="0" collapsed="false">
      <c r="A360" s="22"/>
      <c r="B360" s="24"/>
      <c r="C360" s="24"/>
      <c r="D360" s="25"/>
      <c r="E360" s="24"/>
    </row>
    <row r="361" customFormat="false" ht="15" hidden="false" customHeight="false" outlineLevel="0" collapsed="false">
      <c r="A361" s="22"/>
      <c r="B361" s="24"/>
      <c r="C361" s="24"/>
      <c r="D361" s="25"/>
      <c r="E361" s="24"/>
    </row>
    <row r="362" customFormat="false" ht="15" hidden="false" customHeight="false" outlineLevel="0" collapsed="false">
      <c r="A362" s="22"/>
      <c r="B362" s="24"/>
      <c r="C362" s="24"/>
      <c r="D362" s="25"/>
      <c r="E362" s="24"/>
    </row>
    <row r="363" customFormat="false" ht="15" hidden="false" customHeight="false" outlineLevel="0" collapsed="false">
      <c r="A363" s="22"/>
      <c r="B363" s="24"/>
      <c r="C363" s="24"/>
      <c r="D363" s="25"/>
      <c r="E363" s="24"/>
    </row>
    <row r="364" customFormat="false" ht="15" hidden="false" customHeight="false" outlineLevel="0" collapsed="false">
      <c r="A364" s="22"/>
      <c r="B364" s="24"/>
      <c r="C364" s="24"/>
      <c r="D364" s="25"/>
      <c r="E364" s="24"/>
    </row>
    <row r="365" customFormat="false" ht="15" hidden="false" customHeight="false" outlineLevel="0" collapsed="false">
      <c r="A365" s="22"/>
      <c r="B365" s="24"/>
      <c r="C365" s="24"/>
      <c r="D365" s="25"/>
      <c r="E365" s="24"/>
    </row>
    <row r="366" customFormat="false" ht="15" hidden="false" customHeight="false" outlineLevel="0" collapsed="false">
      <c r="A366" s="22"/>
      <c r="B366" s="24"/>
      <c r="C366" s="24"/>
      <c r="D366" s="25"/>
      <c r="E366" s="24"/>
    </row>
    <row r="367" customFormat="false" ht="15" hidden="false" customHeight="false" outlineLevel="0" collapsed="false">
      <c r="A367" s="22"/>
      <c r="B367" s="24"/>
      <c r="C367" s="24"/>
      <c r="D367" s="25"/>
      <c r="E367" s="24"/>
    </row>
    <row r="368" customFormat="false" ht="15" hidden="false" customHeight="false" outlineLevel="0" collapsed="false">
      <c r="A368" s="22"/>
      <c r="B368" s="24"/>
      <c r="C368" s="24"/>
      <c r="D368" s="25"/>
      <c r="E368" s="24"/>
    </row>
    <row r="369" customFormat="false" ht="15" hidden="false" customHeight="false" outlineLevel="0" collapsed="false">
      <c r="A369" s="22"/>
      <c r="B369" s="24"/>
      <c r="C369" s="24"/>
      <c r="D369" s="25"/>
      <c r="E369" s="24"/>
    </row>
    <row r="370" customFormat="false" ht="15" hidden="false" customHeight="false" outlineLevel="0" collapsed="false">
      <c r="A370" s="22"/>
      <c r="B370" s="24"/>
      <c r="C370" s="24"/>
      <c r="D370" s="25"/>
      <c r="E370" s="24"/>
    </row>
    <row r="371" customFormat="false" ht="15" hidden="false" customHeight="false" outlineLevel="0" collapsed="false">
      <c r="A371" s="22"/>
      <c r="B371" s="24"/>
      <c r="C371" s="24"/>
      <c r="D371" s="25"/>
      <c r="E371" s="24"/>
    </row>
    <row r="372" customFormat="false" ht="15" hidden="false" customHeight="false" outlineLevel="0" collapsed="false">
      <c r="A372" s="22"/>
      <c r="B372" s="24"/>
      <c r="C372" s="24"/>
      <c r="D372" s="25"/>
      <c r="E372" s="24"/>
    </row>
    <row r="373" customFormat="false" ht="15" hidden="false" customHeight="false" outlineLevel="0" collapsed="false">
      <c r="A373" s="22"/>
      <c r="B373" s="24"/>
      <c r="C373" s="24"/>
      <c r="D373" s="25"/>
      <c r="E373" s="24"/>
    </row>
    <row r="374" customFormat="false" ht="15" hidden="false" customHeight="false" outlineLevel="0" collapsed="false">
      <c r="A374" s="22"/>
      <c r="B374" s="24"/>
      <c r="C374" s="24"/>
      <c r="D374" s="25"/>
      <c r="E374" s="24"/>
    </row>
    <row r="375" customFormat="false" ht="15" hidden="false" customHeight="false" outlineLevel="0" collapsed="false">
      <c r="A375" s="22"/>
      <c r="B375" s="24"/>
      <c r="C375" s="24"/>
      <c r="D375" s="25"/>
      <c r="E375" s="24"/>
    </row>
    <row r="376" customFormat="false" ht="15" hidden="false" customHeight="false" outlineLevel="0" collapsed="false">
      <c r="A376" s="22"/>
      <c r="B376" s="24"/>
      <c r="C376" s="24"/>
      <c r="D376" s="25"/>
      <c r="E376" s="24"/>
    </row>
    <row r="377" customFormat="false" ht="15" hidden="false" customHeight="false" outlineLevel="0" collapsed="false">
      <c r="A377" s="22"/>
      <c r="B377" s="24"/>
      <c r="C377" s="24"/>
      <c r="D377" s="25"/>
      <c r="E377" s="24"/>
    </row>
    <row r="378" customFormat="false" ht="15" hidden="false" customHeight="false" outlineLevel="0" collapsed="false">
      <c r="A378" s="22"/>
      <c r="B378" s="24"/>
      <c r="C378" s="24"/>
      <c r="D378" s="25"/>
      <c r="E378" s="24"/>
    </row>
    <row r="379" customFormat="false" ht="15" hidden="false" customHeight="false" outlineLevel="0" collapsed="false">
      <c r="A379" s="22"/>
      <c r="B379" s="24"/>
      <c r="C379" s="24"/>
      <c r="D379" s="25"/>
      <c r="E379" s="24"/>
    </row>
    <row r="380" customFormat="false" ht="15" hidden="false" customHeight="false" outlineLevel="0" collapsed="false">
      <c r="A380" s="22"/>
      <c r="B380" s="24"/>
      <c r="C380" s="24"/>
      <c r="D380" s="25"/>
      <c r="E380" s="24"/>
    </row>
    <row r="381" customFormat="false" ht="15" hidden="false" customHeight="false" outlineLevel="0" collapsed="false">
      <c r="A381" s="22"/>
      <c r="B381" s="24"/>
      <c r="C381" s="24"/>
      <c r="D381" s="25"/>
      <c r="E381" s="24"/>
    </row>
    <row r="382" customFormat="false" ht="15" hidden="false" customHeight="false" outlineLevel="0" collapsed="false">
      <c r="A382" s="22"/>
      <c r="B382" s="24"/>
      <c r="C382" s="24"/>
      <c r="D382" s="25"/>
      <c r="E382" s="24"/>
    </row>
    <row r="383" customFormat="false" ht="15" hidden="false" customHeight="false" outlineLevel="0" collapsed="false">
      <c r="A383" s="22"/>
      <c r="B383" s="24"/>
      <c r="C383" s="24"/>
      <c r="D383" s="25"/>
      <c r="E383" s="24"/>
    </row>
    <row r="384" customFormat="false" ht="15" hidden="false" customHeight="false" outlineLevel="0" collapsed="false">
      <c r="A384" s="22"/>
      <c r="B384" s="24"/>
      <c r="C384" s="24"/>
      <c r="D384" s="25"/>
      <c r="E384" s="24"/>
    </row>
    <row r="385" customFormat="false" ht="15" hidden="false" customHeight="false" outlineLevel="0" collapsed="false">
      <c r="A385" s="22"/>
      <c r="B385" s="24"/>
      <c r="C385" s="24"/>
      <c r="D385" s="25"/>
      <c r="E385" s="24"/>
    </row>
    <row r="386" customFormat="false" ht="15" hidden="false" customHeight="false" outlineLevel="0" collapsed="false">
      <c r="A386" s="22"/>
      <c r="B386" s="24"/>
      <c r="C386" s="24"/>
      <c r="D386" s="25"/>
      <c r="E386" s="24"/>
    </row>
    <row r="387" customFormat="false" ht="15" hidden="false" customHeight="false" outlineLevel="0" collapsed="false">
      <c r="A387" s="22"/>
      <c r="B387" s="24"/>
      <c r="C387" s="24"/>
      <c r="D387" s="25"/>
      <c r="E387" s="24"/>
    </row>
    <row r="388" customFormat="false" ht="15" hidden="false" customHeight="false" outlineLevel="0" collapsed="false">
      <c r="A388" s="22"/>
      <c r="B388" s="24"/>
      <c r="C388" s="24"/>
      <c r="D388" s="25"/>
      <c r="E388" s="24"/>
    </row>
    <row r="389" customFormat="false" ht="15" hidden="false" customHeight="false" outlineLevel="0" collapsed="false">
      <c r="A389" s="22"/>
      <c r="B389" s="24"/>
      <c r="C389" s="24"/>
      <c r="D389" s="25"/>
      <c r="E389" s="24"/>
    </row>
    <row r="390" customFormat="false" ht="15" hidden="false" customHeight="false" outlineLevel="0" collapsed="false">
      <c r="A390" s="22"/>
      <c r="B390" s="24"/>
      <c r="C390" s="24"/>
      <c r="D390" s="25"/>
      <c r="E390" s="24"/>
    </row>
    <row r="391" customFormat="false" ht="15" hidden="false" customHeight="false" outlineLevel="0" collapsed="false">
      <c r="A391" s="22"/>
      <c r="B391" s="24"/>
      <c r="C391" s="24"/>
      <c r="D391" s="25"/>
      <c r="E391" s="24"/>
    </row>
    <row r="392" customFormat="false" ht="15" hidden="false" customHeight="false" outlineLevel="0" collapsed="false">
      <c r="A392" s="22"/>
      <c r="B392" s="24"/>
      <c r="C392" s="24"/>
      <c r="D392" s="25"/>
      <c r="E392" s="24"/>
    </row>
    <row r="393" customFormat="false" ht="15" hidden="false" customHeight="false" outlineLevel="0" collapsed="false">
      <c r="A393" s="22"/>
      <c r="B393" s="24"/>
      <c r="C393" s="24"/>
      <c r="D393" s="25"/>
      <c r="E393" s="24"/>
    </row>
    <row r="394" customFormat="false" ht="15" hidden="false" customHeight="false" outlineLevel="0" collapsed="false">
      <c r="A394" s="22"/>
      <c r="B394" s="24"/>
      <c r="C394" s="24"/>
      <c r="D394" s="25"/>
      <c r="E394" s="24"/>
    </row>
    <row r="395" customFormat="false" ht="15" hidden="false" customHeight="false" outlineLevel="0" collapsed="false">
      <c r="A395" s="22"/>
      <c r="B395" s="24"/>
      <c r="C395" s="24"/>
      <c r="D395" s="25"/>
      <c r="E395" s="24"/>
    </row>
    <row r="396" customFormat="false" ht="15" hidden="false" customHeight="false" outlineLevel="0" collapsed="false">
      <c r="A396" s="22"/>
      <c r="B396" s="24"/>
      <c r="C396" s="24"/>
      <c r="D396" s="25"/>
      <c r="E396" s="24"/>
    </row>
    <row r="397" customFormat="false" ht="15" hidden="false" customHeight="false" outlineLevel="0" collapsed="false">
      <c r="A397" s="22"/>
      <c r="B397" s="24"/>
      <c r="C397" s="24"/>
      <c r="D397" s="25"/>
      <c r="E397" s="24"/>
    </row>
    <row r="398" customFormat="false" ht="15" hidden="false" customHeight="false" outlineLevel="0" collapsed="false">
      <c r="A398" s="22"/>
      <c r="B398" s="24"/>
      <c r="C398" s="24"/>
      <c r="D398" s="25"/>
      <c r="E398" s="24"/>
    </row>
    <row r="399" customFormat="false" ht="15" hidden="false" customHeight="false" outlineLevel="0" collapsed="false">
      <c r="A399" s="22"/>
      <c r="B399" s="24"/>
      <c r="C399" s="24"/>
      <c r="D399" s="25"/>
      <c r="E399" s="24"/>
    </row>
    <row r="400" customFormat="false" ht="15" hidden="false" customHeight="false" outlineLevel="0" collapsed="false">
      <c r="A400" s="22"/>
      <c r="B400" s="24"/>
      <c r="C400" s="24"/>
      <c r="D400" s="25"/>
      <c r="E400" s="24"/>
    </row>
    <row r="401" customFormat="false" ht="15" hidden="false" customHeight="false" outlineLevel="0" collapsed="false">
      <c r="A401" s="22"/>
      <c r="B401" s="24"/>
      <c r="C401" s="24"/>
      <c r="D401" s="25"/>
      <c r="E401" s="24"/>
    </row>
    <row r="402" customFormat="false" ht="15" hidden="false" customHeight="false" outlineLevel="0" collapsed="false">
      <c r="A402" s="22"/>
      <c r="B402" s="24"/>
      <c r="C402" s="24"/>
      <c r="D402" s="25"/>
      <c r="E402" s="24"/>
    </row>
    <row r="403" customFormat="false" ht="15" hidden="false" customHeight="false" outlineLevel="0" collapsed="false">
      <c r="A403" s="22"/>
      <c r="B403" s="24"/>
      <c r="C403" s="24"/>
      <c r="D403" s="25"/>
      <c r="E403" s="24"/>
    </row>
    <row r="404" customFormat="false" ht="15" hidden="false" customHeight="false" outlineLevel="0" collapsed="false">
      <c r="A404" s="22"/>
      <c r="B404" s="24"/>
      <c r="C404" s="24"/>
      <c r="D404" s="25"/>
      <c r="E404" s="24"/>
    </row>
    <row r="405" customFormat="false" ht="15" hidden="false" customHeight="false" outlineLevel="0" collapsed="false">
      <c r="A405" s="22"/>
      <c r="B405" s="24"/>
      <c r="C405" s="24"/>
      <c r="D405" s="25"/>
      <c r="E405" s="24"/>
    </row>
    <row r="406" customFormat="false" ht="15" hidden="false" customHeight="false" outlineLevel="0" collapsed="false">
      <c r="A406" s="22"/>
      <c r="B406" s="24"/>
      <c r="C406" s="24"/>
      <c r="D406" s="25"/>
      <c r="E406" s="24"/>
    </row>
    <row r="407" customFormat="false" ht="15" hidden="false" customHeight="false" outlineLevel="0" collapsed="false">
      <c r="A407" s="22"/>
      <c r="B407" s="24"/>
      <c r="C407" s="24"/>
      <c r="D407" s="25"/>
      <c r="E407" s="24"/>
    </row>
    <row r="408" customFormat="false" ht="15" hidden="false" customHeight="false" outlineLevel="0" collapsed="false">
      <c r="A408" s="22"/>
      <c r="B408" s="24"/>
      <c r="C408" s="24"/>
      <c r="D408" s="25"/>
      <c r="E408" s="24"/>
    </row>
    <row r="409" customFormat="false" ht="15" hidden="false" customHeight="false" outlineLevel="0" collapsed="false">
      <c r="A409" s="22"/>
      <c r="B409" s="24"/>
      <c r="C409" s="24"/>
      <c r="D409" s="25"/>
      <c r="E409" s="24"/>
    </row>
    <row r="410" customFormat="false" ht="15" hidden="false" customHeight="false" outlineLevel="0" collapsed="false">
      <c r="A410" s="22"/>
      <c r="B410" s="24"/>
      <c r="C410" s="24"/>
      <c r="D410" s="25"/>
      <c r="E410" s="24"/>
    </row>
    <row r="411" customFormat="false" ht="15" hidden="false" customHeight="false" outlineLevel="0" collapsed="false">
      <c r="A411" s="22"/>
      <c r="B411" s="24"/>
      <c r="C411" s="24"/>
      <c r="D411" s="25"/>
      <c r="E411" s="24"/>
    </row>
    <row r="412" customFormat="false" ht="15" hidden="false" customHeight="false" outlineLevel="0" collapsed="false">
      <c r="A412" s="22"/>
      <c r="B412" s="24"/>
      <c r="C412" s="24"/>
      <c r="D412" s="25"/>
      <c r="E412" s="24"/>
    </row>
    <row r="413" customFormat="false" ht="15" hidden="false" customHeight="false" outlineLevel="0" collapsed="false">
      <c r="A413" s="22"/>
      <c r="B413" s="24"/>
      <c r="C413" s="24"/>
      <c r="D413" s="25"/>
      <c r="E413" s="24"/>
    </row>
    <row r="414" customFormat="false" ht="15" hidden="false" customHeight="false" outlineLevel="0" collapsed="false">
      <c r="A414" s="22"/>
      <c r="B414" s="24"/>
      <c r="C414" s="24"/>
      <c r="D414" s="25"/>
      <c r="E414" s="24"/>
    </row>
    <row r="415" customFormat="false" ht="15" hidden="false" customHeight="false" outlineLevel="0" collapsed="false">
      <c r="A415" s="22"/>
      <c r="B415" s="24"/>
      <c r="C415" s="24"/>
      <c r="D415" s="25"/>
      <c r="E415" s="24"/>
    </row>
    <row r="416" customFormat="false" ht="15" hidden="false" customHeight="false" outlineLevel="0" collapsed="false">
      <c r="A416" s="22"/>
      <c r="B416" s="24"/>
      <c r="C416" s="24"/>
      <c r="D416" s="25"/>
      <c r="E416" s="24"/>
    </row>
    <row r="417" customFormat="false" ht="15" hidden="false" customHeight="false" outlineLevel="0" collapsed="false">
      <c r="A417" s="22"/>
      <c r="B417" s="24"/>
      <c r="C417" s="24"/>
      <c r="D417" s="25"/>
      <c r="E417" s="24"/>
    </row>
    <row r="418" customFormat="false" ht="15" hidden="false" customHeight="false" outlineLevel="0" collapsed="false">
      <c r="A418" s="22"/>
      <c r="B418" s="24"/>
      <c r="C418" s="24"/>
      <c r="D418" s="25"/>
      <c r="E418" s="24"/>
    </row>
    <row r="419" customFormat="false" ht="15" hidden="false" customHeight="false" outlineLevel="0" collapsed="false">
      <c r="A419" s="22"/>
      <c r="B419" s="24"/>
      <c r="C419" s="24"/>
      <c r="D419" s="25"/>
      <c r="E419" s="24"/>
    </row>
    <row r="420" customFormat="false" ht="15" hidden="false" customHeight="false" outlineLevel="0" collapsed="false">
      <c r="A420" s="22"/>
      <c r="B420" s="24"/>
      <c r="C420" s="24"/>
      <c r="D420" s="25"/>
      <c r="E420" s="24"/>
    </row>
    <row r="421" customFormat="false" ht="15" hidden="false" customHeight="false" outlineLevel="0" collapsed="false">
      <c r="A421" s="22"/>
      <c r="B421" s="24"/>
      <c r="C421" s="24"/>
      <c r="D421" s="25"/>
      <c r="E421" s="24"/>
    </row>
    <row r="422" customFormat="false" ht="15" hidden="false" customHeight="false" outlineLevel="0" collapsed="false">
      <c r="A422" s="22"/>
      <c r="B422" s="24"/>
      <c r="C422" s="24"/>
      <c r="D422" s="25"/>
      <c r="E422" s="24"/>
    </row>
    <row r="423" customFormat="false" ht="15" hidden="false" customHeight="false" outlineLevel="0" collapsed="false">
      <c r="A423" s="22"/>
      <c r="B423" s="24"/>
      <c r="C423" s="24"/>
      <c r="D423" s="25"/>
      <c r="E423" s="24"/>
    </row>
    <row r="424" customFormat="false" ht="15" hidden="false" customHeight="false" outlineLevel="0" collapsed="false">
      <c r="A424" s="22"/>
      <c r="B424" s="24"/>
      <c r="C424" s="24"/>
      <c r="D424" s="25"/>
      <c r="E424" s="24"/>
    </row>
    <row r="425" customFormat="false" ht="15" hidden="false" customHeight="false" outlineLevel="0" collapsed="false">
      <c r="A425" s="22"/>
      <c r="B425" s="24"/>
      <c r="C425" s="24"/>
      <c r="D425" s="25"/>
      <c r="E425" s="24"/>
    </row>
    <row r="426" customFormat="false" ht="15" hidden="false" customHeight="false" outlineLevel="0" collapsed="false">
      <c r="A426" s="22"/>
      <c r="B426" s="24"/>
      <c r="C426" s="24"/>
      <c r="D426" s="25"/>
      <c r="E426" s="24"/>
    </row>
    <row r="427" customFormat="false" ht="15" hidden="false" customHeight="false" outlineLevel="0" collapsed="false">
      <c r="A427" s="22"/>
      <c r="B427" s="24"/>
      <c r="C427" s="24"/>
      <c r="D427" s="25"/>
      <c r="E427" s="24"/>
    </row>
    <row r="428" customFormat="false" ht="15" hidden="false" customHeight="false" outlineLevel="0" collapsed="false">
      <c r="A428" s="22"/>
      <c r="B428" s="24"/>
      <c r="C428" s="24"/>
      <c r="D428" s="25"/>
      <c r="E428" s="24"/>
    </row>
    <row r="429" customFormat="false" ht="15" hidden="false" customHeight="false" outlineLevel="0" collapsed="false">
      <c r="A429" s="22"/>
      <c r="B429" s="24"/>
      <c r="C429" s="24"/>
      <c r="D429" s="25"/>
      <c r="E429" s="24"/>
    </row>
    <row r="430" customFormat="false" ht="15" hidden="false" customHeight="false" outlineLevel="0" collapsed="false">
      <c r="A430" s="22"/>
      <c r="B430" s="24"/>
      <c r="C430" s="24"/>
      <c r="D430" s="25"/>
      <c r="E430" s="24"/>
    </row>
    <row r="431" customFormat="false" ht="15" hidden="false" customHeight="false" outlineLevel="0" collapsed="false">
      <c r="A431" s="22"/>
      <c r="B431" s="24"/>
      <c r="C431" s="24"/>
      <c r="D431" s="25"/>
      <c r="E431" s="24"/>
    </row>
    <row r="432" customFormat="false" ht="15" hidden="false" customHeight="false" outlineLevel="0" collapsed="false">
      <c r="A432" s="22"/>
      <c r="B432" s="24"/>
      <c r="C432" s="24"/>
      <c r="D432" s="25"/>
      <c r="E432" s="24"/>
    </row>
    <row r="433" customFormat="false" ht="15" hidden="false" customHeight="false" outlineLevel="0" collapsed="false">
      <c r="A433" s="22"/>
      <c r="B433" s="24"/>
      <c r="C433" s="24"/>
      <c r="D433" s="25"/>
      <c r="E433" s="24"/>
    </row>
    <row r="434" customFormat="false" ht="15" hidden="false" customHeight="false" outlineLevel="0" collapsed="false">
      <c r="A434" s="22"/>
      <c r="B434" s="24"/>
      <c r="C434" s="24"/>
      <c r="D434" s="25"/>
      <c r="E434" s="24"/>
    </row>
    <row r="435" customFormat="false" ht="15" hidden="false" customHeight="false" outlineLevel="0" collapsed="false">
      <c r="A435" s="22"/>
      <c r="B435" s="24"/>
      <c r="C435" s="24"/>
      <c r="D435" s="25"/>
      <c r="E435" s="24"/>
    </row>
    <row r="436" customFormat="false" ht="15" hidden="false" customHeight="false" outlineLevel="0" collapsed="false">
      <c r="A436" s="22"/>
      <c r="B436" s="24"/>
      <c r="C436" s="24"/>
      <c r="D436" s="25"/>
      <c r="E436" s="24"/>
    </row>
    <row r="437" customFormat="false" ht="15" hidden="false" customHeight="false" outlineLevel="0" collapsed="false">
      <c r="A437" s="22"/>
      <c r="B437" s="24"/>
      <c r="C437" s="24"/>
      <c r="D437" s="25"/>
      <c r="E437" s="24"/>
    </row>
    <row r="438" customFormat="false" ht="15" hidden="false" customHeight="false" outlineLevel="0" collapsed="false">
      <c r="A438" s="22"/>
      <c r="B438" s="24"/>
      <c r="C438" s="24"/>
      <c r="D438" s="25"/>
      <c r="E438" s="24"/>
    </row>
    <row r="439" customFormat="false" ht="15" hidden="false" customHeight="false" outlineLevel="0" collapsed="false">
      <c r="A439" s="22"/>
      <c r="B439" s="24"/>
      <c r="C439" s="24"/>
      <c r="D439" s="25"/>
      <c r="E439" s="24"/>
    </row>
    <row r="440" customFormat="false" ht="15" hidden="false" customHeight="false" outlineLevel="0" collapsed="false">
      <c r="A440" s="22"/>
      <c r="B440" s="24"/>
      <c r="C440" s="24"/>
      <c r="D440" s="25"/>
      <c r="E440" s="24"/>
    </row>
    <row r="441" customFormat="false" ht="15" hidden="false" customHeight="false" outlineLevel="0" collapsed="false">
      <c r="A441" s="22"/>
      <c r="B441" s="24"/>
      <c r="C441" s="24"/>
      <c r="D441" s="25"/>
      <c r="E441" s="24"/>
    </row>
    <row r="442" customFormat="false" ht="15" hidden="false" customHeight="false" outlineLevel="0" collapsed="false">
      <c r="A442" s="22"/>
      <c r="B442" s="24"/>
      <c r="C442" s="24"/>
      <c r="D442" s="25"/>
      <c r="E442" s="24"/>
    </row>
    <row r="443" customFormat="false" ht="15" hidden="false" customHeight="false" outlineLevel="0" collapsed="false">
      <c r="A443" s="22"/>
      <c r="B443" s="24"/>
      <c r="C443" s="24"/>
      <c r="D443" s="25"/>
      <c r="E443" s="24"/>
    </row>
    <row r="444" customFormat="false" ht="15" hidden="false" customHeight="false" outlineLevel="0" collapsed="false">
      <c r="A444" s="22"/>
      <c r="B444" s="24"/>
      <c r="C444" s="24"/>
      <c r="D444" s="25"/>
      <c r="E444" s="24"/>
    </row>
    <row r="445" customFormat="false" ht="15" hidden="false" customHeight="false" outlineLevel="0" collapsed="false">
      <c r="A445" s="22"/>
      <c r="B445" s="24"/>
      <c r="C445" s="24"/>
      <c r="D445" s="25"/>
      <c r="E445" s="24"/>
    </row>
    <row r="446" customFormat="false" ht="15" hidden="false" customHeight="false" outlineLevel="0" collapsed="false">
      <c r="A446" s="22"/>
      <c r="B446" s="24"/>
      <c r="C446" s="24"/>
      <c r="D446" s="25"/>
      <c r="E446" s="24"/>
    </row>
    <row r="447" customFormat="false" ht="15" hidden="false" customHeight="false" outlineLevel="0" collapsed="false">
      <c r="A447" s="22"/>
      <c r="B447" s="24"/>
      <c r="C447" s="24"/>
      <c r="D447" s="25"/>
      <c r="E447" s="24"/>
    </row>
    <row r="448" customFormat="false" ht="15" hidden="false" customHeight="false" outlineLevel="0" collapsed="false">
      <c r="A448" s="22"/>
      <c r="B448" s="24"/>
      <c r="C448" s="24"/>
      <c r="D448" s="25"/>
      <c r="E448" s="24"/>
    </row>
    <row r="449" customFormat="false" ht="15" hidden="false" customHeight="false" outlineLevel="0" collapsed="false">
      <c r="A449" s="22"/>
      <c r="B449" s="24"/>
      <c r="C449" s="24"/>
      <c r="D449" s="25"/>
      <c r="E449" s="24"/>
    </row>
    <row r="450" customFormat="false" ht="15" hidden="false" customHeight="false" outlineLevel="0" collapsed="false">
      <c r="A450" s="22"/>
      <c r="B450" s="24"/>
      <c r="C450" s="24"/>
      <c r="D450" s="25"/>
      <c r="E450" s="24"/>
    </row>
    <row r="451" customFormat="false" ht="15" hidden="false" customHeight="false" outlineLevel="0" collapsed="false">
      <c r="A451" s="22"/>
      <c r="B451" s="24"/>
      <c r="C451" s="24"/>
      <c r="D451" s="25"/>
      <c r="E451" s="24"/>
    </row>
    <row r="452" customFormat="false" ht="15" hidden="false" customHeight="false" outlineLevel="0" collapsed="false">
      <c r="A452" s="22"/>
      <c r="B452" s="24"/>
      <c r="C452" s="24"/>
      <c r="D452" s="25"/>
      <c r="E452" s="24"/>
    </row>
    <row r="453" customFormat="false" ht="15" hidden="false" customHeight="false" outlineLevel="0" collapsed="false">
      <c r="A453" s="22"/>
      <c r="B453" s="24"/>
      <c r="C453" s="24"/>
      <c r="D453" s="25"/>
      <c r="E453" s="24"/>
    </row>
    <row r="454" customFormat="false" ht="15" hidden="false" customHeight="false" outlineLevel="0" collapsed="false">
      <c r="A454" s="22"/>
      <c r="B454" s="24"/>
      <c r="C454" s="24"/>
      <c r="D454" s="25"/>
      <c r="E454" s="24"/>
    </row>
    <row r="455" customFormat="false" ht="15" hidden="false" customHeight="false" outlineLevel="0" collapsed="false">
      <c r="A455" s="22"/>
      <c r="B455" s="24"/>
      <c r="C455" s="24"/>
      <c r="D455" s="25"/>
      <c r="E455" s="24"/>
    </row>
    <row r="456" customFormat="false" ht="15" hidden="false" customHeight="false" outlineLevel="0" collapsed="false">
      <c r="A456" s="22"/>
      <c r="B456" s="24"/>
      <c r="C456" s="24"/>
      <c r="D456" s="25"/>
      <c r="E456" s="24"/>
    </row>
    <row r="457" customFormat="false" ht="15" hidden="false" customHeight="false" outlineLevel="0" collapsed="false">
      <c r="A457" s="22"/>
      <c r="B457" s="24"/>
      <c r="C457" s="24"/>
      <c r="D457" s="25"/>
      <c r="E457" s="24"/>
    </row>
    <row r="458" customFormat="false" ht="15" hidden="false" customHeight="false" outlineLevel="0" collapsed="false">
      <c r="A458" s="22"/>
      <c r="B458" s="24"/>
      <c r="C458" s="24"/>
      <c r="D458" s="25"/>
      <c r="E458" s="24"/>
    </row>
    <row r="459" customFormat="false" ht="15" hidden="false" customHeight="false" outlineLevel="0" collapsed="false">
      <c r="A459" s="22"/>
      <c r="B459" s="24"/>
      <c r="C459" s="24"/>
      <c r="D459" s="25"/>
      <c r="E459" s="24"/>
    </row>
    <row r="460" customFormat="false" ht="15" hidden="false" customHeight="false" outlineLevel="0" collapsed="false">
      <c r="A460" s="22"/>
      <c r="B460" s="24"/>
      <c r="C460" s="24"/>
      <c r="D460" s="25"/>
      <c r="E460" s="24"/>
    </row>
    <row r="461" customFormat="false" ht="15" hidden="false" customHeight="false" outlineLevel="0" collapsed="false">
      <c r="A461" s="22"/>
      <c r="B461" s="24"/>
      <c r="C461" s="24"/>
      <c r="D461" s="25"/>
      <c r="E461" s="24"/>
    </row>
    <row r="462" customFormat="false" ht="15" hidden="false" customHeight="false" outlineLevel="0" collapsed="false">
      <c r="A462" s="22"/>
      <c r="B462" s="24"/>
      <c r="C462" s="24"/>
      <c r="D462" s="25"/>
      <c r="E462" s="24"/>
    </row>
    <row r="463" customFormat="false" ht="15" hidden="false" customHeight="false" outlineLevel="0" collapsed="false">
      <c r="A463" s="22"/>
      <c r="B463" s="24"/>
      <c r="C463" s="24"/>
      <c r="D463" s="25"/>
      <c r="E463" s="24"/>
    </row>
    <row r="464" customFormat="false" ht="15" hidden="false" customHeight="false" outlineLevel="0" collapsed="false">
      <c r="A464" s="22"/>
      <c r="B464" s="24"/>
      <c r="C464" s="24"/>
      <c r="D464" s="25"/>
      <c r="E464" s="24"/>
    </row>
    <row r="465" customFormat="false" ht="15" hidden="false" customHeight="false" outlineLevel="0" collapsed="false">
      <c r="A465" s="22"/>
      <c r="B465" s="24"/>
      <c r="C465" s="24"/>
      <c r="D465" s="25"/>
      <c r="E465" s="24"/>
    </row>
    <row r="466" customFormat="false" ht="15" hidden="false" customHeight="false" outlineLevel="0" collapsed="false">
      <c r="A466" s="22"/>
      <c r="B466" s="24"/>
      <c r="C466" s="24"/>
      <c r="D466" s="25"/>
      <c r="E466" s="24"/>
    </row>
    <row r="467" customFormat="false" ht="15" hidden="false" customHeight="false" outlineLevel="0" collapsed="false">
      <c r="A467" s="22"/>
      <c r="B467" s="24"/>
      <c r="C467" s="24"/>
      <c r="D467" s="25"/>
      <c r="E467" s="24"/>
    </row>
    <row r="468" customFormat="false" ht="15" hidden="false" customHeight="false" outlineLevel="0" collapsed="false">
      <c r="A468" s="22"/>
      <c r="B468" s="24"/>
      <c r="C468" s="24"/>
      <c r="D468" s="25"/>
      <c r="E468" s="24"/>
    </row>
    <row r="469" customFormat="false" ht="15" hidden="false" customHeight="false" outlineLevel="0" collapsed="false">
      <c r="A469" s="22"/>
      <c r="B469" s="24"/>
      <c r="C469" s="24"/>
      <c r="D469" s="25"/>
      <c r="E469" s="24"/>
    </row>
    <row r="470" customFormat="false" ht="15" hidden="false" customHeight="false" outlineLevel="0" collapsed="false">
      <c r="A470" s="22"/>
      <c r="B470" s="24"/>
      <c r="C470" s="24"/>
      <c r="D470" s="25"/>
      <c r="E470" s="24"/>
    </row>
    <row r="471" customFormat="false" ht="15" hidden="false" customHeight="false" outlineLevel="0" collapsed="false">
      <c r="A471" s="22"/>
      <c r="B471" s="24"/>
      <c r="C471" s="24"/>
      <c r="D471" s="25"/>
      <c r="E471" s="24"/>
    </row>
    <row r="472" customFormat="false" ht="15" hidden="false" customHeight="false" outlineLevel="0" collapsed="false">
      <c r="A472" s="22"/>
      <c r="B472" s="24"/>
      <c r="C472" s="24"/>
      <c r="D472" s="25"/>
      <c r="E472" s="24"/>
    </row>
    <row r="473" customFormat="false" ht="15" hidden="false" customHeight="false" outlineLevel="0" collapsed="false">
      <c r="A473" s="22"/>
      <c r="B473" s="24"/>
      <c r="C473" s="24"/>
      <c r="D473" s="25"/>
      <c r="E473" s="24"/>
    </row>
    <row r="474" customFormat="false" ht="15" hidden="false" customHeight="false" outlineLevel="0" collapsed="false">
      <c r="A474" s="22"/>
      <c r="B474" s="24"/>
      <c r="C474" s="24"/>
      <c r="D474" s="25"/>
      <c r="E474" s="24"/>
    </row>
    <row r="475" customFormat="false" ht="15" hidden="false" customHeight="false" outlineLevel="0" collapsed="false">
      <c r="A475" s="22"/>
      <c r="B475" s="24"/>
      <c r="C475" s="24"/>
      <c r="D475" s="25"/>
      <c r="E475" s="24"/>
    </row>
    <row r="476" customFormat="false" ht="15" hidden="false" customHeight="false" outlineLevel="0" collapsed="false">
      <c r="A476" s="22"/>
      <c r="B476" s="24"/>
      <c r="C476" s="24"/>
      <c r="D476" s="25"/>
      <c r="E476" s="24"/>
    </row>
    <row r="477" customFormat="false" ht="15" hidden="false" customHeight="false" outlineLevel="0" collapsed="false">
      <c r="A477" s="22"/>
      <c r="B477" s="24"/>
      <c r="C477" s="24"/>
      <c r="D477" s="25"/>
      <c r="E477" s="24"/>
    </row>
    <row r="478" customFormat="false" ht="15" hidden="false" customHeight="false" outlineLevel="0" collapsed="false">
      <c r="A478" s="22"/>
      <c r="B478" s="24"/>
      <c r="C478" s="24"/>
      <c r="D478" s="25"/>
      <c r="E478" s="24"/>
    </row>
    <row r="479" customFormat="false" ht="15" hidden="false" customHeight="false" outlineLevel="0" collapsed="false">
      <c r="A479" s="22"/>
      <c r="B479" s="24"/>
      <c r="C479" s="24"/>
      <c r="D479" s="25"/>
      <c r="E479" s="24"/>
    </row>
    <row r="480" customFormat="false" ht="15" hidden="false" customHeight="false" outlineLevel="0" collapsed="false">
      <c r="A480" s="22"/>
      <c r="B480" s="24"/>
      <c r="C480" s="24"/>
      <c r="D480" s="25"/>
      <c r="E480" s="24"/>
    </row>
    <row r="481" customFormat="false" ht="15" hidden="false" customHeight="false" outlineLevel="0" collapsed="false">
      <c r="A481" s="22"/>
      <c r="B481" s="24"/>
      <c r="C481" s="24"/>
      <c r="D481" s="25"/>
      <c r="E481" s="24"/>
    </row>
    <row r="482" customFormat="false" ht="15" hidden="false" customHeight="false" outlineLevel="0" collapsed="false">
      <c r="A482" s="22"/>
      <c r="B482" s="24"/>
      <c r="C482" s="24"/>
      <c r="D482" s="25"/>
      <c r="E482" s="24"/>
    </row>
    <row r="483" customFormat="false" ht="15" hidden="false" customHeight="false" outlineLevel="0" collapsed="false">
      <c r="A483" s="22"/>
      <c r="B483" s="24"/>
      <c r="C483" s="24"/>
      <c r="D483" s="25"/>
      <c r="E483" s="24"/>
    </row>
    <row r="484" customFormat="false" ht="15" hidden="false" customHeight="false" outlineLevel="0" collapsed="false">
      <c r="A484" s="22"/>
      <c r="B484" s="24"/>
      <c r="C484" s="24"/>
      <c r="D484" s="25"/>
      <c r="E484" s="24"/>
    </row>
    <row r="485" customFormat="false" ht="15" hidden="false" customHeight="false" outlineLevel="0" collapsed="false">
      <c r="A485" s="22"/>
      <c r="B485" s="24"/>
      <c r="C485" s="24"/>
      <c r="D485" s="25"/>
      <c r="E485" s="24"/>
    </row>
    <row r="486" customFormat="false" ht="15" hidden="false" customHeight="false" outlineLevel="0" collapsed="false">
      <c r="A486" s="22"/>
      <c r="B486" s="24"/>
      <c r="C486" s="24"/>
      <c r="D486" s="25"/>
      <c r="E486" s="24"/>
    </row>
    <row r="487" customFormat="false" ht="15" hidden="false" customHeight="false" outlineLevel="0" collapsed="false">
      <c r="A487" s="22"/>
      <c r="B487" s="24"/>
      <c r="C487" s="24"/>
      <c r="D487" s="25"/>
      <c r="E487" s="24"/>
    </row>
    <row r="488" customFormat="false" ht="15" hidden="false" customHeight="false" outlineLevel="0" collapsed="false">
      <c r="A488" s="22"/>
      <c r="B488" s="24"/>
      <c r="C488" s="24"/>
      <c r="D488" s="25"/>
      <c r="E488" s="24"/>
    </row>
    <row r="489" customFormat="false" ht="15" hidden="false" customHeight="false" outlineLevel="0" collapsed="false">
      <c r="A489" s="22"/>
      <c r="B489" s="24"/>
      <c r="C489" s="24"/>
      <c r="D489" s="25"/>
      <c r="E489" s="24"/>
    </row>
    <row r="490" customFormat="false" ht="15" hidden="false" customHeight="false" outlineLevel="0" collapsed="false">
      <c r="A490" s="22"/>
      <c r="B490" s="24"/>
      <c r="C490" s="24"/>
      <c r="D490" s="25"/>
      <c r="E490" s="24"/>
    </row>
    <row r="491" customFormat="false" ht="15" hidden="false" customHeight="false" outlineLevel="0" collapsed="false">
      <c r="A491" s="22"/>
      <c r="B491" s="24"/>
      <c r="C491" s="24"/>
      <c r="D491" s="25"/>
      <c r="E491" s="24"/>
    </row>
    <row r="492" customFormat="false" ht="15" hidden="false" customHeight="false" outlineLevel="0" collapsed="false">
      <c r="A492" s="22"/>
      <c r="B492" s="24"/>
      <c r="C492" s="24"/>
      <c r="D492" s="25"/>
      <c r="E492" s="24"/>
    </row>
    <row r="493" customFormat="false" ht="15" hidden="false" customHeight="false" outlineLevel="0" collapsed="false">
      <c r="A493" s="22"/>
      <c r="B493" s="24"/>
      <c r="C493" s="24"/>
      <c r="D493" s="25"/>
      <c r="E493" s="24"/>
    </row>
    <row r="494" customFormat="false" ht="15" hidden="false" customHeight="false" outlineLevel="0" collapsed="false">
      <c r="A494" s="22"/>
      <c r="B494" s="24"/>
      <c r="C494" s="24"/>
      <c r="D494" s="25"/>
      <c r="E494" s="24"/>
    </row>
    <row r="495" customFormat="false" ht="15" hidden="false" customHeight="false" outlineLevel="0" collapsed="false">
      <c r="A495" s="22"/>
      <c r="B495" s="24"/>
      <c r="C495" s="24"/>
      <c r="D495" s="25"/>
      <c r="E495" s="24"/>
    </row>
    <row r="496" customFormat="false" ht="15" hidden="false" customHeight="false" outlineLevel="0" collapsed="false">
      <c r="A496" s="22"/>
      <c r="B496" s="24"/>
      <c r="C496" s="24"/>
      <c r="D496" s="25"/>
      <c r="E496" s="24"/>
    </row>
    <row r="497" customFormat="false" ht="15" hidden="false" customHeight="false" outlineLevel="0" collapsed="false">
      <c r="A497" s="22"/>
      <c r="B497" s="24"/>
      <c r="C497" s="24"/>
      <c r="D497" s="25"/>
      <c r="E497" s="24"/>
    </row>
    <row r="498" customFormat="false" ht="15" hidden="false" customHeight="false" outlineLevel="0" collapsed="false">
      <c r="A498" s="22"/>
      <c r="B498" s="24"/>
      <c r="C498" s="24"/>
      <c r="D498" s="25"/>
      <c r="E498" s="24"/>
    </row>
    <row r="499" customFormat="false" ht="15" hidden="false" customHeight="false" outlineLevel="0" collapsed="false">
      <c r="A499" s="22"/>
      <c r="B499" s="24"/>
      <c r="C499" s="24"/>
      <c r="D499" s="25"/>
      <c r="E499" s="24"/>
    </row>
    <row r="500" customFormat="false" ht="15" hidden="false" customHeight="false" outlineLevel="0" collapsed="false">
      <c r="A500" s="22"/>
      <c r="B500" s="24"/>
      <c r="C500" s="24"/>
      <c r="D500" s="25"/>
      <c r="E500" s="24"/>
    </row>
    <row r="501" customFormat="false" ht="15" hidden="false" customHeight="false" outlineLevel="0" collapsed="false">
      <c r="A501" s="22"/>
      <c r="B501" s="24"/>
      <c r="C501" s="24"/>
      <c r="D501" s="25"/>
      <c r="E501" s="24"/>
    </row>
    <row r="502" customFormat="false" ht="15" hidden="false" customHeight="false" outlineLevel="0" collapsed="false">
      <c r="A502" s="22"/>
      <c r="B502" s="24"/>
      <c r="C502" s="24"/>
      <c r="D502" s="25"/>
      <c r="E502" s="24"/>
    </row>
    <row r="503" customFormat="false" ht="15" hidden="false" customHeight="false" outlineLevel="0" collapsed="false">
      <c r="A503" s="22"/>
      <c r="B503" s="24"/>
      <c r="C503" s="24"/>
      <c r="D503" s="25"/>
      <c r="E503" s="24"/>
    </row>
    <row r="504" customFormat="false" ht="15" hidden="false" customHeight="false" outlineLevel="0" collapsed="false">
      <c r="A504" s="22"/>
      <c r="B504" s="24"/>
      <c r="C504" s="24"/>
      <c r="D504" s="25"/>
      <c r="E504" s="24"/>
    </row>
    <row r="505" customFormat="false" ht="15" hidden="false" customHeight="false" outlineLevel="0" collapsed="false">
      <c r="A505" s="22"/>
      <c r="B505" s="24"/>
      <c r="C505" s="24"/>
      <c r="D505" s="25"/>
      <c r="E505" s="24"/>
    </row>
    <row r="506" customFormat="false" ht="15" hidden="false" customHeight="false" outlineLevel="0" collapsed="false">
      <c r="A506" s="22"/>
      <c r="B506" s="24"/>
      <c r="C506" s="24"/>
      <c r="D506" s="25"/>
      <c r="E506" s="24"/>
    </row>
    <row r="507" customFormat="false" ht="15" hidden="false" customHeight="false" outlineLevel="0" collapsed="false">
      <c r="A507" s="22"/>
      <c r="B507" s="24"/>
      <c r="C507" s="24"/>
      <c r="D507" s="25"/>
      <c r="E507" s="24"/>
    </row>
    <row r="508" customFormat="false" ht="15" hidden="false" customHeight="false" outlineLevel="0" collapsed="false">
      <c r="A508" s="22"/>
      <c r="B508" s="24"/>
      <c r="C508" s="24"/>
      <c r="D508" s="25"/>
      <c r="E508" s="24"/>
    </row>
    <row r="509" customFormat="false" ht="15" hidden="false" customHeight="false" outlineLevel="0" collapsed="false">
      <c r="A509" s="22"/>
      <c r="B509" s="24"/>
      <c r="C509" s="24"/>
      <c r="D509" s="25"/>
      <c r="E509" s="24"/>
    </row>
    <row r="510" customFormat="false" ht="15" hidden="false" customHeight="false" outlineLevel="0" collapsed="false">
      <c r="A510" s="22"/>
      <c r="B510" s="24"/>
      <c r="C510" s="24"/>
      <c r="D510" s="25"/>
      <c r="E510" s="24"/>
    </row>
    <row r="511" customFormat="false" ht="15" hidden="false" customHeight="false" outlineLevel="0" collapsed="false">
      <c r="A511" s="22"/>
      <c r="B511" s="24"/>
      <c r="C511" s="24"/>
      <c r="D511" s="25"/>
      <c r="E511" s="24"/>
    </row>
    <row r="512" customFormat="false" ht="15" hidden="false" customHeight="false" outlineLevel="0" collapsed="false">
      <c r="A512" s="22"/>
      <c r="B512" s="24"/>
      <c r="C512" s="24"/>
      <c r="D512" s="25"/>
      <c r="E512" s="24"/>
    </row>
    <row r="513" customFormat="false" ht="15" hidden="false" customHeight="false" outlineLevel="0" collapsed="false">
      <c r="A513" s="22"/>
      <c r="B513" s="24"/>
      <c r="C513" s="24"/>
      <c r="D513" s="25"/>
      <c r="E513" s="24"/>
    </row>
    <row r="514" customFormat="false" ht="15" hidden="false" customHeight="false" outlineLevel="0" collapsed="false">
      <c r="A514" s="22"/>
      <c r="B514" s="24"/>
      <c r="C514" s="24"/>
      <c r="D514" s="25"/>
      <c r="E514" s="24"/>
    </row>
    <row r="515" customFormat="false" ht="15" hidden="false" customHeight="false" outlineLevel="0" collapsed="false">
      <c r="A515" s="22"/>
      <c r="B515" s="24"/>
      <c r="C515" s="24"/>
      <c r="D515" s="25"/>
      <c r="E515" s="24"/>
    </row>
    <row r="516" customFormat="false" ht="15" hidden="false" customHeight="false" outlineLevel="0" collapsed="false">
      <c r="A516" s="22"/>
      <c r="B516" s="24"/>
      <c r="C516" s="24"/>
      <c r="D516" s="25"/>
      <c r="E516" s="24"/>
    </row>
    <row r="517" customFormat="false" ht="15" hidden="false" customHeight="false" outlineLevel="0" collapsed="false">
      <c r="A517" s="22"/>
      <c r="B517" s="24"/>
      <c r="C517" s="24"/>
      <c r="D517" s="25"/>
      <c r="E517" s="24"/>
    </row>
    <row r="518" customFormat="false" ht="15" hidden="false" customHeight="false" outlineLevel="0" collapsed="false">
      <c r="A518" s="22"/>
      <c r="B518" s="24"/>
      <c r="C518" s="24"/>
      <c r="D518" s="25"/>
      <c r="E518" s="24"/>
    </row>
    <row r="519" customFormat="false" ht="15" hidden="false" customHeight="false" outlineLevel="0" collapsed="false">
      <c r="A519" s="22"/>
      <c r="B519" s="24"/>
      <c r="C519" s="24"/>
      <c r="D519" s="25"/>
      <c r="E519" s="24"/>
    </row>
    <row r="520" customFormat="false" ht="15" hidden="false" customHeight="false" outlineLevel="0" collapsed="false">
      <c r="A520" s="22"/>
      <c r="B520" s="24"/>
      <c r="C520" s="24"/>
      <c r="D520" s="25"/>
      <c r="E520" s="24"/>
    </row>
    <row r="521" customFormat="false" ht="15" hidden="false" customHeight="false" outlineLevel="0" collapsed="false">
      <c r="A521" s="22"/>
      <c r="B521" s="24"/>
      <c r="C521" s="24"/>
      <c r="D521" s="25"/>
      <c r="E521" s="24"/>
    </row>
    <row r="522" customFormat="false" ht="15" hidden="false" customHeight="false" outlineLevel="0" collapsed="false">
      <c r="A522" s="22"/>
      <c r="B522" s="24"/>
      <c r="C522" s="24"/>
      <c r="D522" s="25"/>
      <c r="E522" s="24"/>
    </row>
    <row r="523" customFormat="false" ht="15" hidden="false" customHeight="false" outlineLevel="0" collapsed="false">
      <c r="A523" s="22"/>
      <c r="B523" s="24"/>
      <c r="C523" s="24"/>
      <c r="D523" s="25"/>
      <c r="E523" s="24"/>
    </row>
    <row r="524" customFormat="false" ht="15" hidden="false" customHeight="false" outlineLevel="0" collapsed="false">
      <c r="A524" s="22"/>
      <c r="B524" s="24"/>
      <c r="C524" s="24"/>
      <c r="D524" s="25"/>
      <c r="E524" s="24"/>
    </row>
    <row r="525" customFormat="false" ht="15" hidden="false" customHeight="false" outlineLevel="0" collapsed="false">
      <c r="A525" s="22"/>
      <c r="B525" s="24"/>
      <c r="C525" s="24"/>
      <c r="D525" s="25"/>
      <c r="E525" s="24"/>
    </row>
    <row r="526" customFormat="false" ht="15" hidden="false" customHeight="false" outlineLevel="0" collapsed="false">
      <c r="A526" s="22"/>
      <c r="B526" s="24"/>
      <c r="C526" s="24"/>
      <c r="D526" s="25"/>
      <c r="E526" s="24"/>
    </row>
    <row r="527" customFormat="false" ht="15" hidden="false" customHeight="false" outlineLevel="0" collapsed="false">
      <c r="A527" s="22"/>
      <c r="B527" s="24"/>
      <c r="C527" s="24"/>
      <c r="D527" s="25"/>
      <c r="E527" s="24"/>
    </row>
    <row r="528" customFormat="false" ht="15" hidden="false" customHeight="false" outlineLevel="0" collapsed="false">
      <c r="A528" s="22"/>
      <c r="B528" s="24"/>
      <c r="C528" s="24"/>
      <c r="D528" s="25"/>
      <c r="E528" s="24"/>
    </row>
    <row r="529" customFormat="false" ht="15" hidden="false" customHeight="false" outlineLevel="0" collapsed="false">
      <c r="A529" s="22"/>
      <c r="B529" s="24"/>
      <c r="C529" s="24"/>
      <c r="D529" s="25"/>
      <c r="E529" s="24"/>
    </row>
    <row r="530" customFormat="false" ht="15" hidden="false" customHeight="false" outlineLevel="0" collapsed="false">
      <c r="A530" s="22"/>
      <c r="B530" s="24"/>
      <c r="C530" s="24"/>
      <c r="D530" s="25"/>
      <c r="E530" s="24"/>
    </row>
    <row r="531" customFormat="false" ht="15" hidden="false" customHeight="false" outlineLevel="0" collapsed="false">
      <c r="A531" s="22"/>
      <c r="B531" s="24"/>
      <c r="C531" s="24"/>
      <c r="D531" s="25"/>
      <c r="E531" s="24"/>
    </row>
    <row r="532" customFormat="false" ht="15" hidden="false" customHeight="false" outlineLevel="0" collapsed="false">
      <c r="A532" s="22"/>
      <c r="B532" s="24"/>
      <c r="C532" s="24"/>
      <c r="D532" s="25"/>
      <c r="E532" s="24"/>
    </row>
    <row r="533" customFormat="false" ht="15" hidden="false" customHeight="false" outlineLevel="0" collapsed="false">
      <c r="A533" s="22"/>
      <c r="B533" s="24"/>
      <c r="C533" s="24"/>
      <c r="D533" s="25"/>
      <c r="E533" s="24"/>
    </row>
    <row r="534" customFormat="false" ht="15" hidden="false" customHeight="false" outlineLevel="0" collapsed="false">
      <c r="A534" s="22"/>
      <c r="B534" s="24"/>
      <c r="C534" s="24"/>
      <c r="D534" s="25"/>
      <c r="E534" s="24"/>
    </row>
    <row r="535" customFormat="false" ht="15" hidden="false" customHeight="false" outlineLevel="0" collapsed="false">
      <c r="A535" s="22"/>
      <c r="B535" s="24"/>
      <c r="C535" s="24"/>
      <c r="D535" s="25"/>
      <c r="E535" s="24"/>
    </row>
    <row r="536" customFormat="false" ht="15" hidden="false" customHeight="false" outlineLevel="0" collapsed="false">
      <c r="A536" s="22"/>
      <c r="B536" s="24"/>
      <c r="C536" s="24"/>
      <c r="D536" s="25"/>
      <c r="E536" s="24"/>
    </row>
    <row r="537" customFormat="false" ht="15" hidden="false" customHeight="false" outlineLevel="0" collapsed="false">
      <c r="A537" s="22"/>
      <c r="B537" s="24"/>
      <c r="C537" s="24"/>
      <c r="D537" s="25"/>
      <c r="E537" s="24"/>
    </row>
    <row r="538" customFormat="false" ht="15" hidden="false" customHeight="false" outlineLevel="0" collapsed="false">
      <c r="A538" s="22"/>
      <c r="B538" s="24"/>
      <c r="C538" s="24"/>
      <c r="D538" s="25"/>
      <c r="E538" s="24"/>
    </row>
    <row r="539" customFormat="false" ht="15" hidden="false" customHeight="false" outlineLevel="0" collapsed="false">
      <c r="A539" s="22"/>
      <c r="B539" s="24"/>
      <c r="C539" s="24"/>
      <c r="D539" s="25"/>
      <c r="E539" s="24"/>
    </row>
    <row r="540" customFormat="false" ht="15" hidden="false" customHeight="false" outlineLevel="0" collapsed="false">
      <c r="A540" s="22"/>
      <c r="B540" s="24"/>
      <c r="C540" s="24"/>
      <c r="D540" s="25"/>
      <c r="E540" s="24"/>
    </row>
    <row r="541" customFormat="false" ht="15" hidden="false" customHeight="false" outlineLevel="0" collapsed="false">
      <c r="A541" s="22"/>
      <c r="B541" s="24"/>
      <c r="C541" s="24"/>
      <c r="D541" s="25"/>
      <c r="E541" s="24"/>
    </row>
    <row r="542" customFormat="false" ht="15" hidden="false" customHeight="false" outlineLevel="0" collapsed="false">
      <c r="A542" s="22"/>
      <c r="B542" s="24"/>
      <c r="C542" s="24"/>
      <c r="D542" s="25"/>
      <c r="E542" s="24"/>
    </row>
    <row r="543" customFormat="false" ht="15" hidden="false" customHeight="false" outlineLevel="0" collapsed="false">
      <c r="A543" s="22"/>
      <c r="B543" s="24"/>
      <c r="C543" s="24"/>
      <c r="D543" s="25"/>
      <c r="E543" s="24"/>
    </row>
    <row r="544" customFormat="false" ht="15" hidden="false" customHeight="false" outlineLevel="0" collapsed="false">
      <c r="A544" s="22"/>
      <c r="B544" s="24"/>
      <c r="C544" s="24"/>
      <c r="D544" s="25"/>
      <c r="E544" s="24"/>
    </row>
    <row r="545" customFormat="false" ht="15" hidden="false" customHeight="false" outlineLevel="0" collapsed="false">
      <c r="A545" s="22"/>
      <c r="B545" s="24"/>
      <c r="C545" s="24"/>
      <c r="D545" s="25"/>
      <c r="E545" s="24"/>
    </row>
    <row r="546" customFormat="false" ht="15" hidden="false" customHeight="false" outlineLevel="0" collapsed="false">
      <c r="A546" s="22"/>
      <c r="B546" s="24"/>
      <c r="C546" s="24"/>
      <c r="D546" s="25"/>
      <c r="E546" s="24"/>
    </row>
    <row r="547" customFormat="false" ht="15" hidden="false" customHeight="false" outlineLevel="0" collapsed="false">
      <c r="A547" s="22"/>
      <c r="B547" s="24"/>
      <c r="C547" s="24"/>
      <c r="D547" s="25"/>
      <c r="E547" s="24"/>
    </row>
    <row r="548" customFormat="false" ht="15" hidden="false" customHeight="false" outlineLevel="0" collapsed="false">
      <c r="A548" s="22"/>
      <c r="B548" s="24"/>
      <c r="C548" s="24"/>
      <c r="D548" s="25"/>
      <c r="E548" s="24"/>
    </row>
    <row r="549" customFormat="false" ht="15" hidden="false" customHeight="false" outlineLevel="0" collapsed="false">
      <c r="A549" s="22"/>
      <c r="B549" s="24"/>
      <c r="C549" s="24"/>
      <c r="D549" s="25"/>
      <c r="E549" s="24"/>
    </row>
    <row r="550" customFormat="false" ht="15" hidden="false" customHeight="false" outlineLevel="0" collapsed="false">
      <c r="A550" s="22"/>
      <c r="B550" s="24"/>
      <c r="C550" s="24"/>
      <c r="D550" s="25"/>
      <c r="E550" s="24"/>
    </row>
    <row r="551" customFormat="false" ht="15" hidden="false" customHeight="false" outlineLevel="0" collapsed="false">
      <c r="A551" s="22"/>
      <c r="B551" s="24"/>
      <c r="C551" s="24"/>
      <c r="D551" s="25"/>
      <c r="E551" s="24"/>
    </row>
    <row r="552" customFormat="false" ht="15" hidden="false" customHeight="false" outlineLevel="0" collapsed="false">
      <c r="A552" s="22"/>
      <c r="B552" s="24"/>
      <c r="C552" s="24"/>
      <c r="D552" s="25"/>
      <c r="E552" s="24"/>
    </row>
    <row r="553" customFormat="false" ht="15" hidden="false" customHeight="false" outlineLevel="0" collapsed="false">
      <c r="A553" s="22"/>
      <c r="B553" s="24"/>
      <c r="C553" s="24"/>
      <c r="D553" s="25"/>
      <c r="E553" s="24"/>
    </row>
    <row r="554" customFormat="false" ht="15" hidden="false" customHeight="false" outlineLevel="0" collapsed="false">
      <c r="A554" s="22"/>
      <c r="B554" s="24"/>
      <c r="C554" s="24"/>
      <c r="D554" s="25"/>
      <c r="E554" s="24"/>
    </row>
    <row r="555" customFormat="false" ht="15" hidden="false" customHeight="false" outlineLevel="0" collapsed="false">
      <c r="A555" s="22"/>
      <c r="B555" s="24"/>
      <c r="C555" s="24"/>
      <c r="D555" s="25"/>
      <c r="E555" s="24"/>
    </row>
    <row r="556" customFormat="false" ht="15" hidden="false" customHeight="false" outlineLevel="0" collapsed="false">
      <c r="A556" s="22"/>
      <c r="B556" s="24"/>
      <c r="C556" s="24"/>
      <c r="D556" s="25"/>
      <c r="E556" s="24"/>
    </row>
    <row r="557" customFormat="false" ht="15" hidden="false" customHeight="false" outlineLevel="0" collapsed="false">
      <c r="A557" s="22"/>
      <c r="B557" s="24"/>
      <c r="C557" s="24"/>
      <c r="D557" s="25"/>
      <c r="E557" s="24"/>
    </row>
    <row r="558" customFormat="false" ht="15" hidden="false" customHeight="false" outlineLevel="0" collapsed="false">
      <c r="A558" s="22"/>
      <c r="B558" s="24"/>
      <c r="C558" s="24"/>
      <c r="D558" s="25"/>
      <c r="E558" s="24"/>
    </row>
    <row r="559" customFormat="false" ht="15" hidden="false" customHeight="false" outlineLevel="0" collapsed="false">
      <c r="A559" s="22"/>
      <c r="B559" s="24"/>
      <c r="C559" s="24"/>
      <c r="D559" s="25"/>
      <c r="E559" s="24"/>
    </row>
    <row r="560" customFormat="false" ht="15" hidden="false" customHeight="false" outlineLevel="0" collapsed="false">
      <c r="A560" s="22"/>
      <c r="B560" s="24"/>
      <c r="C560" s="24"/>
      <c r="D560" s="25"/>
      <c r="E560" s="24"/>
    </row>
    <row r="561" customFormat="false" ht="15" hidden="false" customHeight="false" outlineLevel="0" collapsed="false">
      <c r="A561" s="22"/>
      <c r="B561" s="24"/>
      <c r="C561" s="24"/>
      <c r="D561" s="25"/>
      <c r="E561" s="24"/>
    </row>
    <row r="562" customFormat="false" ht="15" hidden="false" customHeight="false" outlineLevel="0" collapsed="false">
      <c r="A562" s="22"/>
      <c r="B562" s="24"/>
      <c r="C562" s="24"/>
      <c r="D562" s="25"/>
      <c r="E562" s="24"/>
    </row>
    <row r="563" customFormat="false" ht="15" hidden="false" customHeight="false" outlineLevel="0" collapsed="false">
      <c r="A563" s="22"/>
      <c r="B563" s="24"/>
      <c r="C563" s="24"/>
      <c r="D563" s="25"/>
      <c r="E563" s="24"/>
    </row>
    <row r="564" customFormat="false" ht="15" hidden="false" customHeight="false" outlineLevel="0" collapsed="false">
      <c r="A564" s="22"/>
      <c r="B564" s="24"/>
      <c r="C564" s="24"/>
      <c r="D564" s="25"/>
      <c r="E564" s="24"/>
    </row>
    <row r="565" customFormat="false" ht="15" hidden="false" customHeight="false" outlineLevel="0" collapsed="false">
      <c r="A565" s="22"/>
      <c r="B565" s="24"/>
      <c r="C565" s="24"/>
      <c r="D565" s="25"/>
      <c r="E565" s="24"/>
    </row>
    <row r="566" customFormat="false" ht="15" hidden="false" customHeight="false" outlineLevel="0" collapsed="false">
      <c r="A566" s="22"/>
      <c r="B566" s="24"/>
      <c r="C566" s="24"/>
      <c r="D566" s="25"/>
      <c r="E566" s="24"/>
    </row>
    <row r="567" customFormat="false" ht="15" hidden="false" customHeight="false" outlineLevel="0" collapsed="false">
      <c r="A567" s="22"/>
      <c r="B567" s="24"/>
      <c r="C567" s="24"/>
      <c r="D567" s="25"/>
      <c r="E567" s="24"/>
    </row>
    <row r="568" customFormat="false" ht="15" hidden="false" customHeight="false" outlineLevel="0" collapsed="false">
      <c r="A568" s="22"/>
      <c r="B568" s="24"/>
      <c r="C568" s="24"/>
      <c r="D568" s="25"/>
      <c r="E568" s="24"/>
    </row>
    <row r="569" customFormat="false" ht="15" hidden="false" customHeight="false" outlineLevel="0" collapsed="false">
      <c r="A569" s="22"/>
      <c r="B569" s="24"/>
      <c r="C569" s="24"/>
      <c r="D569" s="25"/>
      <c r="E569" s="24"/>
    </row>
    <row r="570" customFormat="false" ht="15" hidden="false" customHeight="false" outlineLevel="0" collapsed="false">
      <c r="A570" s="22"/>
      <c r="B570" s="24"/>
      <c r="C570" s="24"/>
      <c r="D570" s="25"/>
      <c r="E570" s="24"/>
    </row>
    <row r="571" customFormat="false" ht="15" hidden="false" customHeight="false" outlineLevel="0" collapsed="false">
      <c r="A571" s="22"/>
      <c r="B571" s="24"/>
      <c r="C571" s="24"/>
      <c r="D571" s="25"/>
      <c r="E571" s="24"/>
    </row>
    <row r="572" customFormat="false" ht="15" hidden="false" customHeight="false" outlineLevel="0" collapsed="false">
      <c r="A572" s="22"/>
      <c r="B572" s="24"/>
      <c r="C572" s="24"/>
      <c r="D572" s="25"/>
      <c r="E572" s="24"/>
    </row>
    <row r="573" customFormat="false" ht="15" hidden="false" customHeight="false" outlineLevel="0" collapsed="false">
      <c r="A573" s="22"/>
      <c r="B573" s="24"/>
      <c r="C573" s="24"/>
      <c r="D573" s="25"/>
      <c r="E573" s="24"/>
    </row>
    <row r="574" customFormat="false" ht="15" hidden="false" customHeight="false" outlineLevel="0" collapsed="false">
      <c r="A574" s="22"/>
      <c r="B574" s="24"/>
      <c r="C574" s="24"/>
      <c r="D574" s="25"/>
      <c r="E574" s="24"/>
    </row>
    <row r="575" customFormat="false" ht="15" hidden="false" customHeight="false" outlineLevel="0" collapsed="false">
      <c r="A575" s="22"/>
      <c r="B575" s="24"/>
      <c r="C575" s="24"/>
      <c r="D575" s="25"/>
      <c r="E575" s="24"/>
    </row>
    <row r="576" customFormat="false" ht="15" hidden="false" customHeight="false" outlineLevel="0" collapsed="false">
      <c r="A576" s="22"/>
      <c r="B576" s="24"/>
      <c r="C576" s="24"/>
      <c r="D576" s="25"/>
      <c r="E576" s="24"/>
    </row>
    <row r="577" customFormat="false" ht="15" hidden="false" customHeight="false" outlineLevel="0" collapsed="false">
      <c r="A577" s="22"/>
      <c r="B577" s="24"/>
      <c r="C577" s="24"/>
      <c r="D577" s="25"/>
      <c r="E577" s="24"/>
    </row>
    <row r="578" customFormat="false" ht="15" hidden="false" customHeight="false" outlineLevel="0" collapsed="false">
      <c r="A578" s="22"/>
      <c r="B578" s="24"/>
      <c r="C578" s="24"/>
      <c r="D578" s="25"/>
      <c r="E578" s="24"/>
    </row>
    <row r="579" customFormat="false" ht="15" hidden="false" customHeight="false" outlineLevel="0" collapsed="false">
      <c r="A579" s="22"/>
      <c r="B579" s="24"/>
      <c r="C579" s="24"/>
      <c r="D579" s="25"/>
      <c r="E579" s="24"/>
    </row>
    <row r="580" customFormat="false" ht="15" hidden="false" customHeight="false" outlineLevel="0" collapsed="false">
      <c r="A580" s="22"/>
      <c r="B580" s="24"/>
      <c r="C580" s="24"/>
      <c r="D580" s="25"/>
      <c r="E580" s="24"/>
    </row>
    <row r="581" customFormat="false" ht="15" hidden="false" customHeight="false" outlineLevel="0" collapsed="false">
      <c r="A581" s="22"/>
      <c r="B581" s="24"/>
      <c r="C581" s="24"/>
      <c r="D581" s="25"/>
      <c r="E581" s="24"/>
    </row>
    <row r="582" customFormat="false" ht="15" hidden="false" customHeight="false" outlineLevel="0" collapsed="false">
      <c r="A582" s="22"/>
      <c r="B582" s="24"/>
      <c r="C582" s="24"/>
      <c r="D582" s="25"/>
      <c r="E582" s="24"/>
    </row>
    <row r="583" customFormat="false" ht="15" hidden="false" customHeight="false" outlineLevel="0" collapsed="false">
      <c r="A583" s="22"/>
      <c r="B583" s="24"/>
      <c r="C583" s="24"/>
      <c r="D583" s="25"/>
      <c r="E583" s="24"/>
    </row>
    <row r="584" customFormat="false" ht="15" hidden="false" customHeight="false" outlineLevel="0" collapsed="false">
      <c r="A584" s="22"/>
      <c r="B584" s="24"/>
      <c r="C584" s="24"/>
      <c r="D584" s="25"/>
      <c r="E584" s="24"/>
    </row>
    <row r="585" customFormat="false" ht="15" hidden="false" customHeight="false" outlineLevel="0" collapsed="false">
      <c r="A585" s="22"/>
      <c r="B585" s="24"/>
      <c r="C585" s="24"/>
      <c r="D585" s="25"/>
      <c r="E585" s="24"/>
    </row>
    <row r="586" customFormat="false" ht="15" hidden="false" customHeight="false" outlineLevel="0" collapsed="false">
      <c r="A586" s="22"/>
      <c r="B586" s="24"/>
      <c r="C586" s="24"/>
      <c r="D586" s="25"/>
      <c r="E586" s="24"/>
    </row>
    <row r="587" customFormat="false" ht="15" hidden="false" customHeight="false" outlineLevel="0" collapsed="false">
      <c r="A587" s="22"/>
      <c r="B587" s="24"/>
      <c r="C587" s="24"/>
      <c r="D587" s="25"/>
      <c r="E587" s="24"/>
    </row>
    <row r="588" customFormat="false" ht="15" hidden="false" customHeight="false" outlineLevel="0" collapsed="false">
      <c r="A588" s="22"/>
      <c r="B588" s="24"/>
      <c r="C588" s="24"/>
      <c r="D588" s="25"/>
      <c r="E588" s="24"/>
    </row>
    <row r="589" customFormat="false" ht="15" hidden="false" customHeight="false" outlineLevel="0" collapsed="false">
      <c r="A589" s="22"/>
      <c r="B589" s="24"/>
      <c r="C589" s="24"/>
      <c r="D589" s="25"/>
      <c r="E589" s="24"/>
    </row>
    <row r="590" customFormat="false" ht="15" hidden="false" customHeight="false" outlineLevel="0" collapsed="false">
      <c r="A590" s="22"/>
      <c r="B590" s="24"/>
      <c r="C590" s="24"/>
      <c r="D590" s="25"/>
      <c r="E590" s="24"/>
    </row>
    <row r="591" customFormat="false" ht="15" hidden="false" customHeight="false" outlineLevel="0" collapsed="false">
      <c r="A591" s="22"/>
      <c r="B591" s="24"/>
      <c r="C591" s="24"/>
      <c r="D591" s="25"/>
      <c r="E591" s="24"/>
    </row>
    <row r="592" customFormat="false" ht="15" hidden="false" customHeight="false" outlineLevel="0" collapsed="false">
      <c r="A592" s="22"/>
      <c r="B592" s="24"/>
      <c r="C592" s="24"/>
      <c r="D592" s="25"/>
      <c r="E592" s="24"/>
    </row>
    <row r="593" customFormat="false" ht="15" hidden="false" customHeight="false" outlineLevel="0" collapsed="false">
      <c r="A593" s="22"/>
      <c r="B593" s="24"/>
      <c r="C593" s="24"/>
      <c r="D593" s="25"/>
      <c r="E593" s="24"/>
    </row>
    <row r="594" customFormat="false" ht="15" hidden="false" customHeight="false" outlineLevel="0" collapsed="false">
      <c r="A594" s="22"/>
      <c r="B594" s="24"/>
      <c r="C594" s="24"/>
      <c r="D594" s="25"/>
      <c r="E594" s="24"/>
    </row>
    <row r="595" customFormat="false" ht="15" hidden="false" customHeight="false" outlineLevel="0" collapsed="false">
      <c r="A595" s="22"/>
      <c r="B595" s="24"/>
      <c r="C595" s="24"/>
      <c r="D595" s="25"/>
      <c r="E595" s="24"/>
    </row>
    <row r="596" customFormat="false" ht="15" hidden="false" customHeight="false" outlineLevel="0" collapsed="false">
      <c r="A596" s="22"/>
      <c r="B596" s="24"/>
      <c r="C596" s="24"/>
      <c r="D596" s="25"/>
      <c r="E596" s="24"/>
    </row>
    <row r="597" customFormat="false" ht="15" hidden="false" customHeight="false" outlineLevel="0" collapsed="false">
      <c r="A597" s="22"/>
      <c r="B597" s="24"/>
      <c r="C597" s="24"/>
      <c r="D597" s="25"/>
      <c r="E597" s="24"/>
    </row>
    <row r="598" customFormat="false" ht="15" hidden="false" customHeight="false" outlineLevel="0" collapsed="false">
      <c r="A598" s="22"/>
      <c r="B598" s="24"/>
      <c r="C598" s="24"/>
      <c r="D598" s="25"/>
      <c r="E598" s="24"/>
    </row>
    <row r="599" customFormat="false" ht="15" hidden="false" customHeight="false" outlineLevel="0" collapsed="false">
      <c r="A599" s="22"/>
      <c r="B599" s="24"/>
      <c r="C599" s="24"/>
      <c r="D599" s="25"/>
      <c r="E599" s="24"/>
    </row>
    <row r="600" customFormat="false" ht="15" hidden="false" customHeight="false" outlineLevel="0" collapsed="false">
      <c r="A600" s="22"/>
      <c r="B600" s="24"/>
      <c r="C600" s="24"/>
      <c r="D600" s="25"/>
      <c r="E600" s="24"/>
    </row>
    <row r="601" customFormat="false" ht="15" hidden="false" customHeight="false" outlineLevel="0" collapsed="false">
      <c r="A601" s="22"/>
      <c r="B601" s="24"/>
      <c r="C601" s="24"/>
      <c r="D601" s="25"/>
      <c r="E601" s="24"/>
    </row>
    <row r="602" customFormat="false" ht="15" hidden="false" customHeight="false" outlineLevel="0" collapsed="false">
      <c r="A602" s="22"/>
      <c r="B602" s="24"/>
      <c r="C602" s="24"/>
      <c r="D602" s="25"/>
      <c r="E602" s="24"/>
    </row>
    <row r="603" customFormat="false" ht="15" hidden="false" customHeight="false" outlineLevel="0" collapsed="false">
      <c r="A603" s="22"/>
      <c r="B603" s="24"/>
      <c r="C603" s="24"/>
      <c r="D603" s="25"/>
      <c r="E603" s="24"/>
    </row>
    <row r="604" customFormat="false" ht="15" hidden="false" customHeight="false" outlineLevel="0" collapsed="false">
      <c r="A604" s="22"/>
      <c r="B604" s="24"/>
      <c r="C604" s="24"/>
      <c r="D604" s="25"/>
      <c r="E604" s="24"/>
    </row>
    <row r="605" customFormat="false" ht="15" hidden="false" customHeight="false" outlineLevel="0" collapsed="false">
      <c r="A605" s="22"/>
      <c r="B605" s="24"/>
      <c r="C605" s="24"/>
      <c r="D605" s="25"/>
      <c r="E605" s="24"/>
    </row>
    <row r="606" customFormat="false" ht="15" hidden="false" customHeight="false" outlineLevel="0" collapsed="false">
      <c r="A606" s="22"/>
      <c r="B606" s="24"/>
      <c r="C606" s="24"/>
      <c r="D606" s="25"/>
      <c r="E606" s="24"/>
    </row>
    <row r="607" customFormat="false" ht="15" hidden="false" customHeight="false" outlineLevel="0" collapsed="false">
      <c r="A607" s="22"/>
      <c r="B607" s="24"/>
      <c r="C607" s="24"/>
      <c r="D607" s="25"/>
      <c r="E607" s="24"/>
    </row>
    <row r="608" customFormat="false" ht="15" hidden="false" customHeight="false" outlineLevel="0" collapsed="false">
      <c r="A608" s="22"/>
      <c r="B608" s="24"/>
      <c r="C608" s="24"/>
      <c r="D608" s="25"/>
      <c r="E608" s="24"/>
    </row>
    <row r="609" customFormat="false" ht="15" hidden="false" customHeight="false" outlineLevel="0" collapsed="false">
      <c r="A609" s="22"/>
      <c r="B609" s="24"/>
      <c r="C609" s="24"/>
      <c r="D609" s="25"/>
      <c r="E609" s="24"/>
    </row>
    <row r="610" customFormat="false" ht="15" hidden="false" customHeight="false" outlineLevel="0" collapsed="false">
      <c r="A610" s="22"/>
      <c r="B610" s="24"/>
      <c r="C610" s="24"/>
      <c r="D610" s="25"/>
      <c r="E610" s="24"/>
    </row>
    <row r="611" customFormat="false" ht="15" hidden="false" customHeight="false" outlineLevel="0" collapsed="false">
      <c r="A611" s="22"/>
      <c r="B611" s="24"/>
      <c r="C611" s="24"/>
      <c r="D611" s="25"/>
      <c r="E611" s="24"/>
    </row>
    <row r="612" customFormat="false" ht="15" hidden="false" customHeight="false" outlineLevel="0" collapsed="false">
      <c r="A612" s="22"/>
      <c r="B612" s="24"/>
      <c r="C612" s="24"/>
      <c r="D612" s="25"/>
      <c r="E612" s="24"/>
    </row>
    <row r="613" customFormat="false" ht="15" hidden="false" customHeight="false" outlineLevel="0" collapsed="false">
      <c r="A613" s="22"/>
      <c r="B613" s="24"/>
      <c r="C613" s="24"/>
      <c r="D613" s="25"/>
      <c r="E613" s="24"/>
    </row>
    <row r="614" customFormat="false" ht="15" hidden="false" customHeight="false" outlineLevel="0" collapsed="false">
      <c r="A614" s="22"/>
      <c r="B614" s="24"/>
      <c r="C614" s="24"/>
      <c r="D614" s="25"/>
      <c r="E614" s="24"/>
    </row>
    <row r="615" customFormat="false" ht="15" hidden="false" customHeight="false" outlineLevel="0" collapsed="false">
      <c r="A615" s="22"/>
      <c r="B615" s="24"/>
      <c r="C615" s="24"/>
      <c r="D615" s="25"/>
      <c r="E615" s="24"/>
    </row>
    <row r="616" customFormat="false" ht="15" hidden="false" customHeight="false" outlineLevel="0" collapsed="false">
      <c r="A616" s="22"/>
      <c r="B616" s="24"/>
      <c r="C616" s="24"/>
      <c r="D616" s="25"/>
      <c r="E616" s="24"/>
    </row>
    <row r="617" customFormat="false" ht="15" hidden="false" customHeight="false" outlineLevel="0" collapsed="false">
      <c r="A617" s="22"/>
      <c r="B617" s="24"/>
      <c r="C617" s="24"/>
      <c r="D617" s="25"/>
      <c r="E617" s="24"/>
    </row>
    <row r="618" customFormat="false" ht="15" hidden="false" customHeight="false" outlineLevel="0" collapsed="false">
      <c r="A618" s="22"/>
      <c r="B618" s="24"/>
      <c r="C618" s="24"/>
      <c r="D618" s="25"/>
      <c r="E618" s="24"/>
    </row>
    <row r="619" customFormat="false" ht="15" hidden="false" customHeight="false" outlineLevel="0" collapsed="false">
      <c r="A619" s="22"/>
      <c r="B619" s="24"/>
      <c r="C619" s="24"/>
      <c r="D619" s="25"/>
      <c r="E619" s="24"/>
    </row>
    <row r="620" customFormat="false" ht="15" hidden="false" customHeight="false" outlineLevel="0" collapsed="false">
      <c r="A620" s="22"/>
      <c r="B620" s="24"/>
      <c r="C620" s="24"/>
      <c r="D620" s="25"/>
      <c r="E620" s="24"/>
    </row>
    <row r="621" customFormat="false" ht="15" hidden="false" customHeight="false" outlineLevel="0" collapsed="false">
      <c r="A621" s="22"/>
      <c r="B621" s="24"/>
      <c r="C621" s="24"/>
      <c r="D621" s="25"/>
      <c r="E621" s="24"/>
    </row>
    <row r="622" customFormat="false" ht="15" hidden="false" customHeight="false" outlineLevel="0" collapsed="false">
      <c r="A622" s="22"/>
      <c r="B622" s="24"/>
      <c r="C622" s="24"/>
      <c r="D622" s="25"/>
      <c r="E622" s="24"/>
    </row>
    <row r="623" customFormat="false" ht="15" hidden="false" customHeight="false" outlineLevel="0" collapsed="false">
      <c r="A623" s="22"/>
      <c r="B623" s="24"/>
      <c r="C623" s="24"/>
      <c r="D623" s="25"/>
      <c r="E623" s="24"/>
    </row>
    <row r="624" customFormat="false" ht="15" hidden="false" customHeight="false" outlineLevel="0" collapsed="false">
      <c r="A624" s="22"/>
      <c r="B624" s="24"/>
      <c r="C624" s="24"/>
      <c r="D624" s="25"/>
      <c r="E624" s="24"/>
    </row>
    <row r="625" customFormat="false" ht="15" hidden="false" customHeight="false" outlineLevel="0" collapsed="false">
      <c r="A625" s="22"/>
      <c r="B625" s="24"/>
      <c r="C625" s="24"/>
      <c r="D625" s="25"/>
      <c r="E625" s="24"/>
    </row>
    <row r="626" customFormat="false" ht="15" hidden="false" customHeight="false" outlineLevel="0" collapsed="false">
      <c r="A626" s="22"/>
      <c r="B626" s="24"/>
      <c r="C626" s="24"/>
      <c r="D626" s="25"/>
      <c r="E626" s="24"/>
    </row>
    <row r="627" customFormat="false" ht="15" hidden="false" customHeight="false" outlineLevel="0" collapsed="false">
      <c r="A627" s="22"/>
      <c r="B627" s="24"/>
      <c r="C627" s="24"/>
      <c r="D627" s="25"/>
      <c r="E627" s="24"/>
    </row>
    <row r="628" customFormat="false" ht="15" hidden="false" customHeight="false" outlineLevel="0" collapsed="false">
      <c r="A628" s="22"/>
      <c r="B628" s="24"/>
      <c r="C628" s="24"/>
      <c r="D628" s="25"/>
      <c r="E628" s="24"/>
    </row>
    <row r="629" customFormat="false" ht="15" hidden="false" customHeight="false" outlineLevel="0" collapsed="false">
      <c r="A629" s="22"/>
      <c r="B629" s="24"/>
      <c r="C629" s="24"/>
      <c r="D629" s="25"/>
      <c r="E629" s="24"/>
    </row>
    <row r="630" customFormat="false" ht="15" hidden="false" customHeight="false" outlineLevel="0" collapsed="false">
      <c r="A630" s="22"/>
      <c r="B630" s="24"/>
      <c r="C630" s="24"/>
      <c r="D630" s="25"/>
      <c r="E630" s="24"/>
    </row>
    <row r="631" customFormat="false" ht="15" hidden="false" customHeight="false" outlineLevel="0" collapsed="false">
      <c r="A631" s="22"/>
      <c r="B631" s="24"/>
      <c r="C631" s="24"/>
      <c r="D631" s="25"/>
      <c r="E631" s="24"/>
    </row>
    <row r="632" customFormat="false" ht="15" hidden="false" customHeight="false" outlineLevel="0" collapsed="false">
      <c r="A632" s="22"/>
      <c r="B632" s="24"/>
      <c r="C632" s="24"/>
      <c r="D632" s="25"/>
      <c r="E632" s="24"/>
    </row>
    <row r="633" customFormat="false" ht="15" hidden="false" customHeight="false" outlineLevel="0" collapsed="false">
      <c r="A633" s="22"/>
      <c r="B633" s="24"/>
      <c r="C633" s="24"/>
      <c r="D633" s="25"/>
      <c r="E633" s="24"/>
    </row>
    <row r="634" customFormat="false" ht="15" hidden="false" customHeight="false" outlineLevel="0" collapsed="false">
      <c r="A634" s="22"/>
      <c r="B634" s="24"/>
      <c r="C634" s="24"/>
      <c r="D634" s="25"/>
      <c r="E634" s="24"/>
    </row>
    <row r="635" customFormat="false" ht="15" hidden="false" customHeight="false" outlineLevel="0" collapsed="false">
      <c r="A635" s="22"/>
      <c r="B635" s="24"/>
      <c r="C635" s="24"/>
      <c r="D635" s="25"/>
      <c r="E635" s="24"/>
    </row>
    <row r="636" customFormat="false" ht="15" hidden="false" customHeight="false" outlineLevel="0" collapsed="false">
      <c r="A636" s="22"/>
      <c r="B636" s="24"/>
      <c r="C636" s="24"/>
      <c r="D636" s="25"/>
      <c r="E636" s="24"/>
    </row>
    <row r="637" customFormat="false" ht="15" hidden="false" customHeight="false" outlineLevel="0" collapsed="false">
      <c r="A637" s="22"/>
      <c r="B637" s="24"/>
      <c r="C637" s="24"/>
      <c r="D637" s="25"/>
      <c r="E637" s="24"/>
    </row>
    <row r="638" customFormat="false" ht="15" hidden="false" customHeight="false" outlineLevel="0" collapsed="false">
      <c r="A638" s="22"/>
      <c r="B638" s="24"/>
      <c r="C638" s="24"/>
      <c r="D638" s="25"/>
      <c r="E638" s="24"/>
    </row>
    <row r="639" customFormat="false" ht="15" hidden="false" customHeight="false" outlineLevel="0" collapsed="false">
      <c r="A639" s="22"/>
      <c r="B639" s="24"/>
      <c r="C639" s="24"/>
      <c r="D639" s="25"/>
      <c r="E639" s="24"/>
    </row>
    <row r="640" customFormat="false" ht="15" hidden="false" customHeight="false" outlineLevel="0" collapsed="false">
      <c r="A640" s="22"/>
      <c r="B640" s="24"/>
      <c r="C640" s="24"/>
      <c r="D640" s="25"/>
      <c r="E640" s="24"/>
    </row>
    <row r="641" customFormat="false" ht="15" hidden="false" customHeight="false" outlineLevel="0" collapsed="false">
      <c r="A641" s="22"/>
      <c r="B641" s="24"/>
      <c r="C641" s="24"/>
      <c r="D641" s="25"/>
      <c r="E641" s="24"/>
    </row>
    <row r="642" customFormat="false" ht="15" hidden="false" customHeight="false" outlineLevel="0" collapsed="false">
      <c r="A642" s="22"/>
      <c r="B642" s="24"/>
      <c r="C642" s="24"/>
      <c r="D642" s="25"/>
      <c r="E642" s="24"/>
    </row>
    <row r="643" customFormat="false" ht="15" hidden="false" customHeight="false" outlineLevel="0" collapsed="false">
      <c r="A643" s="22"/>
      <c r="B643" s="24"/>
      <c r="C643" s="24"/>
      <c r="D643" s="25"/>
      <c r="E643" s="24"/>
    </row>
    <row r="644" customFormat="false" ht="15" hidden="false" customHeight="false" outlineLevel="0" collapsed="false">
      <c r="A644" s="22"/>
      <c r="B644" s="24"/>
      <c r="C644" s="24"/>
      <c r="D644" s="25"/>
      <c r="E644" s="24"/>
    </row>
    <row r="645" customFormat="false" ht="15" hidden="false" customHeight="false" outlineLevel="0" collapsed="false">
      <c r="A645" s="22"/>
      <c r="B645" s="24"/>
      <c r="C645" s="24"/>
      <c r="D645" s="25"/>
      <c r="E645" s="24"/>
    </row>
    <row r="646" customFormat="false" ht="15" hidden="false" customHeight="false" outlineLevel="0" collapsed="false">
      <c r="A646" s="22"/>
      <c r="B646" s="24"/>
      <c r="C646" s="24"/>
      <c r="D646" s="25"/>
      <c r="E646" s="24"/>
    </row>
    <row r="647" customFormat="false" ht="15" hidden="false" customHeight="false" outlineLevel="0" collapsed="false">
      <c r="A647" s="22"/>
      <c r="B647" s="24"/>
      <c r="C647" s="24"/>
      <c r="D647" s="25"/>
      <c r="E647" s="24"/>
    </row>
    <row r="648" customFormat="false" ht="15" hidden="false" customHeight="false" outlineLevel="0" collapsed="false">
      <c r="A648" s="22"/>
      <c r="B648" s="24"/>
      <c r="C648" s="24"/>
      <c r="D648" s="25"/>
      <c r="E648" s="24"/>
    </row>
    <row r="649" customFormat="false" ht="15" hidden="false" customHeight="false" outlineLevel="0" collapsed="false">
      <c r="A649" s="22"/>
      <c r="B649" s="24"/>
      <c r="C649" s="24"/>
      <c r="D649" s="25"/>
      <c r="E649" s="24"/>
    </row>
    <row r="650" customFormat="false" ht="15" hidden="false" customHeight="false" outlineLevel="0" collapsed="false">
      <c r="A650" s="22"/>
      <c r="B650" s="24"/>
      <c r="C650" s="24"/>
      <c r="D650" s="25"/>
      <c r="E650" s="24"/>
    </row>
    <row r="651" customFormat="false" ht="15" hidden="false" customHeight="false" outlineLevel="0" collapsed="false">
      <c r="A651" s="22"/>
      <c r="B651" s="24"/>
      <c r="C651" s="24"/>
      <c r="D651" s="25"/>
      <c r="E651" s="24"/>
    </row>
    <row r="652" customFormat="false" ht="15" hidden="false" customHeight="false" outlineLevel="0" collapsed="false">
      <c r="A652" s="22"/>
      <c r="B652" s="24"/>
      <c r="C652" s="24"/>
      <c r="D652" s="25"/>
      <c r="E652" s="24"/>
    </row>
    <row r="653" customFormat="false" ht="15" hidden="false" customHeight="false" outlineLevel="0" collapsed="false">
      <c r="A653" s="22"/>
      <c r="B653" s="24"/>
      <c r="C653" s="24"/>
      <c r="D653" s="25"/>
      <c r="E653" s="24"/>
    </row>
    <row r="654" customFormat="false" ht="15" hidden="false" customHeight="false" outlineLevel="0" collapsed="false">
      <c r="A654" s="22"/>
      <c r="B654" s="24"/>
      <c r="C654" s="24"/>
      <c r="D654" s="25"/>
      <c r="E654" s="24"/>
    </row>
    <row r="655" customFormat="false" ht="15" hidden="false" customHeight="false" outlineLevel="0" collapsed="false">
      <c r="A655" s="22"/>
      <c r="B655" s="24"/>
      <c r="C655" s="24"/>
      <c r="D655" s="25"/>
      <c r="E655" s="24"/>
    </row>
    <row r="656" customFormat="false" ht="15" hidden="false" customHeight="false" outlineLevel="0" collapsed="false">
      <c r="A656" s="22"/>
      <c r="B656" s="24"/>
      <c r="C656" s="24"/>
      <c r="D656" s="25"/>
      <c r="E656" s="24"/>
    </row>
    <row r="657" customFormat="false" ht="15" hidden="false" customHeight="false" outlineLevel="0" collapsed="false">
      <c r="A657" s="22"/>
      <c r="B657" s="24"/>
      <c r="C657" s="24"/>
      <c r="D657" s="25"/>
      <c r="E657" s="24"/>
    </row>
    <row r="658" customFormat="false" ht="15" hidden="false" customHeight="false" outlineLevel="0" collapsed="false">
      <c r="A658" s="22"/>
      <c r="B658" s="24"/>
      <c r="C658" s="24"/>
      <c r="D658" s="25"/>
      <c r="E658" s="24"/>
    </row>
    <row r="659" customFormat="false" ht="15" hidden="false" customHeight="false" outlineLevel="0" collapsed="false">
      <c r="A659" s="22"/>
      <c r="B659" s="24"/>
      <c r="C659" s="24"/>
      <c r="D659" s="25"/>
      <c r="E659" s="24"/>
    </row>
    <row r="660" customFormat="false" ht="15" hidden="false" customHeight="false" outlineLevel="0" collapsed="false">
      <c r="A660" s="22"/>
      <c r="B660" s="24"/>
      <c r="C660" s="24"/>
      <c r="D660" s="25"/>
      <c r="E660" s="24"/>
    </row>
    <row r="661" customFormat="false" ht="15" hidden="false" customHeight="false" outlineLevel="0" collapsed="false">
      <c r="A661" s="22"/>
      <c r="B661" s="24"/>
      <c r="C661" s="24"/>
      <c r="D661" s="25"/>
      <c r="E661" s="24"/>
    </row>
    <row r="662" customFormat="false" ht="15" hidden="false" customHeight="false" outlineLevel="0" collapsed="false">
      <c r="A662" s="22"/>
      <c r="B662" s="24"/>
      <c r="C662" s="24"/>
      <c r="D662" s="25"/>
      <c r="E662" s="24"/>
    </row>
    <row r="663" customFormat="false" ht="15" hidden="false" customHeight="false" outlineLevel="0" collapsed="false">
      <c r="A663" s="22"/>
      <c r="B663" s="24"/>
      <c r="C663" s="24"/>
      <c r="D663" s="25"/>
      <c r="E663" s="24"/>
    </row>
    <row r="664" customFormat="false" ht="15" hidden="false" customHeight="false" outlineLevel="0" collapsed="false">
      <c r="A664" s="22"/>
      <c r="B664" s="24"/>
      <c r="C664" s="24"/>
      <c r="D664" s="25"/>
      <c r="E664" s="24"/>
    </row>
    <row r="665" customFormat="false" ht="15" hidden="false" customHeight="false" outlineLevel="0" collapsed="false">
      <c r="A665" s="22"/>
      <c r="B665" s="24"/>
      <c r="C665" s="24"/>
      <c r="D665" s="25"/>
      <c r="E665" s="24"/>
    </row>
    <row r="666" customFormat="false" ht="15" hidden="false" customHeight="false" outlineLevel="0" collapsed="false">
      <c r="A666" s="22"/>
      <c r="B666" s="24"/>
      <c r="C666" s="24"/>
      <c r="D666" s="25"/>
      <c r="E666" s="24"/>
    </row>
    <row r="667" customFormat="false" ht="15" hidden="false" customHeight="false" outlineLevel="0" collapsed="false">
      <c r="A667" s="22"/>
      <c r="B667" s="24"/>
      <c r="C667" s="24"/>
      <c r="D667" s="25"/>
      <c r="E667" s="24"/>
    </row>
    <row r="668" customFormat="false" ht="15" hidden="false" customHeight="false" outlineLevel="0" collapsed="false">
      <c r="A668" s="22"/>
      <c r="B668" s="24"/>
      <c r="C668" s="24"/>
      <c r="D668" s="25"/>
      <c r="E668" s="24"/>
    </row>
    <row r="669" customFormat="false" ht="15" hidden="false" customHeight="false" outlineLevel="0" collapsed="false">
      <c r="A669" s="22"/>
      <c r="B669" s="24"/>
      <c r="C669" s="24"/>
      <c r="D669" s="25"/>
      <c r="E669" s="24"/>
    </row>
    <row r="670" customFormat="false" ht="15" hidden="false" customHeight="false" outlineLevel="0" collapsed="false">
      <c r="A670" s="22"/>
      <c r="B670" s="24"/>
      <c r="C670" s="24"/>
      <c r="D670" s="25"/>
      <c r="E670" s="24"/>
    </row>
    <row r="671" customFormat="false" ht="15" hidden="false" customHeight="false" outlineLevel="0" collapsed="false">
      <c r="A671" s="22"/>
      <c r="B671" s="24"/>
      <c r="C671" s="24"/>
      <c r="D671" s="25"/>
      <c r="E671" s="24"/>
    </row>
    <row r="672" customFormat="false" ht="15" hidden="false" customHeight="false" outlineLevel="0" collapsed="false">
      <c r="A672" s="22"/>
      <c r="B672" s="24"/>
      <c r="C672" s="24"/>
      <c r="D672" s="25"/>
      <c r="E672" s="24"/>
    </row>
    <row r="673" customFormat="false" ht="15" hidden="false" customHeight="false" outlineLevel="0" collapsed="false">
      <c r="A673" s="22"/>
      <c r="B673" s="24"/>
      <c r="C673" s="24"/>
      <c r="D673" s="25"/>
      <c r="E673" s="24"/>
    </row>
    <row r="674" customFormat="false" ht="15" hidden="false" customHeight="false" outlineLevel="0" collapsed="false">
      <c r="A674" s="22"/>
      <c r="B674" s="24"/>
      <c r="C674" s="24"/>
      <c r="D674" s="25"/>
      <c r="E674" s="24"/>
    </row>
    <row r="675" customFormat="false" ht="15" hidden="false" customHeight="false" outlineLevel="0" collapsed="false">
      <c r="A675" s="22"/>
      <c r="B675" s="24"/>
      <c r="C675" s="24"/>
      <c r="D675" s="25"/>
      <c r="E675" s="24"/>
    </row>
    <row r="676" customFormat="false" ht="15" hidden="false" customHeight="false" outlineLevel="0" collapsed="false">
      <c r="A676" s="22"/>
      <c r="B676" s="24"/>
      <c r="C676" s="24"/>
      <c r="D676" s="25"/>
      <c r="E676" s="24"/>
    </row>
    <row r="677" customFormat="false" ht="15" hidden="false" customHeight="false" outlineLevel="0" collapsed="false">
      <c r="A677" s="22"/>
      <c r="B677" s="24"/>
      <c r="C677" s="24"/>
      <c r="D677" s="25"/>
      <c r="E677" s="24"/>
    </row>
    <row r="678" customFormat="false" ht="15" hidden="false" customHeight="false" outlineLevel="0" collapsed="false">
      <c r="A678" s="22"/>
      <c r="B678" s="24"/>
      <c r="C678" s="24"/>
      <c r="D678" s="25"/>
      <c r="E678" s="24"/>
    </row>
    <row r="679" customFormat="false" ht="15" hidden="false" customHeight="false" outlineLevel="0" collapsed="false">
      <c r="A679" s="22"/>
      <c r="B679" s="24"/>
      <c r="C679" s="24"/>
      <c r="D679" s="25"/>
      <c r="E679" s="24"/>
    </row>
    <row r="680" customFormat="false" ht="15" hidden="false" customHeight="false" outlineLevel="0" collapsed="false">
      <c r="A680" s="22"/>
      <c r="B680" s="24"/>
      <c r="C680" s="24"/>
      <c r="D680" s="25"/>
      <c r="E680" s="24"/>
    </row>
    <row r="681" customFormat="false" ht="15" hidden="false" customHeight="false" outlineLevel="0" collapsed="false">
      <c r="A681" s="22"/>
      <c r="B681" s="24"/>
      <c r="C681" s="24"/>
      <c r="D681" s="25"/>
      <c r="E681" s="24"/>
    </row>
    <row r="682" customFormat="false" ht="15" hidden="false" customHeight="false" outlineLevel="0" collapsed="false">
      <c r="A682" s="22"/>
      <c r="B682" s="24"/>
      <c r="C682" s="24"/>
      <c r="D682" s="25"/>
      <c r="E682" s="24"/>
    </row>
    <row r="683" customFormat="false" ht="15" hidden="false" customHeight="false" outlineLevel="0" collapsed="false">
      <c r="A683" s="22"/>
      <c r="B683" s="24"/>
      <c r="C683" s="24"/>
      <c r="D683" s="25"/>
      <c r="E683" s="24"/>
    </row>
    <row r="684" customFormat="false" ht="15" hidden="false" customHeight="false" outlineLevel="0" collapsed="false">
      <c r="A684" s="22"/>
      <c r="B684" s="24"/>
      <c r="C684" s="24"/>
      <c r="D684" s="25"/>
      <c r="E684" s="24"/>
    </row>
    <row r="685" customFormat="false" ht="15" hidden="false" customHeight="false" outlineLevel="0" collapsed="false">
      <c r="A685" s="22"/>
      <c r="B685" s="24"/>
      <c r="C685" s="24"/>
      <c r="D685" s="25"/>
      <c r="E685" s="24"/>
    </row>
    <row r="686" customFormat="false" ht="15" hidden="false" customHeight="false" outlineLevel="0" collapsed="false">
      <c r="A686" s="22"/>
      <c r="B686" s="24"/>
      <c r="C686" s="24"/>
      <c r="D686" s="25"/>
      <c r="E686" s="24"/>
    </row>
    <row r="687" customFormat="false" ht="15" hidden="false" customHeight="false" outlineLevel="0" collapsed="false">
      <c r="A687" s="22"/>
      <c r="B687" s="24"/>
      <c r="C687" s="24"/>
      <c r="D687" s="25"/>
      <c r="E687" s="24"/>
    </row>
    <row r="688" customFormat="false" ht="15" hidden="false" customHeight="false" outlineLevel="0" collapsed="false">
      <c r="A688" s="22"/>
      <c r="B688" s="24"/>
      <c r="C688" s="24"/>
      <c r="D688" s="25"/>
      <c r="E688" s="24"/>
    </row>
    <row r="689" customFormat="false" ht="15" hidden="false" customHeight="false" outlineLevel="0" collapsed="false">
      <c r="A689" s="22"/>
      <c r="B689" s="24"/>
      <c r="C689" s="24"/>
      <c r="D689" s="25"/>
      <c r="E689" s="24"/>
    </row>
    <row r="690" customFormat="false" ht="15" hidden="false" customHeight="false" outlineLevel="0" collapsed="false">
      <c r="A690" s="22"/>
      <c r="B690" s="24"/>
      <c r="C690" s="24"/>
      <c r="D690" s="25"/>
      <c r="E690" s="24"/>
    </row>
    <row r="691" customFormat="false" ht="15" hidden="false" customHeight="false" outlineLevel="0" collapsed="false">
      <c r="A691" s="22"/>
      <c r="B691" s="24"/>
      <c r="C691" s="24"/>
      <c r="D691" s="25"/>
      <c r="E691" s="24"/>
    </row>
    <row r="692" customFormat="false" ht="15" hidden="false" customHeight="false" outlineLevel="0" collapsed="false">
      <c r="A692" s="22"/>
      <c r="B692" s="24"/>
      <c r="C692" s="24"/>
      <c r="D692" s="25"/>
      <c r="E692" s="24"/>
    </row>
    <row r="693" customFormat="false" ht="15" hidden="false" customHeight="false" outlineLevel="0" collapsed="false">
      <c r="A693" s="22"/>
      <c r="B693" s="24"/>
      <c r="C693" s="24"/>
      <c r="D693" s="25"/>
      <c r="E693" s="24"/>
    </row>
    <row r="694" customFormat="false" ht="15" hidden="false" customHeight="false" outlineLevel="0" collapsed="false">
      <c r="A694" s="22"/>
      <c r="B694" s="24"/>
      <c r="C694" s="24"/>
      <c r="D694" s="25"/>
      <c r="E694" s="24"/>
    </row>
    <row r="695" customFormat="false" ht="15" hidden="false" customHeight="false" outlineLevel="0" collapsed="false">
      <c r="A695" s="22"/>
      <c r="B695" s="24"/>
      <c r="C695" s="24"/>
      <c r="D695" s="25"/>
      <c r="E695" s="24"/>
    </row>
    <row r="696" customFormat="false" ht="15" hidden="false" customHeight="false" outlineLevel="0" collapsed="false">
      <c r="A696" s="22"/>
      <c r="B696" s="24"/>
      <c r="C696" s="24"/>
      <c r="D696" s="25"/>
      <c r="E696" s="24"/>
    </row>
    <row r="697" customFormat="false" ht="15" hidden="false" customHeight="false" outlineLevel="0" collapsed="false">
      <c r="A697" s="22"/>
      <c r="B697" s="24"/>
      <c r="C697" s="24"/>
      <c r="D697" s="25"/>
      <c r="E697" s="24"/>
    </row>
    <row r="698" customFormat="false" ht="15" hidden="false" customHeight="false" outlineLevel="0" collapsed="false">
      <c r="A698" s="22"/>
      <c r="B698" s="24"/>
      <c r="C698" s="24"/>
      <c r="D698" s="25"/>
      <c r="E698" s="24"/>
    </row>
    <row r="699" customFormat="false" ht="15" hidden="false" customHeight="false" outlineLevel="0" collapsed="false">
      <c r="A699" s="22"/>
      <c r="B699" s="24"/>
      <c r="C699" s="24"/>
      <c r="D699" s="25"/>
      <c r="E699" s="24"/>
    </row>
    <row r="700" customFormat="false" ht="15" hidden="false" customHeight="false" outlineLevel="0" collapsed="false">
      <c r="A700" s="22"/>
      <c r="B700" s="24"/>
      <c r="C700" s="24"/>
      <c r="D700" s="25"/>
      <c r="E700" s="24"/>
    </row>
    <row r="701" customFormat="false" ht="15" hidden="false" customHeight="false" outlineLevel="0" collapsed="false">
      <c r="A701" s="22"/>
      <c r="B701" s="24"/>
      <c r="C701" s="24"/>
      <c r="D701" s="25"/>
      <c r="E701" s="24"/>
    </row>
    <row r="702" customFormat="false" ht="15" hidden="false" customHeight="false" outlineLevel="0" collapsed="false">
      <c r="A702" s="22"/>
      <c r="B702" s="24"/>
      <c r="C702" s="24"/>
      <c r="D702" s="25"/>
      <c r="E702" s="24"/>
    </row>
    <row r="703" customFormat="false" ht="15" hidden="false" customHeight="false" outlineLevel="0" collapsed="false">
      <c r="A703" s="22"/>
      <c r="B703" s="24"/>
      <c r="C703" s="24"/>
      <c r="D703" s="25"/>
      <c r="E703" s="24"/>
    </row>
    <row r="704" customFormat="false" ht="15" hidden="false" customHeight="false" outlineLevel="0" collapsed="false">
      <c r="A704" s="22"/>
      <c r="B704" s="24"/>
      <c r="C704" s="24"/>
      <c r="D704" s="25"/>
      <c r="E704" s="24"/>
    </row>
    <row r="705" customFormat="false" ht="15" hidden="false" customHeight="false" outlineLevel="0" collapsed="false">
      <c r="A705" s="22"/>
      <c r="B705" s="24"/>
      <c r="C705" s="24"/>
      <c r="D705" s="25"/>
      <c r="E705" s="24"/>
    </row>
    <row r="706" customFormat="false" ht="15" hidden="false" customHeight="false" outlineLevel="0" collapsed="false">
      <c r="A706" s="22"/>
      <c r="B706" s="24"/>
      <c r="C706" s="24"/>
      <c r="D706" s="25"/>
      <c r="E706" s="24"/>
    </row>
    <row r="707" customFormat="false" ht="15" hidden="false" customHeight="false" outlineLevel="0" collapsed="false">
      <c r="A707" s="22"/>
      <c r="B707" s="24"/>
      <c r="C707" s="24"/>
      <c r="D707" s="25"/>
      <c r="E707" s="24"/>
    </row>
    <row r="708" customFormat="false" ht="15" hidden="false" customHeight="false" outlineLevel="0" collapsed="false">
      <c r="A708" s="22"/>
      <c r="B708" s="24"/>
      <c r="C708" s="24"/>
      <c r="D708" s="25"/>
      <c r="E708" s="24"/>
    </row>
    <row r="709" customFormat="false" ht="15" hidden="false" customHeight="false" outlineLevel="0" collapsed="false">
      <c r="A709" s="22"/>
      <c r="B709" s="24"/>
      <c r="C709" s="24"/>
      <c r="D709" s="25"/>
      <c r="E709" s="24"/>
    </row>
    <row r="710" customFormat="false" ht="15" hidden="false" customHeight="false" outlineLevel="0" collapsed="false">
      <c r="A710" s="22"/>
      <c r="B710" s="24"/>
      <c r="C710" s="24"/>
      <c r="D710" s="25"/>
      <c r="E710" s="24"/>
    </row>
    <row r="711" customFormat="false" ht="15" hidden="false" customHeight="false" outlineLevel="0" collapsed="false">
      <c r="A711" s="22"/>
      <c r="B711" s="24"/>
      <c r="C711" s="24"/>
      <c r="D711" s="25"/>
      <c r="E711" s="24"/>
    </row>
    <row r="712" customFormat="false" ht="15" hidden="false" customHeight="false" outlineLevel="0" collapsed="false">
      <c r="A712" s="22"/>
      <c r="B712" s="24"/>
      <c r="C712" s="24"/>
      <c r="D712" s="25"/>
      <c r="E712" s="24"/>
    </row>
    <row r="713" customFormat="false" ht="15" hidden="false" customHeight="false" outlineLevel="0" collapsed="false">
      <c r="A713" s="22"/>
      <c r="B713" s="24"/>
      <c r="C713" s="24"/>
      <c r="D713" s="25"/>
      <c r="E713" s="24"/>
    </row>
    <row r="714" customFormat="false" ht="15" hidden="false" customHeight="false" outlineLevel="0" collapsed="false">
      <c r="A714" s="22"/>
      <c r="B714" s="24"/>
      <c r="C714" s="24"/>
      <c r="D714" s="25"/>
      <c r="E714" s="24"/>
    </row>
    <row r="715" customFormat="false" ht="15" hidden="false" customHeight="false" outlineLevel="0" collapsed="false">
      <c r="A715" s="22"/>
      <c r="B715" s="24"/>
      <c r="C715" s="24"/>
      <c r="D715" s="25"/>
      <c r="E715" s="24"/>
    </row>
    <row r="716" customFormat="false" ht="15" hidden="false" customHeight="false" outlineLevel="0" collapsed="false">
      <c r="A716" s="22"/>
      <c r="B716" s="24"/>
      <c r="C716" s="24"/>
      <c r="D716" s="25"/>
      <c r="E716" s="24"/>
    </row>
    <row r="717" customFormat="false" ht="15" hidden="false" customHeight="false" outlineLevel="0" collapsed="false">
      <c r="A717" s="22"/>
      <c r="B717" s="24"/>
      <c r="C717" s="24"/>
      <c r="D717" s="25"/>
      <c r="E717" s="24"/>
    </row>
    <row r="718" customFormat="false" ht="15" hidden="false" customHeight="false" outlineLevel="0" collapsed="false">
      <c r="A718" s="22"/>
      <c r="B718" s="24"/>
      <c r="C718" s="24"/>
      <c r="D718" s="25"/>
      <c r="E718" s="24"/>
    </row>
    <row r="719" customFormat="false" ht="15" hidden="false" customHeight="false" outlineLevel="0" collapsed="false">
      <c r="A719" s="22"/>
      <c r="B719" s="24"/>
      <c r="C719" s="24"/>
      <c r="D719" s="25"/>
      <c r="E719" s="24"/>
    </row>
    <row r="720" customFormat="false" ht="15" hidden="false" customHeight="false" outlineLevel="0" collapsed="false">
      <c r="A720" s="22"/>
      <c r="B720" s="24"/>
      <c r="C720" s="24"/>
      <c r="D720" s="25"/>
      <c r="E720" s="24"/>
    </row>
    <row r="721" customFormat="false" ht="15" hidden="false" customHeight="false" outlineLevel="0" collapsed="false">
      <c r="A721" s="22"/>
      <c r="B721" s="24"/>
      <c r="C721" s="24"/>
      <c r="D721" s="25"/>
      <c r="E721" s="24"/>
    </row>
    <row r="722" customFormat="false" ht="15" hidden="false" customHeight="false" outlineLevel="0" collapsed="false">
      <c r="A722" s="22"/>
      <c r="B722" s="24"/>
      <c r="C722" s="24"/>
      <c r="D722" s="25"/>
      <c r="E722" s="24"/>
    </row>
    <row r="723" customFormat="false" ht="15" hidden="false" customHeight="false" outlineLevel="0" collapsed="false">
      <c r="A723" s="22"/>
      <c r="B723" s="24"/>
      <c r="C723" s="24"/>
      <c r="D723" s="25"/>
      <c r="E723" s="24"/>
    </row>
    <row r="724" customFormat="false" ht="15" hidden="false" customHeight="false" outlineLevel="0" collapsed="false">
      <c r="A724" s="22"/>
      <c r="B724" s="24"/>
      <c r="C724" s="24"/>
      <c r="D724" s="25"/>
      <c r="E724" s="24"/>
    </row>
    <row r="725" customFormat="false" ht="15" hidden="false" customHeight="false" outlineLevel="0" collapsed="false">
      <c r="A725" s="22"/>
      <c r="B725" s="24"/>
      <c r="C725" s="24"/>
      <c r="D725" s="25"/>
      <c r="E725" s="24"/>
    </row>
    <row r="726" customFormat="false" ht="15" hidden="false" customHeight="false" outlineLevel="0" collapsed="false">
      <c r="A726" s="22"/>
      <c r="B726" s="24"/>
      <c r="C726" s="24"/>
      <c r="D726" s="25"/>
      <c r="E726" s="24"/>
    </row>
    <row r="727" customFormat="false" ht="15" hidden="false" customHeight="false" outlineLevel="0" collapsed="false">
      <c r="A727" s="22"/>
      <c r="B727" s="24"/>
      <c r="C727" s="24"/>
      <c r="D727" s="25"/>
      <c r="E727" s="24"/>
    </row>
    <row r="728" customFormat="false" ht="15" hidden="false" customHeight="false" outlineLevel="0" collapsed="false">
      <c r="A728" s="22"/>
      <c r="B728" s="24"/>
      <c r="C728" s="24"/>
      <c r="D728" s="25"/>
      <c r="E728" s="24"/>
    </row>
    <row r="729" customFormat="false" ht="15" hidden="false" customHeight="false" outlineLevel="0" collapsed="false">
      <c r="A729" s="22"/>
      <c r="B729" s="24"/>
      <c r="C729" s="24"/>
      <c r="D729" s="25"/>
      <c r="E729" s="24"/>
    </row>
    <row r="730" customFormat="false" ht="15" hidden="false" customHeight="false" outlineLevel="0" collapsed="false">
      <c r="A730" s="22"/>
      <c r="B730" s="24"/>
      <c r="C730" s="24"/>
      <c r="D730" s="25"/>
      <c r="E730" s="24"/>
    </row>
    <row r="731" customFormat="false" ht="15" hidden="false" customHeight="false" outlineLevel="0" collapsed="false">
      <c r="A731" s="22"/>
      <c r="B731" s="24"/>
      <c r="C731" s="24"/>
      <c r="D731" s="25"/>
      <c r="E731" s="24"/>
    </row>
    <row r="732" customFormat="false" ht="15" hidden="false" customHeight="false" outlineLevel="0" collapsed="false">
      <c r="A732" s="22"/>
      <c r="B732" s="24"/>
      <c r="C732" s="24"/>
      <c r="D732" s="25"/>
      <c r="E732" s="24"/>
    </row>
    <row r="733" customFormat="false" ht="15" hidden="false" customHeight="false" outlineLevel="0" collapsed="false">
      <c r="A733" s="22"/>
      <c r="B733" s="24"/>
      <c r="C733" s="24"/>
      <c r="D733" s="25"/>
      <c r="E733" s="24"/>
    </row>
    <row r="734" customFormat="false" ht="15" hidden="false" customHeight="false" outlineLevel="0" collapsed="false">
      <c r="A734" s="22"/>
      <c r="B734" s="24"/>
      <c r="C734" s="24"/>
      <c r="D734" s="25"/>
      <c r="E734" s="24"/>
    </row>
    <row r="735" customFormat="false" ht="15" hidden="false" customHeight="false" outlineLevel="0" collapsed="false">
      <c r="A735" s="22"/>
      <c r="B735" s="24"/>
      <c r="C735" s="24"/>
      <c r="D735" s="25"/>
      <c r="E735" s="24"/>
    </row>
    <row r="736" customFormat="false" ht="15" hidden="false" customHeight="false" outlineLevel="0" collapsed="false">
      <c r="A736" s="22"/>
      <c r="B736" s="24"/>
      <c r="C736" s="24"/>
      <c r="D736" s="25"/>
      <c r="E736" s="24"/>
    </row>
    <row r="737" customFormat="false" ht="15" hidden="false" customHeight="false" outlineLevel="0" collapsed="false">
      <c r="A737" s="22"/>
      <c r="B737" s="24"/>
      <c r="C737" s="24"/>
      <c r="D737" s="25"/>
      <c r="E737" s="24"/>
    </row>
    <row r="738" customFormat="false" ht="15" hidden="false" customHeight="false" outlineLevel="0" collapsed="false">
      <c r="A738" s="22"/>
      <c r="B738" s="24"/>
      <c r="C738" s="24"/>
      <c r="D738" s="25"/>
      <c r="E738" s="24"/>
    </row>
    <row r="739" customFormat="false" ht="15" hidden="false" customHeight="false" outlineLevel="0" collapsed="false">
      <c r="A739" s="22"/>
      <c r="B739" s="24"/>
      <c r="C739" s="24"/>
      <c r="D739" s="25"/>
      <c r="E739" s="24"/>
    </row>
    <row r="740" customFormat="false" ht="15" hidden="false" customHeight="false" outlineLevel="0" collapsed="false">
      <c r="A740" s="22"/>
      <c r="B740" s="24"/>
      <c r="C740" s="24"/>
      <c r="D740" s="25"/>
      <c r="E740" s="24"/>
    </row>
    <row r="741" customFormat="false" ht="15" hidden="false" customHeight="false" outlineLevel="0" collapsed="false">
      <c r="A741" s="22"/>
      <c r="B741" s="24"/>
      <c r="C741" s="24"/>
      <c r="D741" s="25"/>
      <c r="E741" s="24"/>
    </row>
    <row r="742" customFormat="false" ht="15" hidden="false" customHeight="false" outlineLevel="0" collapsed="false">
      <c r="A742" s="22"/>
      <c r="B742" s="24"/>
      <c r="C742" s="24"/>
      <c r="D742" s="25"/>
      <c r="E742" s="24"/>
    </row>
    <row r="743" customFormat="false" ht="15" hidden="false" customHeight="false" outlineLevel="0" collapsed="false">
      <c r="A743" s="22"/>
      <c r="B743" s="24"/>
      <c r="C743" s="24"/>
      <c r="D743" s="25"/>
      <c r="E743" s="24"/>
    </row>
    <row r="744" customFormat="false" ht="15" hidden="false" customHeight="false" outlineLevel="0" collapsed="false">
      <c r="A744" s="22"/>
      <c r="B744" s="24"/>
      <c r="C744" s="24"/>
      <c r="D744" s="25"/>
      <c r="E744" s="24"/>
    </row>
    <row r="745" customFormat="false" ht="15" hidden="false" customHeight="false" outlineLevel="0" collapsed="false">
      <c r="A745" s="22"/>
      <c r="B745" s="24"/>
      <c r="C745" s="24"/>
      <c r="D745" s="25"/>
      <c r="E745" s="24"/>
    </row>
    <row r="746" customFormat="false" ht="15" hidden="false" customHeight="false" outlineLevel="0" collapsed="false">
      <c r="A746" s="22"/>
      <c r="B746" s="24"/>
      <c r="C746" s="24"/>
      <c r="D746" s="25"/>
      <c r="E746" s="24"/>
    </row>
    <row r="747" customFormat="false" ht="15" hidden="false" customHeight="false" outlineLevel="0" collapsed="false">
      <c r="A747" s="22"/>
      <c r="B747" s="24"/>
      <c r="C747" s="24"/>
      <c r="D747" s="25"/>
      <c r="E747" s="24"/>
    </row>
    <row r="748" customFormat="false" ht="15" hidden="false" customHeight="false" outlineLevel="0" collapsed="false">
      <c r="A748" s="22"/>
      <c r="B748" s="24"/>
      <c r="C748" s="24"/>
      <c r="D748" s="25"/>
      <c r="E748" s="24"/>
    </row>
    <row r="749" customFormat="false" ht="15" hidden="false" customHeight="false" outlineLevel="0" collapsed="false">
      <c r="A749" s="22"/>
      <c r="B749" s="24"/>
      <c r="C749" s="24"/>
      <c r="D749" s="25"/>
      <c r="E749" s="24"/>
    </row>
    <row r="750" customFormat="false" ht="15" hidden="false" customHeight="false" outlineLevel="0" collapsed="false">
      <c r="A750" s="22"/>
      <c r="B750" s="24"/>
      <c r="C750" s="24"/>
      <c r="D750" s="25"/>
      <c r="E750" s="24"/>
    </row>
    <row r="751" customFormat="false" ht="15" hidden="false" customHeight="false" outlineLevel="0" collapsed="false">
      <c r="A751" s="22"/>
      <c r="B751" s="24"/>
      <c r="C751" s="24"/>
      <c r="D751" s="25"/>
      <c r="E751" s="24"/>
    </row>
    <row r="752" customFormat="false" ht="15" hidden="false" customHeight="false" outlineLevel="0" collapsed="false">
      <c r="A752" s="22"/>
      <c r="B752" s="24"/>
      <c r="C752" s="24"/>
      <c r="D752" s="25"/>
      <c r="E752" s="24"/>
    </row>
    <row r="753" customFormat="false" ht="15" hidden="false" customHeight="false" outlineLevel="0" collapsed="false">
      <c r="A753" s="22"/>
      <c r="B753" s="24"/>
      <c r="C753" s="24"/>
      <c r="D753" s="25"/>
      <c r="E753" s="24"/>
    </row>
    <row r="754" customFormat="false" ht="15" hidden="false" customHeight="false" outlineLevel="0" collapsed="false">
      <c r="A754" s="22"/>
      <c r="B754" s="24"/>
      <c r="C754" s="24"/>
      <c r="D754" s="25"/>
      <c r="E754" s="24"/>
    </row>
    <row r="755" customFormat="false" ht="15" hidden="false" customHeight="false" outlineLevel="0" collapsed="false">
      <c r="A755" s="22"/>
      <c r="B755" s="24"/>
      <c r="C755" s="24"/>
      <c r="D755" s="25"/>
      <c r="E755" s="24"/>
    </row>
    <row r="756" customFormat="false" ht="15" hidden="false" customHeight="false" outlineLevel="0" collapsed="false">
      <c r="A756" s="22"/>
      <c r="B756" s="24"/>
      <c r="C756" s="24"/>
      <c r="D756" s="25"/>
      <c r="E756" s="24"/>
    </row>
    <row r="757" customFormat="false" ht="15" hidden="false" customHeight="false" outlineLevel="0" collapsed="false">
      <c r="A757" s="22"/>
      <c r="B757" s="24"/>
      <c r="C757" s="24"/>
      <c r="D757" s="25"/>
      <c r="E757" s="24"/>
    </row>
    <row r="758" customFormat="false" ht="15" hidden="false" customHeight="false" outlineLevel="0" collapsed="false">
      <c r="A758" s="22"/>
      <c r="B758" s="24"/>
      <c r="C758" s="24"/>
      <c r="D758" s="25"/>
      <c r="E758" s="24"/>
    </row>
    <row r="759" customFormat="false" ht="15" hidden="false" customHeight="false" outlineLevel="0" collapsed="false">
      <c r="A759" s="22"/>
      <c r="B759" s="24"/>
      <c r="C759" s="24"/>
      <c r="D759" s="25"/>
      <c r="E759" s="24"/>
    </row>
    <row r="760" customFormat="false" ht="15" hidden="false" customHeight="false" outlineLevel="0" collapsed="false">
      <c r="A760" s="22"/>
      <c r="B760" s="24"/>
      <c r="C760" s="24"/>
      <c r="D760" s="25"/>
      <c r="E760" s="24"/>
    </row>
    <row r="761" customFormat="false" ht="15" hidden="false" customHeight="false" outlineLevel="0" collapsed="false">
      <c r="A761" s="22"/>
      <c r="B761" s="24"/>
      <c r="C761" s="24"/>
      <c r="D761" s="25"/>
      <c r="E761" s="24"/>
    </row>
    <row r="762" customFormat="false" ht="15" hidden="false" customHeight="false" outlineLevel="0" collapsed="false">
      <c r="A762" s="22"/>
      <c r="B762" s="24"/>
      <c r="C762" s="24"/>
      <c r="D762" s="25"/>
      <c r="E762" s="24"/>
    </row>
    <row r="763" customFormat="false" ht="15" hidden="false" customHeight="false" outlineLevel="0" collapsed="false">
      <c r="A763" s="22"/>
      <c r="B763" s="24"/>
      <c r="C763" s="24"/>
      <c r="D763" s="25"/>
      <c r="E763" s="24"/>
    </row>
    <row r="764" customFormat="false" ht="15" hidden="false" customHeight="false" outlineLevel="0" collapsed="false">
      <c r="A764" s="22"/>
      <c r="B764" s="24"/>
      <c r="C764" s="24"/>
      <c r="D764" s="25"/>
      <c r="E764" s="24"/>
    </row>
    <row r="765" customFormat="false" ht="15" hidden="false" customHeight="false" outlineLevel="0" collapsed="false">
      <c r="A765" s="22"/>
      <c r="B765" s="24"/>
      <c r="C765" s="24"/>
      <c r="D765" s="25"/>
      <c r="E765" s="24"/>
    </row>
    <row r="766" customFormat="false" ht="15" hidden="false" customHeight="false" outlineLevel="0" collapsed="false">
      <c r="A766" s="22"/>
      <c r="B766" s="24"/>
      <c r="C766" s="24"/>
      <c r="D766" s="25"/>
      <c r="E766" s="24"/>
    </row>
    <row r="767" customFormat="false" ht="15" hidden="false" customHeight="false" outlineLevel="0" collapsed="false">
      <c r="A767" s="22"/>
      <c r="B767" s="24"/>
      <c r="C767" s="24"/>
      <c r="D767" s="25"/>
      <c r="E767" s="24"/>
    </row>
    <row r="768" customFormat="false" ht="15" hidden="false" customHeight="false" outlineLevel="0" collapsed="false">
      <c r="A768" s="22"/>
      <c r="B768" s="24"/>
      <c r="C768" s="24"/>
      <c r="D768" s="25"/>
      <c r="E768" s="24"/>
    </row>
    <row r="769" customFormat="false" ht="15" hidden="false" customHeight="false" outlineLevel="0" collapsed="false">
      <c r="A769" s="22"/>
      <c r="B769" s="24"/>
      <c r="C769" s="24"/>
      <c r="D769" s="25"/>
      <c r="E769" s="24"/>
    </row>
    <row r="770" customFormat="false" ht="15" hidden="false" customHeight="false" outlineLevel="0" collapsed="false">
      <c r="A770" s="22"/>
      <c r="B770" s="24"/>
      <c r="C770" s="24"/>
      <c r="D770" s="25"/>
      <c r="E770" s="24"/>
    </row>
    <row r="771" customFormat="false" ht="15" hidden="false" customHeight="false" outlineLevel="0" collapsed="false">
      <c r="A771" s="22"/>
      <c r="B771" s="24"/>
      <c r="C771" s="24"/>
      <c r="D771" s="25"/>
      <c r="E771" s="24"/>
    </row>
    <row r="772" customFormat="false" ht="15" hidden="false" customHeight="false" outlineLevel="0" collapsed="false">
      <c r="A772" s="22"/>
      <c r="B772" s="24"/>
      <c r="C772" s="24"/>
      <c r="D772" s="25"/>
      <c r="E772" s="24"/>
    </row>
    <row r="773" customFormat="false" ht="15" hidden="false" customHeight="false" outlineLevel="0" collapsed="false">
      <c r="A773" s="22"/>
      <c r="B773" s="24"/>
      <c r="C773" s="24"/>
      <c r="D773" s="25"/>
      <c r="E773" s="24"/>
    </row>
    <row r="774" customFormat="false" ht="15" hidden="false" customHeight="false" outlineLevel="0" collapsed="false">
      <c r="A774" s="22"/>
      <c r="B774" s="24"/>
      <c r="C774" s="24"/>
      <c r="D774" s="25"/>
      <c r="E774" s="24"/>
    </row>
    <row r="775" customFormat="false" ht="15" hidden="false" customHeight="false" outlineLevel="0" collapsed="false">
      <c r="A775" s="22"/>
      <c r="B775" s="24"/>
      <c r="C775" s="24"/>
      <c r="D775" s="25"/>
      <c r="E775" s="24"/>
    </row>
    <row r="776" customFormat="false" ht="15" hidden="false" customHeight="false" outlineLevel="0" collapsed="false">
      <c r="A776" s="22"/>
      <c r="B776" s="24"/>
      <c r="C776" s="24"/>
      <c r="D776" s="25"/>
      <c r="E776" s="24"/>
    </row>
    <row r="777" customFormat="false" ht="15" hidden="false" customHeight="false" outlineLevel="0" collapsed="false">
      <c r="A777" s="22"/>
      <c r="B777" s="24"/>
      <c r="C777" s="24"/>
      <c r="D777" s="25"/>
      <c r="E777" s="24"/>
    </row>
    <row r="778" customFormat="false" ht="15" hidden="false" customHeight="false" outlineLevel="0" collapsed="false">
      <c r="A778" s="22"/>
      <c r="B778" s="24"/>
      <c r="C778" s="24"/>
      <c r="D778" s="25"/>
      <c r="E778" s="24"/>
    </row>
    <row r="779" customFormat="false" ht="15" hidden="false" customHeight="false" outlineLevel="0" collapsed="false">
      <c r="A779" s="22"/>
      <c r="B779" s="24"/>
      <c r="C779" s="24"/>
      <c r="D779" s="25"/>
      <c r="E779" s="24"/>
    </row>
    <row r="780" customFormat="false" ht="15" hidden="false" customHeight="false" outlineLevel="0" collapsed="false">
      <c r="A780" s="22"/>
      <c r="B780" s="24"/>
      <c r="C780" s="24"/>
      <c r="D780" s="25"/>
      <c r="E780" s="24"/>
    </row>
    <row r="781" customFormat="false" ht="15" hidden="false" customHeight="false" outlineLevel="0" collapsed="false">
      <c r="A781" s="22"/>
      <c r="B781" s="24"/>
      <c r="C781" s="24"/>
      <c r="D781" s="25"/>
      <c r="E781" s="24"/>
    </row>
    <row r="782" customFormat="false" ht="15" hidden="false" customHeight="false" outlineLevel="0" collapsed="false">
      <c r="A782" s="22"/>
      <c r="B782" s="24"/>
      <c r="C782" s="24"/>
      <c r="D782" s="25"/>
      <c r="E782" s="24"/>
    </row>
    <row r="783" customFormat="false" ht="15" hidden="false" customHeight="false" outlineLevel="0" collapsed="false">
      <c r="A783" s="22"/>
      <c r="B783" s="24"/>
      <c r="C783" s="24"/>
      <c r="D783" s="25"/>
      <c r="E783" s="24"/>
    </row>
    <row r="784" customFormat="false" ht="15" hidden="false" customHeight="false" outlineLevel="0" collapsed="false">
      <c r="A784" s="22"/>
      <c r="B784" s="24"/>
      <c r="C784" s="24"/>
      <c r="D784" s="25"/>
      <c r="E784" s="24"/>
    </row>
    <row r="785" customFormat="false" ht="15" hidden="false" customHeight="false" outlineLevel="0" collapsed="false">
      <c r="A785" s="22"/>
      <c r="B785" s="24"/>
      <c r="C785" s="24"/>
      <c r="D785" s="25"/>
      <c r="E785" s="24"/>
    </row>
    <row r="786" customFormat="false" ht="15" hidden="false" customHeight="false" outlineLevel="0" collapsed="false">
      <c r="A786" s="22"/>
      <c r="B786" s="24"/>
      <c r="C786" s="24"/>
      <c r="D786" s="25"/>
      <c r="E786" s="24"/>
    </row>
    <row r="787" customFormat="false" ht="15" hidden="false" customHeight="false" outlineLevel="0" collapsed="false">
      <c r="A787" s="22"/>
      <c r="B787" s="24"/>
      <c r="C787" s="24"/>
      <c r="D787" s="25"/>
      <c r="E787" s="24"/>
    </row>
    <row r="788" customFormat="false" ht="15" hidden="false" customHeight="false" outlineLevel="0" collapsed="false">
      <c r="A788" s="22"/>
      <c r="B788" s="24"/>
      <c r="C788" s="24"/>
      <c r="D788" s="25"/>
      <c r="E788" s="24"/>
    </row>
    <row r="789" customFormat="false" ht="15" hidden="false" customHeight="false" outlineLevel="0" collapsed="false">
      <c r="A789" s="22"/>
      <c r="B789" s="24"/>
      <c r="C789" s="24"/>
      <c r="D789" s="25"/>
      <c r="E789" s="24"/>
    </row>
    <row r="790" customFormat="false" ht="15" hidden="false" customHeight="false" outlineLevel="0" collapsed="false">
      <c r="A790" s="22"/>
      <c r="B790" s="24"/>
      <c r="C790" s="24"/>
      <c r="D790" s="25"/>
      <c r="E790" s="24"/>
    </row>
    <row r="791" customFormat="false" ht="15" hidden="false" customHeight="false" outlineLevel="0" collapsed="false">
      <c r="A791" s="22"/>
      <c r="B791" s="24"/>
      <c r="C791" s="24"/>
      <c r="D791" s="25"/>
      <c r="E791" s="24"/>
    </row>
    <row r="792" customFormat="false" ht="15" hidden="false" customHeight="false" outlineLevel="0" collapsed="false">
      <c r="A792" s="22"/>
      <c r="B792" s="24"/>
      <c r="C792" s="24"/>
      <c r="D792" s="25"/>
      <c r="E792" s="24"/>
    </row>
    <row r="793" customFormat="false" ht="15" hidden="false" customHeight="false" outlineLevel="0" collapsed="false">
      <c r="A793" s="22"/>
      <c r="B793" s="24"/>
      <c r="C793" s="24"/>
      <c r="D793" s="25"/>
      <c r="E793" s="24"/>
    </row>
    <row r="794" customFormat="false" ht="15" hidden="false" customHeight="false" outlineLevel="0" collapsed="false">
      <c r="A794" s="22"/>
      <c r="B794" s="24"/>
      <c r="C794" s="24"/>
      <c r="D794" s="25"/>
      <c r="E794" s="24"/>
    </row>
    <row r="795" customFormat="false" ht="15" hidden="false" customHeight="false" outlineLevel="0" collapsed="false">
      <c r="A795" s="22"/>
      <c r="B795" s="24"/>
      <c r="C795" s="24"/>
      <c r="D795" s="25"/>
      <c r="E795" s="24"/>
    </row>
    <row r="796" customFormat="false" ht="15" hidden="false" customHeight="false" outlineLevel="0" collapsed="false">
      <c r="A796" s="22"/>
      <c r="B796" s="24"/>
      <c r="C796" s="24"/>
      <c r="D796" s="25"/>
      <c r="E796" s="24"/>
    </row>
    <row r="797" customFormat="false" ht="15" hidden="false" customHeight="false" outlineLevel="0" collapsed="false">
      <c r="A797" s="22"/>
      <c r="B797" s="24"/>
      <c r="C797" s="24"/>
      <c r="D797" s="25"/>
      <c r="E797" s="24"/>
    </row>
    <row r="798" customFormat="false" ht="15" hidden="false" customHeight="false" outlineLevel="0" collapsed="false">
      <c r="A798" s="22"/>
      <c r="B798" s="24"/>
      <c r="C798" s="24"/>
      <c r="D798" s="25"/>
      <c r="E798" s="24"/>
    </row>
    <row r="799" customFormat="false" ht="15" hidden="false" customHeight="false" outlineLevel="0" collapsed="false">
      <c r="A799" s="22"/>
      <c r="B799" s="24"/>
      <c r="C799" s="24"/>
      <c r="D799" s="25"/>
      <c r="E799" s="24"/>
    </row>
    <row r="800" customFormat="false" ht="15" hidden="false" customHeight="false" outlineLevel="0" collapsed="false">
      <c r="A800" s="22"/>
      <c r="B800" s="24"/>
      <c r="C800" s="24"/>
      <c r="D800" s="25"/>
      <c r="E800" s="24"/>
    </row>
    <row r="801" customFormat="false" ht="15" hidden="false" customHeight="false" outlineLevel="0" collapsed="false">
      <c r="A801" s="22"/>
      <c r="B801" s="24"/>
      <c r="C801" s="24"/>
      <c r="D801" s="25"/>
      <c r="E801" s="24"/>
    </row>
    <row r="802" customFormat="false" ht="15" hidden="false" customHeight="false" outlineLevel="0" collapsed="false">
      <c r="A802" s="22"/>
      <c r="B802" s="24"/>
      <c r="C802" s="24"/>
      <c r="D802" s="25"/>
      <c r="E802" s="24"/>
    </row>
    <row r="803" customFormat="false" ht="15" hidden="false" customHeight="false" outlineLevel="0" collapsed="false">
      <c r="A803" s="22"/>
      <c r="B803" s="24"/>
      <c r="C803" s="24"/>
      <c r="D803" s="25"/>
      <c r="E803" s="24"/>
    </row>
    <row r="804" customFormat="false" ht="15" hidden="false" customHeight="false" outlineLevel="0" collapsed="false">
      <c r="A804" s="22"/>
      <c r="B804" s="24"/>
      <c r="C804" s="24"/>
      <c r="D804" s="25"/>
      <c r="E804" s="24"/>
    </row>
    <row r="805" customFormat="false" ht="15" hidden="false" customHeight="false" outlineLevel="0" collapsed="false">
      <c r="A805" s="22"/>
      <c r="B805" s="24"/>
      <c r="C805" s="24"/>
      <c r="D805" s="25"/>
      <c r="E805" s="24"/>
    </row>
    <row r="806" customFormat="false" ht="15" hidden="false" customHeight="false" outlineLevel="0" collapsed="false">
      <c r="A806" s="22"/>
      <c r="B806" s="24"/>
      <c r="C806" s="24"/>
      <c r="D806" s="25"/>
      <c r="E806" s="24"/>
    </row>
    <row r="807" customFormat="false" ht="15" hidden="false" customHeight="false" outlineLevel="0" collapsed="false">
      <c r="A807" s="22"/>
      <c r="B807" s="24"/>
      <c r="C807" s="24"/>
      <c r="D807" s="25"/>
      <c r="E807" s="24"/>
    </row>
    <row r="808" customFormat="false" ht="15" hidden="false" customHeight="false" outlineLevel="0" collapsed="false">
      <c r="A808" s="22"/>
      <c r="B808" s="24"/>
      <c r="C808" s="24"/>
      <c r="D808" s="25"/>
      <c r="E808" s="24"/>
    </row>
    <row r="809" customFormat="false" ht="15" hidden="false" customHeight="false" outlineLevel="0" collapsed="false">
      <c r="A809" s="22"/>
      <c r="B809" s="24"/>
      <c r="C809" s="24"/>
      <c r="D809" s="25"/>
      <c r="E809" s="24"/>
    </row>
    <row r="810" customFormat="false" ht="15" hidden="false" customHeight="false" outlineLevel="0" collapsed="false">
      <c r="A810" s="22"/>
      <c r="B810" s="24"/>
      <c r="C810" s="24"/>
      <c r="D810" s="25"/>
      <c r="E810" s="24"/>
    </row>
    <row r="811" customFormat="false" ht="15" hidden="false" customHeight="false" outlineLevel="0" collapsed="false">
      <c r="A811" s="22"/>
      <c r="B811" s="24"/>
      <c r="C811" s="24"/>
      <c r="D811" s="25"/>
      <c r="E811" s="24"/>
    </row>
    <row r="812" customFormat="false" ht="15" hidden="false" customHeight="false" outlineLevel="0" collapsed="false">
      <c r="A812" s="22"/>
      <c r="B812" s="24"/>
      <c r="C812" s="24"/>
      <c r="D812" s="25"/>
      <c r="E812" s="24"/>
    </row>
    <row r="813" customFormat="false" ht="15" hidden="false" customHeight="false" outlineLevel="0" collapsed="false">
      <c r="A813" s="22"/>
      <c r="B813" s="24"/>
      <c r="C813" s="24"/>
      <c r="D813" s="25"/>
      <c r="E813" s="24"/>
    </row>
    <row r="814" customFormat="false" ht="15" hidden="false" customHeight="false" outlineLevel="0" collapsed="false">
      <c r="A814" s="22"/>
      <c r="B814" s="24"/>
      <c r="C814" s="24"/>
      <c r="D814" s="25"/>
      <c r="E814" s="24"/>
    </row>
    <row r="815" customFormat="false" ht="15" hidden="false" customHeight="false" outlineLevel="0" collapsed="false">
      <c r="A815" s="22"/>
      <c r="B815" s="24"/>
      <c r="C815" s="24"/>
      <c r="D815" s="25"/>
      <c r="E815" s="24"/>
    </row>
    <row r="816" customFormat="false" ht="15" hidden="false" customHeight="false" outlineLevel="0" collapsed="false">
      <c r="A816" s="22"/>
      <c r="B816" s="24"/>
      <c r="C816" s="24"/>
      <c r="D816" s="25"/>
      <c r="E816" s="24"/>
    </row>
    <row r="817" customFormat="false" ht="15" hidden="false" customHeight="false" outlineLevel="0" collapsed="false">
      <c r="A817" s="22"/>
      <c r="B817" s="24"/>
      <c r="C817" s="24"/>
      <c r="D817" s="25"/>
      <c r="E817" s="24"/>
    </row>
    <row r="818" customFormat="false" ht="15" hidden="false" customHeight="false" outlineLevel="0" collapsed="false">
      <c r="A818" s="22"/>
      <c r="B818" s="24"/>
      <c r="C818" s="24"/>
      <c r="D818" s="25"/>
      <c r="E818" s="24"/>
    </row>
    <row r="819" customFormat="false" ht="15" hidden="false" customHeight="false" outlineLevel="0" collapsed="false">
      <c r="A819" s="22"/>
      <c r="B819" s="24"/>
      <c r="C819" s="24"/>
      <c r="D819" s="25"/>
      <c r="E819" s="24"/>
    </row>
    <row r="820" customFormat="false" ht="15" hidden="false" customHeight="false" outlineLevel="0" collapsed="false">
      <c r="A820" s="22"/>
      <c r="B820" s="24"/>
      <c r="C820" s="24"/>
      <c r="D820" s="25"/>
      <c r="E820" s="24"/>
    </row>
    <row r="821" customFormat="false" ht="15" hidden="false" customHeight="false" outlineLevel="0" collapsed="false">
      <c r="A821" s="22"/>
      <c r="B821" s="24"/>
      <c r="C821" s="24"/>
      <c r="D821" s="25"/>
      <c r="E821" s="24"/>
    </row>
    <row r="822" customFormat="false" ht="15" hidden="false" customHeight="false" outlineLevel="0" collapsed="false">
      <c r="A822" s="22"/>
      <c r="B822" s="24"/>
      <c r="C822" s="24"/>
      <c r="D822" s="25"/>
      <c r="E822" s="24"/>
    </row>
    <row r="823" customFormat="false" ht="15" hidden="false" customHeight="false" outlineLevel="0" collapsed="false">
      <c r="A823" s="22"/>
      <c r="B823" s="24"/>
      <c r="C823" s="24"/>
      <c r="D823" s="25"/>
      <c r="E823" s="24"/>
    </row>
    <row r="824" customFormat="false" ht="15" hidden="false" customHeight="false" outlineLevel="0" collapsed="false">
      <c r="A824" s="22"/>
      <c r="B824" s="24"/>
      <c r="C824" s="24"/>
      <c r="D824" s="25"/>
      <c r="E824" s="24"/>
    </row>
    <row r="825" customFormat="false" ht="15" hidden="false" customHeight="false" outlineLevel="0" collapsed="false">
      <c r="A825" s="22"/>
      <c r="B825" s="24"/>
      <c r="C825" s="24"/>
      <c r="D825" s="25"/>
      <c r="E825" s="24"/>
    </row>
    <row r="826" customFormat="false" ht="15" hidden="false" customHeight="false" outlineLevel="0" collapsed="false">
      <c r="A826" s="22"/>
      <c r="B826" s="24"/>
      <c r="C826" s="24"/>
      <c r="D826" s="25"/>
      <c r="E826" s="24"/>
    </row>
    <row r="827" customFormat="false" ht="15" hidden="false" customHeight="false" outlineLevel="0" collapsed="false">
      <c r="A827" s="22"/>
      <c r="B827" s="24"/>
      <c r="C827" s="24"/>
      <c r="D827" s="25"/>
      <c r="E827" s="24"/>
    </row>
    <row r="828" customFormat="false" ht="15" hidden="false" customHeight="false" outlineLevel="0" collapsed="false">
      <c r="A828" s="22"/>
      <c r="B828" s="24"/>
      <c r="C828" s="24"/>
      <c r="D828" s="25"/>
      <c r="E828" s="24"/>
    </row>
    <row r="829" customFormat="false" ht="15" hidden="false" customHeight="false" outlineLevel="0" collapsed="false">
      <c r="A829" s="22"/>
      <c r="B829" s="24"/>
      <c r="C829" s="24"/>
      <c r="D829" s="25"/>
      <c r="E829" s="24"/>
    </row>
    <row r="830" customFormat="false" ht="15" hidden="false" customHeight="false" outlineLevel="0" collapsed="false">
      <c r="A830" s="22"/>
      <c r="B830" s="24"/>
      <c r="C830" s="24"/>
      <c r="D830" s="25"/>
      <c r="E830" s="24"/>
    </row>
    <row r="831" customFormat="false" ht="15" hidden="false" customHeight="false" outlineLevel="0" collapsed="false">
      <c r="A831" s="22"/>
      <c r="B831" s="24"/>
      <c r="C831" s="24"/>
      <c r="D831" s="25"/>
      <c r="E831" s="24"/>
    </row>
    <row r="832" customFormat="false" ht="15" hidden="false" customHeight="false" outlineLevel="0" collapsed="false">
      <c r="A832" s="22"/>
      <c r="B832" s="24"/>
      <c r="C832" s="24"/>
      <c r="D832" s="25"/>
      <c r="E832" s="24"/>
    </row>
    <row r="833" customFormat="false" ht="15" hidden="false" customHeight="false" outlineLevel="0" collapsed="false">
      <c r="A833" s="22"/>
      <c r="B833" s="24"/>
      <c r="C833" s="24"/>
      <c r="D833" s="25"/>
      <c r="E833" s="24"/>
    </row>
    <row r="834" customFormat="false" ht="15" hidden="false" customHeight="false" outlineLevel="0" collapsed="false">
      <c r="A834" s="22"/>
      <c r="B834" s="24"/>
      <c r="C834" s="24"/>
      <c r="D834" s="25"/>
      <c r="E834" s="24"/>
    </row>
    <row r="835" customFormat="false" ht="15" hidden="false" customHeight="false" outlineLevel="0" collapsed="false">
      <c r="A835" s="22"/>
      <c r="B835" s="24"/>
      <c r="C835" s="24"/>
      <c r="D835" s="25"/>
      <c r="E835" s="24"/>
    </row>
    <row r="836" customFormat="false" ht="15" hidden="false" customHeight="false" outlineLevel="0" collapsed="false">
      <c r="A836" s="22"/>
      <c r="B836" s="24"/>
      <c r="C836" s="24"/>
      <c r="D836" s="25"/>
      <c r="E836" s="24"/>
    </row>
    <row r="837" customFormat="false" ht="15" hidden="false" customHeight="false" outlineLevel="0" collapsed="false">
      <c r="A837" s="22"/>
      <c r="B837" s="24"/>
      <c r="C837" s="24"/>
      <c r="D837" s="25"/>
      <c r="E837" s="24"/>
    </row>
    <row r="838" customFormat="false" ht="15" hidden="false" customHeight="false" outlineLevel="0" collapsed="false">
      <c r="A838" s="22"/>
      <c r="B838" s="24"/>
      <c r="C838" s="24"/>
      <c r="D838" s="25"/>
      <c r="E838" s="24"/>
    </row>
    <row r="839" customFormat="false" ht="15" hidden="false" customHeight="false" outlineLevel="0" collapsed="false">
      <c r="A839" s="22"/>
      <c r="B839" s="24"/>
      <c r="C839" s="24"/>
      <c r="D839" s="25"/>
      <c r="E839" s="24"/>
    </row>
    <row r="840" customFormat="false" ht="15" hidden="false" customHeight="false" outlineLevel="0" collapsed="false">
      <c r="A840" s="22"/>
      <c r="B840" s="24"/>
      <c r="C840" s="24"/>
      <c r="D840" s="25"/>
      <c r="E840" s="24"/>
    </row>
    <row r="841" customFormat="false" ht="15" hidden="false" customHeight="false" outlineLevel="0" collapsed="false">
      <c r="A841" s="22"/>
      <c r="B841" s="24"/>
      <c r="C841" s="24"/>
      <c r="D841" s="25"/>
      <c r="E841" s="24"/>
    </row>
    <row r="842" customFormat="false" ht="15" hidden="false" customHeight="false" outlineLevel="0" collapsed="false">
      <c r="A842" s="22"/>
      <c r="B842" s="24"/>
      <c r="C842" s="24"/>
      <c r="D842" s="25"/>
      <c r="E842" s="24"/>
    </row>
    <row r="843" customFormat="false" ht="15" hidden="false" customHeight="false" outlineLevel="0" collapsed="false">
      <c r="A843" s="22"/>
      <c r="B843" s="24"/>
      <c r="C843" s="24"/>
      <c r="D843" s="25"/>
      <c r="E843" s="24"/>
    </row>
    <row r="844" customFormat="false" ht="15" hidden="false" customHeight="false" outlineLevel="0" collapsed="false">
      <c r="A844" s="22"/>
      <c r="B844" s="24"/>
      <c r="C844" s="24"/>
      <c r="D844" s="25"/>
      <c r="E844" s="24"/>
    </row>
    <row r="845" customFormat="false" ht="15" hidden="false" customHeight="false" outlineLevel="0" collapsed="false">
      <c r="A845" s="22"/>
      <c r="B845" s="24"/>
      <c r="C845" s="24"/>
      <c r="D845" s="25"/>
      <c r="E845" s="24"/>
    </row>
    <row r="846" customFormat="false" ht="15" hidden="false" customHeight="false" outlineLevel="0" collapsed="false">
      <c r="A846" s="22"/>
      <c r="B846" s="24"/>
      <c r="C846" s="24"/>
      <c r="D846" s="25"/>
      <c r="E846" s="24"/>
    </row>
    <row r="847" customFormat="false" ht="15" hidden="false" customHeight="false" outlineLevel="0" collapsed="false">
      <c r="A847" s="22"/>
      <c r="B847" s="24"/>
      <c r="C847" s="24"/>
      <c r="D847" s="25"/>
      <c r="E847" s="24"/>
    </row>
    <row r="848" customFormat="false" ht="15" hidden="false" customHeight="false" outlineLevel="0" collapsed="false">
      <c r="A848" s="22"/>
      <c r="B848" s="24"/>
      <c r="C848" s="24"/>
      <c r="D848" s="25"/>
      <c r="E848" s="24"/>
    </row>
    <row r="849" customFormat="false" ht="15" hidden="false" customHeight="false" outlineLevel="0" collapsed="false">
      <c r="A849" s="22"/>
      <c r="B849" s="24"/>
      <c r="C849" s="24"/>
      <c r="D849" s="25"/>
      <c r="E849" s="24"/>
    </row>
    <row r="850" customFormat="false" ht="15" hidden="false" customHeight="false" outlineLevel="0" collapsed="false">
      <c r="A850" s="22"/>
      <c r="B850" s="24"/>
      <c r="C850" s="24"/>
      <c r="D850" s="25"/>
      <c r="E850" s="24"/>
    </row>
    <row r="851" customFormat="false" ht="15" hidden="false" customHeight="false" outlineLevel="0" collapsed="false">
      <c r="A851" s="22"/>
      <c r="B851" s="24"/>
      <c r="C851" s="24"/>
      <c r="D851" s="25"/>
      <c r="E851" s="24"/>
    </row>
    <row r="852" customFormat="false" ht="15" hidden="false" customHeight="false" outlineLevel="0" collapsed="false">
      <c r="A852" s="22"/>
      <c r="B852" s="24"/>
      <c r="C852" s="24"/>
      <c r="D852" s="25"/>
      <c r="E852" s="24"/>
    </row>
    <row r="853" customFormat="false" ht="15" hidden="false" customHeight="false" outlineLevel="0" collapsed="false">
      <c r="A853" s="22"/>
      <c r="B853" s="24"/>
      <c r="C853" s="24"/>
      <c r="D853" s="25"/>
      <c r="E853" s="24"/>
    </row>
    <row r="854" customFormat="false" ht="15" hidden="false" customHeight="false" outlineLevel="0" collapsed="false">
      <c r="A854" s="22"/>
      <c r="B854" s="24"/>
      <c r="C854" s="24"/>
      <c r="D854" s="25"/>
      <c r="E854" s="24"/>
    </row>
    <row r="855" customFormat="false" ht="15" hidden="false" customHeight="false" outlineLevel="0" collapsed="false">
      <c r="A855" s="22"/>
      <c r="B855" s="24"/>
      <c r="C855" s="24"/>
      <c r="D855" s="25"/>
      <c r="E855" s="24"/>
    </row>
    <row r="856" customFormat="false" ht="15" hidden="false" customHeight="false" outlineLevel="0" collapsed="false">
      <c r="A856" s="22"/>
      <c r="B856" s="24"/>
      <c r="C856" s="24"/>
      <c r="D856" s="25"/>
      <c r="E856" s="24"/>
    </row>
    <row r="857" customFormat="false" ht="15" hidden="false" customHeight="false" outlineLevel="0" collapsed="false">
      <c r="A857" s="22"/>
      <c r="B857" s="24"/>
      <c r="C857" s="24"/>
      <c r="D857" s="25"/>
      <c r="E857" s="24"/>
    </row>
    <row r="858" customFormat="false" ht="15" hidden="false" customHeight="false" outlineLevel="0" collapsed="false">
      <c r="A858" s="22"/>
      <c r="B858" s="24"/>
      <c r="C858" s="24"/>
      <c r="D858" s="25"/>
      <c r="E858" s="24"/>
    </row>
    <row r="859" customFormat="false" ht="15" hidden="false" customHeight="false" outlineLevel="0" collapsed="false">
      <c r="A859" s="22"/>
      <c r="B859" s="24"/>
      <c r="C859" s="24"/>
      <c r="D859" s="25"/>
      <c r="E859" s="24"/>
    </row>
    <row r="860" customFormat="false" ht="15" hidden="false" customHeight="false" outlineLevel="0" collapsed="false">
      <c r="A860" s="22"/>
      <c r="B860" s="24"/>
      <c r="C860" s="24"/>
      <c r="D860" s="25"/>
      <c r="E860" s="24"/>
    </row>
    <row r="861" customFormat="false" ht="15" hidden="false" customHeight="false" outlineLevel="0" collapsed="false">
      <c r="A861" s="22"/>
      <c r="B861" s="24"/>
      <c r="C861" s="24"/>
      <c r="D861" s="25"/>
      <c r="E861" s="24"/>
    </row>
    <row r="862" customFormat="false" ht="15" hidden="false" customHeight="false" outlineLevel="0" collapsed="false">
      <c r="A862" s="22"/>
      <c r="B862" s="24"/>
      <c r="C862" s="24"/>
      <c r="D862" s="25"/>
      <c r="E862" s="24"/>
    </row>
    <row r="863" customFormat="false" ht="15" hidden="false" customHeight="false" outlineLevel="0" collapsed="false">
      <c r="A863" s="22"/>
      <c r="B863" s="24"/>
      <c r="C863" s="24"/>
      <c r="D863" s="25"/>
      <c r="E863" s="24"/>
    </row>
    <row r="864" customFormat="false" ht="15" hidden="false" customHeight="false" outlineLevel="0" collapsed="false">
      <c r="A864" s="22"/>
      <c r="B864" s="24"/>
      <c r="C864" s="24"/>
      <c r="D864" s="25"/>
      <c r="E864" s="24"/>
    </row>
    <row r="865" customFormat="false" ht="15" hidden="false" customHeight="false" outlineLevel="0" collapsed="false">
      <c r="A865" s="22"/>
      <c r="B865" s="24"/>
      <c r="C865" s="24"/>
      <c r="D865" s="25"/>
      <c r="E865" s="24"/>
    </row>
    <row r="866" customFormat="false" ht="15" hidden="false" customHeight="false" outlineLevel="0" collapsed="false">
      <c r="A866" s="22"/>
      <c r="B866" s="24"/>
      <c r="C866" s="24"/>
      <c r="D866" s="25"/>
      <c r="E866" s="24"/>
    </row>
    <row r="867" customFormat="false" ht="15" hidden="false" customHeight="false" outlineLevel="0" collapsed="false">
      <c r="A867" s="22"/>
      <c r="B867" s="24"/>
      <c r="C867" s="24"/>
      <c r="D867" s="25"/>
      <c r="E867" s="24"/>
    </row>
    <row r="868" customFormat="false" ht="15" hidden="false" customHeight="false" outlineLevel="0" collapsed="false">
      <c r="A868" s="22"/>
      <c r="B868" s="24"/>
      <c r="C868" s="24"/>
      <c r="D868" s="25"/>
      <c r="E868" s="24"/>
    </row>
    <row r="869" customFormat="false" ht="15" hidden="false" customHeight="false" outlineLevel="0" collapsed="false">
      <c r="A869" s="22"/>
      <c r="B869" s="24"/>
      <c r="C869" s="24"/>
      <c r="D869" s="25"/>
      <c r="E869" s="24"/>
    </row>
    <row r="870" customFormat="false" ht="15" hidden="false" customHeight="false" outlineLevel="0" collapsed="false">
      <c r="A870" s="22"/>
      <c r="B870" s="24"/>
      <c r="C870" s="24"/>
      <c r="D870" s="25"/>
      <c r="E870" s="24"/>
    </row>
    <row r="871" customFormat="false" ht="15" hidden="false" customHeight="false" outlineLevel="0" collapsed="false">
      <c r="A871" s="22"/>
      <c r="B871" s="24"/>
      <c r="C871" s="24"/>
      <c r="D871" s="25"/>
      <c r="E871" s="24"/>
    </row>
    <row r="872" customFormat="false" ht="15" hidden="false" customHeight="false" outlineLevel="0" collapsed="false">
      <c r="A872" s="22"/>
      <c r="B872" s="24"/>
      <c r="C872" s="24"/>
      <c r="D872" s="25"/>
      <c r="E872" s="24"/>
    </row>
    <row r="873" customFormat="false" ht="15" hidden="false" customHeight="false" outlineLevel="0" collapsed="false">
      <c r="A873" s="22"/>
      <c r="B873" s="24"/>
      <c r="C873" s="24"/>
      <c r="D873" s="25"/>
      <c r="E873" s="24"/>
    </row>
    <row r="874" customFormat="false" ht="15" hidden="false" customHeight="false" outlineLevel="0" collapsed="false">
      <c r="A874" s="22"/>
      <c r="B874" s="24"/>
      <c r="C874" s="24"/>
      <c r="D874" s="25"/>
      <c r="E874" s="24"/>
    </row>
    <row r="875" customFormat="false" ht="15" hidden="false" customHeight="false" outlineLevel="0" collapsed="false">
      <c r="A875" s="22"/>
      <c r="B875" s="24"/>
      <c r="C875" s="24"/>
      <c r="D875" s="25"/>
      <c r="E875" s="24"/>
    </row>
    <row r="876" customFormat="false" ht="15" hidden="false" customHeight="false" outlineLevel="0" collapsed="false">
      <c r="A876" s="22"/>
      <c r="B876" s="24"/>
      <c r="C876" s="24"/>
      <c r="D876" s="25"/>
      <c r="E876" s="24"/>
    </row>
    <row r="877" customFormat="false" ht="15" hidden="false" customHeight="false" outlineLevel="0" collapsed="false">
      <c r="A877" s="22"/>
      <c r="B877" s="24"/>
      <c r="C877" s="24"/>
      <c r="D877" s="25"/>
      <c r="E877" s="24"/>
    </row>
    <row r="878" customFormat="false" ht="15" hidden="false" customHeight="false" outlineLevel="0" collapsed="false">
      <c r="A878" s="22"/>
      <c r="B878" s="24"/>
      <c r="C878" s="24"/>
      <c r="D878" s="25"/>
      <c r="E878" s="24"/>
    </row>
    <row r="879" customFormat="false" ht="15" hidden="false" customHeight="false" outlineLevel="0" collapsed="false">
      <c r="A879" s="22"/>
      <c r="B879" s="24"/>
      <c r="C879" s="24"/>
      <c r="D879" s="25"/>
      <c r="E879" s="24"/>
    </row>
    <row r="880" customFormat="false" ht="15" hidden="false" customHeight="false" outlineLevel="0" collapsed="false">
      <c r="A880" s="22"/>
      <c r="B880" s="24"/>
      <c r="C880" s="24"/>
      <c r="D880" s="25"/>
      <c r="E880" s="24"/>
    </row>
    <row r="881" customFormat="false" ht="15" hidden="false" customHeight="false" outlineLevel="0" collapsed="false">
      <c r="A881" s="22"/>
      <c r="B881" s="24"/>
      <c r="C881" s="24"/>
      <c r="D881" s="25"/>
      <c r="E881" s="24"/>
    </row>
    <row r="882" customFormat="false" ht="15" hidden="false" customHeight="false" outlineLevel="0" collapsed="false">
      <c r="A882" s="22"/>
      <c r="B882" s="24"/>
      <c r="C882" s="24"/>
      <c r="D882" s="25"/>
      <c r="E882" s="24"/>
    </row>
    <row r="883" customFormat="false" ht="15" hidden="false" customHeight="false" outlineLevel="0" collapsed="false">
      <c r="A883" s="22"/>
      <c r="B883" s="24"/>
      <c r="C883" s="24"/>
      <c r="D883" s="25"/>
      <c r="E883" s="24"/>
    </row>
    <row r="884" customFormat="false" ht="15" hidden="false" customHeight="false" outlineLevel="0" collapsed="false">
      <c r="A884" s="22"/>
      <c r="B884" s="24"/>
      <c r="C884" s="24"/>
      <c r="D884" s="25"/>
      <c r="E884" s="24"/>
    </row>
    <row r="885" customFormat="false" ht="15" hidden="false" customHeight="false" outlineLevel="0" collapsed="false">
      <c r="A885" s="22"/>
      <c r="B885" s="24"/>
      <c r="C885" s="24"/>
      <c r="D885" s="25"/>
      <c r="E885" s="24"/>
    </row>
    <row r="886" customFormat="false" ht="15" hidden="false" customHeight="false" outlineLevel="0" collapsed="false">
      <c r="A886" s="22"/>
      <c r="B886" s="24"/>
      <c r="C886" s="24"/>
      <c r="D886" s="25"/>
      <c r="E886" s="24"/>
    </row>
    <row r="887" customFormat="false" ht="15" hidden="false" customHeight="false" outlineLevel="0" collapsed="false">
      <c r="A887" s="22"/>
      <c r="B887" s="24"/>
      <c r="C887" s="24"/>
      <c r="D887" s="25"/>
      <c r="E887" s="24"/>
    </row>
    <row r="888" customFormat="false" ht="15" hidden="false" customHeight="false" outlineLevel="0" collapsed="false">
      <c r="A888" s="22"/>
      <c r="B888" s="24"/>
      <c r="C888" s="24"/>
      <c r="D888" s="25"/>
      <c r="E888" s="24"/>
    </row>
    <row r="889" customFormat="false" ht="15" hidden="false" customHeight="false" outlineLevel="0" collapsed="false">
      <c r="A889" s="22"/>
      <c r="B889" s="24"/>
      <c r="C889" s="24"/>
      <c r="D889" s="25"/>
      <c r="E889" s="24"/>
    </row>
    <row r="890" customFormat="false" ht="15" hidden="false" customHeight="false" outlineLevel="0" collapsed="false">
      <c r="A890" s="22"/>
      <c r="B890" s="24"/>
      <c r="C890" s="24"/>
      <c r="D890" s="25"/>
      <c r="E890" s="24"/>
    </row>
    <row r="891" customFormat="false" ht="15" hidden="false" customHeight="false" outlineLevel="0" collapsed="false">
      <c r="A891" s="22"/>
      <c r="B891" s="24"/>
      <c r="C891" s="24"/>
      <c r="D891" s="25"/>
      <c r="E891" s="24"/>
    </row>
    <row r="892" customFormat="false" ht="15" hidden="false" customHeight="false" outlineLevel="0" collapsed="false">
      <c r="A892" s="22"/>
      <c r="B892" s="24"/>
      <c r="C892" s="24"/>
      <c r="D892" s="25"/>
      <c r="E892" s="24"/>
    </row>
    <row r="893" customFormat="false" ht="15" hidden="false" customHeight="false" outlineLevel="0" collapsed="false">
      <c r="A893" s="22"/>
      <c r="B893" s="24"/>
      <c r="C893" s="24"/>
      <c r="D893" s="25"/>
      <c r="E893" s="24"/>
    </row>
    <row r="894" customFormat="false" ht="15" hidden="false" customHeight="false" outlineLevel="0" collapsed="false">
      <c r="A894" s="22"/>
      <c r="B894" s="24"/>
      <c r="C894" s="24"/>
      <c r="D894" s="25"/>
      <c r="E894" s="24"/>
    </row>
    <row r="895" customFormat="false" ht="15" hidden="false" customHeight="false" outlineLevel="0" collapsed="false">
      <c r="A895" s="22"/>
      <c r="B895" s="24"/>
      <c r="C895" s="24"/>
      <c r="D895" s="25"/>
      <c r="E895" s="24"/>
    </row>
    <row r="896" customFormat="false" ht="15" hidden="false" customHeight="false" outlineLevel="0" collapsed="false">
      <c r="A896" s="22"/>
      <c r="B896" s="24"/>
      <c r="C896" s="24"/>
      <c r="D896" s="25"/>
      <c r="E896" s="24"/>
    </row>
    <row r="897" customFormat="false" ht="15" hidden="false" customHeight="false" outlineLevel="0" collapsed="false">
      <c r="A897" s="22"/>
      <c r="B897" s="24"/>
      <c r="C897" s="24"/>
      <c r="D897" s="25"/>
      <c r="E897" s="24"/>
    </row>
    <row r="898" customFormat="false" ht="15" hidden="false" customHeight="false" outlineLevel="0" collapsed="false">
      <c r="A898" s="22"/>
      <c r="B898" s="24"/>
      <c r="C898" s="24"/>
      <c r="D898" s="25"/>
      <c r="E898" s="24"/>
    </row>
    <row r="899" customFormat="false" ht="15" hidden="false" customHeight="false" outlineLevel="0" collapsed="false">
      <c r="A899" s="22"/>
      <c r="B899" s="24"/>
      <c r="C899" s="24"/>
      <c r="D899" s="25"/>
      <c r="E899" s="24"/>
    </row>
    <row r="900" customFormat="false" ht="15" hidden="false" customHeight="false" outlineLevel="0" collapsed="false">
      <c r="A900" s="22"/>
      <c r="B900" s="24"/>
      <c r="C900" s="24"/>
      <c r="D900" s="25"/>
      <c r="E900" s="24"/>
    </row>
    <row r="901" customFormat="false" ht="15" hidden="false" customHeight="false" outlineLevel="0" collapsed="false">
      <c r="A901" s="22"/>
      <c r="B901" s="24"/>
      <c r="C901" s="24"/>
      <c r="D901" s="25"/>
      <c r="E901" s="24"/>
    </row>
    <row r="902" customFormat="false" ht="15" hidden="false" customHeight="false" outlineLevel="0" collapsed="false">
      <c r="A902" s="22"/>
      <c r="B902" s="24"/>
      <c r="C902" s="24"/>
      <c r="D902" s="25"/>
      <c r="E902" s="24"/>
    </row>
    <row r="903" customFormat="false" ht="15" hidden="false" customHeight="false" outlineLevel="0" collapsed="false">
      <c r="A903" s="22"/>
      <c r="B903" s="24"/>
      <c r="C903" s="24"/>
      <c r="D903" s="25"/>
      <c r="E903" s="24"/>
    </row>
    <row r="904" customFormat="false" ht="15" hidden="false" customHeight="false" outlineLevel="0" collapsed="false">
      <c r="A904" s="22"/>
      <c r="B904" s="24"/>
      <c r="C904" s="24"/>
      <c r="D904" s="25"/>
      <c r="E904" s="24"/>
    </row>
    <row r="905" customFormat="false" ht="15" hidden="false" customHeight="false" outlineLevel="0" collapsed="false">
      <c r="A905" s="22"/>
      <c r="B905" s="24"/>
      <c r="C905" s="24"/>
      <c r="D905" s="25"/>
      <c r="E905" s="24"/>
    </row>
    <row r="906" customFormat="false" ht="15" hidden="false" customHeight="false" outlineLevel="0" collapsed="false">
      <c r="A906" s="22"/>
      <c r="B906" s="24"/>
      <c r="C906" s="24"/>
      <c r="D906" s="25"/>
      <c r="E906" s="24"/>
    </row>
    <row r="907" customFormat="false" ht="15" hidden="false" customHeight="false" outlineLevel="0" collapsed="false">
      <c r="A907" s="22"/>
      <c r="B907" s="24"/>
      <c r="C907" s="24"/>
      <c r="D907" s="25"/>
      <c r="E907" s="24"/>
    </row>
    <row r="908" customFormat="false" ht="15" hidden="false" customHeight="false" outlineLevel="0" collapsed="false">
      <c r="A908" s="22"/>
      <c r="B908" s="24"/>
      <c r="C908" s="24"/>
      <c r="D908" s="25"/>
      <c r="E908" s="24"/>
    </row>
    <row r="909" customFormat="false" ht="15" hidden="false" customHeight="false" outlineLevel="0" collapsed="false">
      <c r="A909" s="22"/>
      <c r="B909" s="24"/>
      <c r="C909" s="24"/>
      <c r="D909" s="25"/>
      <c r="E909" s="24"/>
    </row>
    <row r="910" customFormat="false" ht="15" hidden="false" customHeight="false" outlineLevel="0" collapsed="false">
      <c r="A910" s="22"/>
      <c r="B910" s="24"/>
      <c r="C910" s="24"/>
      <c r="D910" s="25"/>
      <c r="E910" s="24"/>
    </row>
    <row r="911" customFormat="false" ht="15" hidden="false" customHeight="false" outlineLevel="0" collapsed="false">
      <c r="A911" s="22"/>
      <c r="B911" s="24"/>
      <c r="C911" s="24"/>
      <c r="D911" s="25"/>
      <c r="E911" s="24"/>
    </row>
    <row r="912" customFormat="false" ht="15" hidden="false" customHeight="false" outlineLevel="0" collapsed="false">
      <c r="A912" s="22"/>
      <c r="B912" s="24"/>
      <c r="C912" s="24"/>
      <c r="D912" s="25"/>
      <c r="E912" s="24"/>
    </row>
    <row r="913" customFormat="false" ht="15" hidden="false" customHeight="false" outlineLevel="0" collapsed="false">
      <c r="A913" s="22"/>
      <c r="B913" s="24"/>
      <c r="C913" s="24"/>
      <c r="D913" s="25"/>
      <c r="E913" s="24"/>
    </row>
    <row r="914" customFormat="false" ht="15" hidden="false" customHeight="false" outlineLevel="0" collapsed="false">
      <c r="A914" s="22"/>
      <c r="B914" s="24"/>
      <c r="C914" s="24"/>
      <c r="D914" s="25"/>
      <c r="E914" s="24"/>
    </row>
    <row r="915" customFormat="false" ht="15" hidden="false" customHeight="false" outlineLevel="0" collapsed="false">
      <c r="A915" s="22"/>
      <c r="B915" s="24"/>
      <c r="C915" s="24"/>
      <c r="D915" s="25"/>
      <c r="E915" s="24"/>
    </row>
    <row r="916" customFormat="false" ht="15" hidden="false" customHeight="false" outlineLevel="0" collapsed="false">
      <c r="A916" s="22"/>
      <c r="B916" s="24"/>
      <c r="C916" s="24"/>
      <c r="D916" s="25"/>
      <c r="E916" s="24"/>
    </row>
    <row r="917" customFormat="false" ht="15" hidden="false" customHeight="false" outlineLevel="0" collapsed="false">
      <c r="A917" s="22"/>
      <c r="B917" s="24"/>
      <c r="C917" s="24"/>
      <c r="D917" s="25"/>
      <c r="E917" s="24"/>
    </row>
    <row r="918" customFormat="false" ht="15" hidden="false" customHeight="false" outlineLevel="0" collapsed="false">
      <c r="A918" s="22"/>
      <c r="B918" s="24"/>
      <c r="C918" s="24"/>
      <c r="D918" s="25"/>
      <c r="E918" s="24"/>
    </row>
    <row r="919" customFormat="false" ht="15" hidden="false" customHeight="false" outlineLevel="0" collapsed="false">
      <c r="A919" s="22"/>
      <c r="B919" s="24"/>
      <c r="C919" s="24"/>
      <c r="D919" s="25"/>
      <c r="E919" s="24"/>
    </row>
    <row r="920" customFormat="false" ht="15" hidden="false" customHeight="false" outlineLevel="0" collapsed="false">
      <c r="A920" s="22"/>
      <c r="B920" s="24"/>
      <c r="C920" s="24"/>
      <c r="D920" s="25"/>
      <c r="E920" s="24"/>
    </row>
    <row r="921" customFormat="false" ht="15" hidden="false" customHeight="false" outlineLevel="0" collapsed="false">
      <c r="A921" s="22"/>
      <c r="B921" s="24"/>
      <c r="C921" s="24"/>
      <c r="D921" s="25"/>
      <c r="E921" s="24"/>
    </row>
    <row r="922" customFormat="false" ht="15" hidden="false" customHeight="false" outlineLevel="0" collapsed="false">
      <c r="A922" s="22"/>
      <c r="B922" s="24"/>
      <c r="C922" s="24"/>
      <c r="D922" s="25"/>
      <c r="E922" s="24"/>
    </row>
    <row r="923" customFormat="false" ht="15" hidden="false" customHeight="false" outlineLevel="0" collapsed="false">
      <c r="A923" s="22"/>
      <c r="B923" s="24"/>
      <c r="C923" s="24"/>
      <c r="D923" s="25"/>
      <c r="E923" s="24"/>
    </row>
    <row r="924" customFormat="false" ht="15" hidden="false" customHeight="false" outlineLevel="0" collapsed="false">
      <c r="A924" s="22"/>
      <c r="B924" s="24"/>
      <c r="C924" s="24"/>
      <c r="D924" s="25"/>
      <c r="E924" s="24"/>
    </row>
    <row r="925" customFormat="false" ht="15" hidden="false" customHeight="false" outlineLevel="0" collapsed="false">
      <c r="A925" s="22"/>
      <c r="B925" s="24"/>
      <c r="C925" s="24"/>
      <c r="D925" s="25"/>
      <c r="E925" s="24"/>
    </row>
    <row r="926" customFormat="false" ht="15" hidden="false" customHeight="false" outlineLevel="0" collapsed="false">
      <c r="A926" s="22"/>
      <c r="B926" s="24"/>
      <c r="C926" s="24"/>
      <c r="D926" s="25"/>
      <c r="E926" s="24"/>
    </row>
    <row r="927" customFormat="false" ht="15" hidden="false" customHeight="false" outlineLevel="0" collapsed="false">
      <c r="A927" s="22"/>
      <c r="B927" s="24"/>
      <c r="C927" s="24"/>
      <c r="D927" s="25"/>
      <c r="E927" s="24"/>
    </row>
    <row r="928" customFormat="false" ht="15" hidden="false" customHeight="false" outlineLevel="0" collapsed="false">
      <c r="A928" s="22"/>
      <c r="B928" s="24"/>
      <c r="C928" s="24"/>
      <c r="D928" s="25"/>
      <c r="E928" s="24"/>
    </row>
    <row r="929" customFormat="false" ht="15" hidden="false" customHeight="false" outlineLevel="0" collapsed="false">
      <c r="A929" s="22"/>
      <c r="B929" s="24"/>
      <c r="C929" s="24"/>
      <c r="D929" s="25"/>
      <c r="E929" s="24"/>
    </row>
    <row r="930" customFormat="false" ht="15" hidden="false" customHeight="false" outlineLevel="0" collapsed="false">
      <c r="A930" s="22"/>
      <c r="B930" s="24"/>
      <c r="C930" s="24"/>
      <c r="D930" s="25"/>
      <c r="E930" s="24"/>
    </row>
    <row r="931" customFormat="false" ht="15" hidden="false" customHeight="false" outlineLevel="0" collapsed="false">
      <c r="A931" s="22"/>
      <c r="B931" s="24"/>
      <c r="C931" s="24"/>
      <c r="D931" s="25"/>
      <c r="E931" s="24"/>
    </row>
    <row r="932" customFormat="false" ht="15" hidden="false" customHeight="false" outlineLevel="0" collapsed="false">
      <c r="A932" s="22"/>
      <c r="B932" s="24"/>
      <c r="C932" s="24"/>
      <c r="D932" s="25"/>
      <c r="E932" s="24"/>
    </row>
    <row r="933" customFormat="false" ht="15" hidden="false" customHeight="false" outlineLevel="0" collapsed="false">
      <c r="A933" s="22"/>
      <c r="B933" s="24"/>
      <c r="C933" s="24"/>
      <c r="D933" s="25"/>
      <c r="E933" s="24"/>
    </row>
    <row r="934" customFormat="false" ht="15" hidden="false" customHeight="false" outlineLevel="0" collapsed="false">
      <c r="A934" s="22"/>
      <c r="B934" s="24"/>
      <c r="C934" s="24"/>
      <c r="D934" s="25"/>
      <c r="E934" s="24"/>
    </row>
    <row r="935" customFormat="false" ht="15" hidden="false" customHeight="false" outlineLevel="0" collapsed="false">
      <c r="A935" s="22"/>
      <c r="B935" s="24"/>
      <c r="C935" s="24"/>
      <c r="D935" s="25"/>
      <c r="E935" s="24"/>
    </row>
    <row r="936" customFormat="false" ht="15" hidden="false" customHeight="false" outlineLevel="0" collapsed="false">
      <c r="A936" s="22"/>
      <c r="B936" s="24"/>
      <c r="C936" s="24"/>
      <c r="D936" s="25"/>
      <c r="E936" s="24"/>
    </row>
    <row r="937" customFormat="false" ht="15" hidden="false" customHeight="false" outlineLevel="0" collapsed="false">
      <c r="A937" s="22"/>
      <c r="B937" s="24"/>
      <c r="C937" s="24"/>
      <c r="D937" s="25"/>
      <c r="E937" s="24"/>
    </row>
    <row r="938" customFormat="false" ht="15" hidden="false" customHeight="false" outlineLevel="0" collapsed="false">
      <c r="A938" s="22"/>
      <c r="B938" s="24"/>
      <c r="C938" s="24"/>
      <c r="D938" s="25"/>
      <c r="E938" s="24"/>
    </row>
    <row r="939" customFormat="false" ht="15" hidden="false" customHeight="false" outlineLevel="0" collapsed="false">
      <c r="A939" s="22"/>
      <c r="B939" s="24"/>
      <c r="C939" s="24"/>
      <c r="D939" s="25"/>
      <c r="E939" s="24"/>
    </row>
    <row r="940" customFormat="false" ht="15" hidden="false" customHeight="false" outlineLevel="0" collapsed="false">
      <c r="A940" s="22"/>
      <c r="B940" s="24"/>
      <c r="C940" s="24"/>
      <c r="D940" s="25"/>
      <c r="E940" s="24"/>
    </row>
    <row r="941" customFormat="false" ht="15" hidden="false" customHeight="false" outlineLevel="0" collapsed="false">
      <c r="A941" s="22"/>
      <c r="B941" s="24"/>
      <c r="C941" s="24"/>
      <c r="D941" s="25"/>
      <c r="E941" s="24"/>
    </row>
    <row r="942" customFormat="false" ht="15" hidden="false" customHeight="false" outlineLevel="0" collapsed="false">
      <c r="A942" s="22"/>
      <c r="B942" s="24"/>
      <c r="C942" s="24"/>
      <c r="D942" s="25"/>
      <c r="E942" s="24"/>
    </row>
    <row r="943" customFormat="false" ht="15" hidden="false" customHeight="false" outlineLevel="0" collapsed="false">
      <c r="A943" s="22"/>
      <c r="B943" s="24"/>
      <c r="C943" s="24"/>
      <c r="D943" s="25"/>
      <c r="E943" s="24"/>
    </row>
    <row r="944" customFormat="false" ht="15" hidden="false" customHeight="false" outlineLevel="0" collapsed="false">
      <c r="A944" s="22"/>
      <c r="B944" s="24"/>
      <c r="C944" s="24"/>
      <c r="D944" s="25"/>
      <c r="E944" s="24"/>
    </row>
    <row r="945" customFormat="false" ht="15" hidden="false" customHeight="false" outlineLevel="0" collapsed="false">
      <c r="A945" s="22"/>
      <c r="B945" s="24"/>
      <c r="C945" s="24"/>
      <c r="D945" s="25"/>
      <c r="E945" s="24"/>
    </row>
    <row r="946" customFormat="false" ht="15" hidden="false" customHeight="false" outlineLevel="0" collapsed="false">
      <c r="A946" s="22"/>
      <c r="B946" s="24"/>
      <c r="C946" s="24"/>
      <c r="D946" s="25"/>
      <c r="E946" s="24"/>
    </row>
    <row r="947" customFormat="false" ht="15" hidden="false" customHeight="false" outlineLevel="0" collapsed="false">
      <c r="A947" s="22"/>
      <c r="B947" s="24"/>
      <c r="C947" s="24"/>
      <c r="D947" s="25"/>
      <c r="E947" s="24"/>
    </row>
    <row r="948" customFormat="false" ht="15" hidden="false" customHeight="false" outlineLevel="0" collapsed="false">
      <c r="A948" s="22"/>
      <c r="B948" s="24"/>
      <c r="C948" s="24"/>
      <c r="D948" s="25"/>
      <c r="E948" s="24"/>
    </row>
    <row r="949" customFormat="false" ht="15" hidden="false" customHeight="false" outlineLevel="0" collapsed="false">
      <c r="A949" s="22"/>
      <c r="B949" s="24"/>
      <c r="C949" s="24"/>
      <c r="D949" s="25"/>
      <c r="E949" s="24"/>
    </row>
    <row r="950" customFormat="false" ht="15" hidden="false" customHeight="false" outlineLevel="0" collapsed="false">
      <c r="A950" s="22"/>
      <c r="B950" s="24"/>
      <c r="C950" s="24"/>
      <c r="D950" s="25"/>
      <c r="E950" s="24"/>
    </row>
    <row r="951" customFormat="false" ht="15" hidden="false" customHeight="false" outlineLevel="0" collapsed="false">
      <c r="A951" s="22"/>
      <c r="B951" s="24"/>
      <c r="C951" s="24"/>
      <c r="D951" s="25"/>
      <c r="E951" s="24"/>
    </row>
    <row r="952" customFormat="false" ht="15" hidden="false" customHeight="false" outlineLevel="0" collapsed="false">
      <c r="A952" s="22"/>
      <c r="B952" s="24"/>
      <c r="C952" s="24"/>
      <c r="D952" s="25"/>
      <c r="E952" s="24"/>
    </row>
    <row r="953" customFormat="false" ht="15" hidden="false" customHeight="false" outlineLevel="0" collapsed="false">
      <c r="A953" s="22"/>
      <c r="B953" s="24"/>
      <c r="C953" s="24"/>
      <c r="D953" s="25"/>
      <c r="E953" s="24"/>
    </row>
    <row r="954" customFormat="false" ht="15" hidden="false" customHeight="false" outlineLevel="0" collapsed="false">
      <c r="A954" s="22"/>
      <c r="B954" s="24"/>
      <c r="C954" s="24"/>
      <c r="D954" s="25"/>
      <c r="E954" s="24"/>
    </row>
    <row r="955" customFormat="false" ht="15" hidden="false" customHeight="false" outlineLevel="0" collapsed="false">
      <c r="A955" s="22"/>
      <c r="B955" s="24"/>
      <c r="C955" s="24"/>
      <c r="D955" s="25"/>
      <c r="E955" s="24"/>
    </row>
    <row r="956" customFormat="false" ht="15" hidden="false" customHeight="false" outlineLevel="0" collapsed="false">
      <c r="A956" s="22"/>
      <c r="B956" s="24"/>
      <c r="C956" s="24"/>
      <c r="D956" s="25"/>
      <c r="E956" s="24"/>
    </row>
    <row r="957" customFormat="false" ht="15" hidden="false" customHeight="false" outlineLevel="0" collapsed="false">
      <c r="A957" s="22"/>
      <c r="B957" s="24"/>
      <c r="C957" s="24"/>
      <c r="D957" s="25"/>
      <c r="E957" s="24"/>
    </row>
    <row r="958" customFormat="false" ht="15" hidden="false" customHeight="false" outlineLevel="0" collapsed="false">
      <c r="A958" s="22"/>
      <c r="B958" s="24"/>
      <c r="C958" s="24"/>
      <c r="D958" s="25"/>
      <c r="E958" s="24"/>
    </row>
    <row r="959" customFormat="false" ht="15" hidden="false" customHeight="false" outlineLevel="0" collapsed="false">
      <c r="A959" s="22"/>
      <c r="B959" s="24"/>
      <c r="C959" s="24"/>
      <c r="D959" s="25"/>
      <c r="E959" s="24"/>
    </row>
    <row r="960" customFormat="false" ht="15" hidden="false" customHeight="false" outlineLevel="0" collapsed="false">
      <c r="A960" s="22"/>
      <c r="B960" s="24"/>
      <c r="C960" s="24"/>
      <c r="D960" s="25"/>
      <c r="E960" s="24"/>
    </row>
    <row r="961" customFormat="false" ht="15" hidden="false" customHeight="false" outlineLevel="0" collapsed="false">
      <c r="A961" s="22"/>
      <c r="B961" s="24"/>
      <c r="C961" s="24"/>
      <c r="D961" s="25"/>
      <c r="E961" s="24"/>
    </row>
    <row r="962" customFormat="false" ht="15" hidden="false" customHeight="false" outlineLevel="0" collapsed="false">
      <c r="A962" s="22"/>
      <c r="B962" s="24"/>
      <c r="C962" s="24"/>
      <c r="D962" s="25"/>
      <c r="E962" s="24"/>
    </row>
    <row r="963" customFormat="false" ht="15" hidden="false" customHeight="false" outlineLevel="0" collapsed="false">
      <c r="A963" s="22"/>
      <c r="B963" s="24"/>
      <c r="C963" s="24"/>
      <c r="D963" s="25"/>
      <c r="E963" s="24"/>
    </row>
    <row r="964" customFormat="false" ht="15" hidden="false" customHeight="false" outlineLevel="0" collapsed="false">
      <c r="A964" s="22"/>
      <c r="B964" s="24"/>
      <c r="C964" s="24"/>
      <c r="D964" s="25"/>
      <c r="E964" s="24"/>
    </row>
    <row r="965" customFormat="false" ht="15" hidden="false" customHeight="false" outlineLevel="0" collapsed="false">
      <c r="A965" s="22"/>
      <c r="B965" s="24"/>
      <c r="C965" s="24"/>
      <c r="D965" s="25"/>
      <c r="E965" s="24"/>
    </row>
    <row r="966" customFormat="false" ht="15" hidden="false" customHeight="false" outlineLevel="0" collapsed="false">
      <c r="A966" s="22"/>
      <c r="B966" s="24"/>
      <c r="C966" s="24"/>
      <c r="D966" s="25"/>
      <c r="E966" s="24"/>
    </row>
    <row r="967" customFormat="false" ht="15" hidden="false" customHeight="false" outlineLevel="0" collapsed="false">
      <c r="A967" s="22"/>
      <c r="B967" s="24"/>
      <c r="C967" s="24"/>
      <c r="D967" s="25"/>
      <c r="E967" s="24"/>
    </row>
    <row r="968" customFormat="false" ht="15" hidden="false" customHeight="false" outlineLevel="0" collapsed="false">
      <c r="A968" s="22"/>
      <c r="B968" s="24"/>
      <c r="C968" s="24"/>
      <c r="D968" s="25"/>
      <c r="E968" s="24"/>
    </row>
    <row r="969" customFormat="false" ht="15" hidden="false" customHeight="false" outlineLevel="0" collapsed="false">
      <c r="A969" s="22"/>
      <c r="B969" s="24"/>
      <c r="C969" s="24"/>
      <c r="D969" s="25"/>
      <c r="E969" s="24"/>
    </row>
    <row r="970" customFormat="false" ht="15" hidden="false" customHeight="false" outlineLevel="0" collapsed="false">
      <c r="A970" s="22"/>
      <c r="B970" s="24"/>
      <c r="C970" s="24"/>
      <c r="D970" s="25"/>
      <c r="E970" s="24"/>
    </row>
    <row r="971" customFormat="false" ht="15" hidden="false" customHeight="false" outlineLevel="0" collapsed="false">
      <c r="A971" s="22"/>
      <c r="B971" s="24"/>
      <c r="C971" s="24"/>
      <c r="D971" s="25"/>
      <c r="E971" s="24"/>
    </row>
    <row r="972" customFormat="false" ht="15" hidden="false" customHeight="false" outlineLevel="0" collapsed="false">
      <c r="A972" s="22"/>
      <c r="B972" s="24"/>
      <c r="C972" s="24"/>
      <c r="D972" s="25"/>
      <c r="E972" s="24"/>
    </row>
    <row r="973" customFormat="false" ht="15" hidden="false" customHeight="false" outlineLevel="0" collapsed="false">
      <c r="A973" s="22"/>
      <c r="B973" s="24"/>
      <c r="C973" s="24"/>
      <c r="D973" s="25"/>
      <c r="E973" s="24"/>
    </row>
    <row r="974" customFormat="false" ht="15" hidden="false" customHeight="false" outlineLevel="0" collapsed="false">
      <c r="A974" s="22"/>
      <c r="B974" s="24"/>
      <c r="C974" s="24"/>
      <c r="D974" s="25"/>
      <c r="E974" s="24"/>
    </row>
    <row r="975" customFormat="false" ht="15" hidden="false" customHeight="false" outlineLevel="0" collapsed="false">
      <c r="A975" s="22"/>
      <c r="B975" s="24"/>
      <c r="C975" s="24"/>
      <c r="D975" s="25"/>
      <c r="E975" s="24"/>
    </row>
    <row r="976" customFormat="false" ht="15" hidden="false" customHeight="false" outlineLevel="0" collapsed="false">
      <c r="A976" s="22"/>
      <c r="B976" s="24"/>
      <c r="C976" s="24"/>
      <c r="D976" s="25"/>
      <c r="E976" s="24"/>
    </row>
    <row r="977" customFormat="false" ht="15" hidden="false" customHeight="false" outlineLevel="0" collapsed="false">
      <c r="A977" s="22"/>
      <c r="B977" s="24"/>
      <c r="C977" s="24"/>
      <c r="D977" s="25"/>
      <c r="E977" s="24"/>
    </row>
    <row r="978" customFormat="false" ht="15" hidden="false" customHeight="false" outlineLevel="0" collapsed="false">
      <c r="A978" s="22"/>
      <c r="B978" s="24"/>
      <c r="C978" s="24"/>
      <c r="D978" s="25"/>
      <c r="E978" s="24"/>
    </row>
    <row r="979" customFormat="false" ht="15" hidden="false" customHeight="false" outlineLevel="0" collapsed="false">
      <c r="A979" s="22"/>
      <c r="B979" s="24"/>
      <c r="C979" s="24"/>
      <c r="D979" s="25"/>
      <c r="E979" s="24"/>
    </row>
    <row r="980" customFormat="false" ht="15" hidden="false" customHeight="false" outlineLevel="0" collapsed="false">
      <c r="A980" s="22"/>
      <c r="B980" s="24"/>
      <c r="C980" s="24"/>
      <c r="D980" s="25"/>
      <c r="E980" s="24"/>
    </row>
    <row r="981" customFormat="false" ht="15" hidden="false" customHeight="false" outlineLevel="0" collapsed="false">
      <c r="A981" s="22"/>
      <c r="B981" s="24"/>
      <c r="C981" s="24"/>
      <c r="D981" s="25"/>
      <c r="E981" s="24"/>
    </row>
    <row r="982" customFormat="false" ht="15" hidden="false" customHeight="false" outlineLevel="0" collapsed="false">
      <c r="A982" s="22"/>
      <c r="B982" s="24"/>
      <c r="C982" s="24"/>
      <c r="D982" s="25"/>
      <c r="E982" s="24"/>
    </row>
    <row r="983" customFormat="false" ht="15" hidden="false" customHeight="false" outlineLevel="0" collapsed="false">
      <c r="A983" s="22"/>
      <c r="B983" s="24"/>
      <c r="C983" s="24"/>
      <c r="D983" s="25"/>
      <c r="E983" s="24"/>
    </row>
    <row r="984" customFormat="false" ht="15" hidden="false" customHeight="false" outlineLevel="0" collapsed="false">
      <c r="A984" s="22"/>
      <c r="B984" s="24"/>
      <c r="C984" s="24"/>
      <c r="D984" s="25"/>
      <c r="E984" s="24"/>
    </row>
    <row r="985" customFormat="false" ht="15" hidden="false" customHeight="false" outlineLevel="0" collapsed="false">
      <c r="A985" s="22"/>
      <c r="B985" s="24"/>
      <c r="C985" s="24"/>
      <c r="D985" s="25"/>
      <c r="E985" s="24"/>
    </row>
    <row r="986" customFormat="false" ht="15" hidden="false" customHeight="false" outlineLevel="0" collapsed="false">
      <c r="A986" s="22"/>
      <c r="B986" s="24"/>
      <c r="C986" s="24"/>
      <c r="D986" s="25"/>
      <c r="E986" s="24"/>
    </row>
    <row r="987" customFormat="false" ht="15" hidden="false" customHeight="false" outlineLevel="0" collapsed="false">
      <c r="A987" s="22"/>
      <c r="B987" s="24"/>
      <c r="C987" s="24"/>
      <c r="D987" s="25"/>
      <c r="E987" s="24"/>
    </row>
    <row r="988" customFormat="false" ht="15" hidden="false" customHeight="false" outlineLevel="0" collapsed="false">
      <c r="A988" s="22"/>
      <c r="B988" s="24"/>
      <c r="C988" s="24"/>
      <c r="D988" s="25"/>
      <c r="E988" s="24"/>
    </row>
    <row r="989" customFormat="false" ht="15" hidden="false" customHeight="false" outlineLevel="0" collapsed="false">
      <c r="A989" s="22"/>
      <c r="B989" s="24"/>
      <c r="C989" s="24"/>
      <c r="D989" s="25"/>
      <c r="E989" s="24"/>
    </row>
    <row r="990" customFormat="false" ht="15" hidden="false" customHeight="false" outlineLevel="0" collapsed="false">
      <c r="A990" s="22"/>
      <c r="B990" s="24"/>
      <c r="C990" s="24"/>
      <c r="D990" s="25"/>
      <c r="E990" s="24"/>
    </row>
    <row r="991" customFormat="false" ht="15" hidden="false" customHeight="false" outlineLevel="0" collapsed="false">
      <c r="A991" s="22"/>
      <c r="B991" s="24"/>
      <c r="C991" s="24"/>
      <c r="D991" s="25"/>
      <c r="E991" s="24"/>
    </row>
    <row r="992" customFormat="false" ht="15" hidden="false" customHeight="false" outlineLevel="0" collapsed="false">
      <c r="A992" s="22"/>
      <c r="B992" s="24"/>
      <c r="C992" s="24"/>
      <c r="D992" s="25"/>
      <c r="E992" s="24"/>
    </row>
    <row r="993" customFormat="false" ht="15" hidden="false" customHeight="false" outlineLevel="0" collapsed="false">
      <c r="A993" s="22"/>
      <c r="B993" s="24"/>
      <c r="C993" s="24"/>
      <c r="D993" s="25"/>
      <c r="E993" s="24"/>
    </row>
    <row r="994" customFormat="false" ht="15" hidden="false" customHeight="false" outlineLevel="0" collapsed="false">
      <c r="A994" s="22"/>
      <c r="B994" s="24"/>
      <c r="C994" s="24"/>
      <c r="D994" s="25"/>
      <c r="E994" s="24"/>
    </row>
    <row r="995" customFormat="false" ht="15" hidden="false" customHeight="false" outlineLevel="0" collapsed="false">
      <c r="A995" s="22"/>
      <c r="B995" s="24"/>
      <c r="C995" s="24"/>
      <c r="D995" s="25"/>
      <c r="E995" s="24"/>
    </row>
    <row r="996" customFormat="false" ht="15" hidden="false" customHeight="false" outlineLevel="0" collapsed="false">
      <c r="A996" s="22"/>
      <c r="B996" s="24"/>
      <c r="C996" s="24"/>
      <c r="D996" s="25"/>
      <c r="E996" s="24"/>
    </row>
    <row r="997" customFormat="false" ht="15" hidden="false" customHeight="false" outlineLevel="0" collapsed="false">
      <c r="A997" s="22"/>
      <c r="B997" s="24"/>
      <c r="C997" s="24"/>
      <c r="D997" s="25"/>
      <c r="E997" s="24"/>
    </row>
    <row r="998" customFormat="false" ht="15" hidden="false" customHeight="false" outlineLevel="0" collapsed="false">
      <c r="A998" s="22"/>
      <c r="B998" s="24"/>
      <c r="C998" s="24"/>
      <c r="D998" s="25"/>
      <c r="E998" s="24"/>
    </row>
    <row r="999" customFormat="false" ht="15" hidden="false" customHeight="false" outlineLevel="0" collapsed="false">
      <c r="A999" s="22"/>
      <c r="B999" s="24"/>
      <c r="C999" s="24"/>
      <c r="D999" s="25"/>
      <c r="E999" s="24"/>
    </row>
    <row r="1000" customFormat="false" ht="15" hidden="false" customHeight="false" outlineLevel="0" collapsed="false">
      <c r="A1000" s="22"/>
      <c r="B1000" s="24"/>
      <c r="C1000" s="24"/>
      <c r="D1000" s="25"/>
      <c r="E1000" s="24"/>
    </row>
    <row r="1001" customFormat="false" ht="15" hidden="false" customHeight="false" outlineLevel="0" collapsed="false">
      <c r="A1001" s="22"/>
      <c r="B1001" s="24"/>
      <c r="C1001" s="24"/>
      <c r="D1001" s="25"/>
      <c r="E1001" s="24"/>
    </row>
  </sheetData>
  <autoFilter ref="A1:E1001"/>
  <dataValidations count="2">
    <dataValidation allowBlank="true" errorStyle="stop" operator="between" showDropDown="false" showErrorMessage="false" showInputMessage="false" sqref="B2:B1001" type="list">
      <formula1>Listas!$D$2:$D$40</formula1>
      <formula2>0</formula2>
    </dataValidation>
    <dataValidation allowBlank="true" errorStyle="stop" operator="between" showDropDown="false" showErrorMessage="false" showInputMessage="false" sqref="E2:E1001" type="list">
      <formula1>Listas!$C$2:$C$40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2E24"/>
    <pageSetUpPr fitToPage="false"/>
  </sheetPr>
  <dimension ref="A1:G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10" t="s">
        <v>199</v>
      </c>
      <c r="B1" s="10" t="s">
        <v>188</v>
      </c>
      <c r="C1" s="10" t="s">
        <v>200</v>
      </c>
      <c r="D1" s="10" t="s">
        <v>201</v>
      </c>
      <c r="E1" s="10" t="s">
        <v>82</v>
      </c>
      <c r="F1" s="10" t="s">
        <v>202</v>
      </c>
      <c r="G1" s="10" t="s">
        <v>86</v>
      </c>
    </row>
    <row r="2" customFormat="false" ht="15" hidden="false" customHeight="false" outlineLevel="0" collapsed="false">
      <c r="A2" s="24" t="s">
        <v>203</v>
      </c>
      <c r="B2" s="24" t="s">
        <v>204</v>
      </c>
      <c r="C2" s="22" t="n">
        <v>45915</v>
      </c>
      <c r="D2" s="25" t="n">
        <v>9500</v>
      </c>
      <c r="E2" s="24" t="s">
        <v>110</v>
      </c>
      <c r="F2" s="24" t="s">
        <v>205</v>
      </c>
      <c r="G2" s="24" t="s">
        <v>93</v>
      </c>
    </row>
    <row r="3" customFormat="false" ht="15" hidden="false" customHeight="false" outlineLevel="0" collapsed="false">
      <c r="A3" s="24" t="s">
        <v>206</v>
      </c>
      <c r="B3" s="24" t="s">
        <v>207</v>
      </c>
      <c r="C3" s="22" t="n">
        <v>45971</v>
      </c>
      <c r="D3" s="25" t="n">
        <v>7000</v>
      </c>
      <c r="E3" s="24" t="s">
        <v>110</v>
      </c>
      <c r="F3" s="24" t="s">
        <v>205</v>
      </c>
      <c r="G3" s="24" t="s">
        <v>93</v>
      </c>
    </row>
    <row r="4" customFormat="false" ht="15" hidden="false" customHeight="false" outlineLevel="0" collapsed="false">
      <c r="A4" s="24" t="s">
        <v>208</v>
      </c>
      <c r="B4" s="24" t="s">
        <v>209</v>
      </c>
      <c r="C4" s="22" t="n">
        <v>45971</v>
      </c>
      <c r="D4" s="25" t="n">
        <v>900</v>
      </c>
      <c r="E4" s="24" t="s">
        <v>91</v>
      </c>
      <c r="F4" s="24" t="s">
        <v>205</v>
      </c>
      <c r="G4" s="24" t="s">
        <v>93</v>
      </c>
    </row>
    <row r="5" customFormat="false" ht="15" hidden="false" customHeight="false" outlineLevel="0" collapsed="false">
      <c r="A5" s="24" t="s">
        <v>210</v>
      </c>
      <c r="B5" s="24" t="s">
        <v>211</v>
      </c>
      <c r="C5" s="22" t="n">
        <v>46058</v>
      </c>
      <c r="D5" s="25" t="n">
        <v>650</v>
      </c>
      <c r="E5" s="24" t="s">
        <v>123</v>
      </c>
      <c r="F5" s="24" t="s">
        <v>205</v>
      </c>
      <c r="G5" s="24" t="s">
        <v>93</v>
      </c>
    </row>
    <row r="6" customFormat="false" ht="15" hidden="false" customHeight="false" outlineLevel="0" collapsed="false">
      <c r="A6" s="24" t="s">
        <v>212</v>
      </c>
      <c r="B6" s="24" t="s">
        <v>213</v>
      </c>
      <c r="C6" s="22" t="n">
        <v>46204</v>
      </c>
      <c r="D6" s="25" t="n">
        <v>4200</v>
      </c>
      <c r="E6" s="24" t="s">
        <v>110</v>
      </c>
      <c r="F6" s="24" t="s">
        <v>205</v>
      </c>
      <c r="G6" s="24" t="s">
        <v>93</v>
      </c>
    </row>
    <row r="7" customFormat="false" ht="15" hidden="false" customHeight="false" outlineLevel="0" collapsed="false">
      <c r="A7" s="24"/>
      <c r="B7" s="24"/>
      <c r="C7" s="22"/>
      <c r="D7" s="25"/>
      <c r="E7" s="24"/>
      <c r="F7" s="24"/>
      <c r="G7" s="24"/>
    </row>
    <row r="8" customFormat="false" ht="15" hidden="false" customHeight="false" outlineLevel="0" collapsed="false">
      <c r="A8" s="24"/>
      <c r="B8" s="24"/>
      <c r="C8" s="22"/>
      <c r="D8" s="25"/>
      <c r="E8" s="24"/>
      <c r="F8" s="24"/>
      <c r="G8" s="24"/>
    </row>
    <row r="9" customFormat="false" ht="15" hidden="false" customHeight="false" outlineLevel="0" collapsed="false">
      <c r="A9" s="24"/>
      <c r="B9" s="24"/>
      <c r="C9" s="22"/>
      <c r="D9" s="25"/>
      <c r="E9" s="24"/>
      <c r="F9" s="24"/>
      <c r="G9" s="24"/>
    </row>
    <row r="10" customFormat="false" ht="15" hidden="false" customHeight="false" outlineLevel="0" collapsed="false">
      <c r="A10" s="24"/>
      <c r="B10" s="24"/>
      <c r="C10" s="22"/>
      <c r="D10" s="25"/>
      <c r="E10" s="24"/>
      <c r="F10" s="24"/>
      <c r="G10" s="24"/>
    </row>
    <row r="11" customFormat="false" ht="15" hidden="false" customHeight="false" outlineLevel="0" collapsed="false">
      <c r="A11" s="24"/>
      <c r="B11" s="24"/>
      <c r="C11" s="22"/>
      <c r="D11" s="25"/>
      <c r="E11" s="24"/>
      <c r="F11" s="24"/>
      <c r="G11" s="24"/>
    </row>
    <row r="12" customFormat="false" ht="15" hidden="false" customHeight="false" outlineLevel="0" collapsed="false">
      <c r="A12" s="24"/>
      <c r="B12" s="24"/>
      <c r="C12" s="22"/>
      <c r="D12" s="25"/>
      <c r="E12" s="24"/>
      <c r="F12" s="24"/>
      <c r="G12" s="24"/>
    </row>
    <row r="13" customFormat="false" ht="15" hidden="false" customHeight="false" outlineLevel="0" collapsed="false">
      <c r="A13" s="24"/>
      <c r="B13" s="24"/>
      <c r="C13" s="22"/>
      <c r="D13" s="25"/>
      <c r="E13" s="24"/>
      <c r="F13" s="24"/>
      <c r="G13" s="24"/>
    </row>
    <row r="14" customFormat="false" ht="15" hidden="false" customHeight="false" outlineLevel="0" collapsed="false">
      <c r="A14" s="24"/>
      <c r="B14" s="24"/>
      <c r="C14" s="22"/>
      <c r="D14" s="25"/>
      <c r="E14" s="24"/>
      <c r="F14" s="24"/>
      <c r="G14" s="24"/>
    </row>
    <row r="15" customFormat="false" ht="15" hidden="false" customHeight="false" outlineLevel="0" collapsed="false">
      <c r="A15" s="24"/>
      <c r="B15" s="24"/>
      <c r="C15" s="22"/>
      <c r="D15" s="25"/>
      <c r="E15" s="24"/>
      <c r="F15" s="24"/>
      <c r="G15" s="24"/>
    </row>
    <row r="16" customFormat="false" ht="15" hidden="false" customHeight="false" outlineLevel="0" collapsed="false">
      <c r="A16" s="24"/>
      <c r="B16" s="24"/>
      <c r="C16" s="22"/>
      <c r="D16" s="25"/>
      <c r="E16" s="24"/>
      <c r="F16" s="24"/>
      <c r="G16" s="24"/>
    </row>
    <row r="17" customFormat="false" ht="15" hidden="false" customHeight="false" outlineLevel="0" collapsed="false">
      <c r="A17" s="24"/>
      <c r="B17" s="24"/>
      <c r="C17" s="22"/>
      <c r="D17" s="25"/>
      <c r="E17" s="24"/>
      <c r="F17" s="24"/>
      <c r="G17" s="24"/>
    </row>
    <row r="18" customFormat="false" ht="15" hidden="false" customHeight="false" outlineLevel="0" collapsed="false">
      <c r="A18" s="24"/>
      <c r="B18" s="24"/>
      <c r="C18" s="22"/>
      <c r="D18" s="25"/>
      <c r="E18" s="24"/>
      <c r="F18" s="24"/>
      <c r="G18" s="24"/>
    </row>
    <row r="19" customFormat="false" ht="15" hidden="false" customHeight="false" outlineLevel="0" collapsed="false">
      <c r="A19" s="24"/>
      <c r="B19" s="24"/>
      <c r="C19" s="22"/>
      <c r="D19" s="25"/>
      <c r="E19" s="24"/>
      <c r="F19" s="24"/>
      <c r="G19" s="24"/>
    </row>
    <row r="20" customFormat="false" ht="15" hidden="false" customHeight="false" outlineLevel="0" collapsed="false">
      <c r="A20" s="24"/>
      <c r="B20" s="24"/>
      <c r="C20" s="22"/>
      <c r="D20" s="25"/>
      <c r="E20" s="24"/>
      <c r="F20" s="24"/>
      <c r="G20" s="24"/>
    </row>
    <row r="21" customFormat="false" ht="15" hidden="false" customHeight="false" outlineLevel="0" collapsed="false">
      <c r="A21" s="24"/>
      <c r="B21" s="24"/>
      <c r="C21" s="22"/>
      <c r="D21" s="25"/>
      <c r="E21" s="24"/>
      <c r="F21" s="24"/>
      <c r="G21" s="24"/>
    </row>
    <row r="22" customFormat="false" ht="15" hidden="false" customHeight="false" outlineLevel="0" collapsed="false">
      <c r="A22" s="24"/>
      <c r="B22" s="24"/>
      <c r="C22" s="22"/>
      <c r="D22" s="25"/>
      <c r="E22" s="24"/>
      <c r="F22" s="24"/>
      <c r="G22" s="24"/>
    </row>
    <row r="23" customFormat="false" ht="15" hidden="false" customHeight="false" outlineLevel="0" collapsed="false">
      <c r="A23" s="24"/>
      <c r="B23" s="24"/>
      <c r="C23" s="22"/>
      <c r="D23" s="25"/>
      <c r="E23" s="24"/>
      <c r="F23" s="24"/>
      <c r="G23" s="24"/>
    </row>
    <row r="24" customFormat="false" ht="15" hidden="false" customHeight="false" outlineLevel="0" collapsed="false">
      <c r="A24" s="24"/>
      <c r="B24" s="24"/>
      <c r="C24" s="22"/>
      <c r="D24" s="25"/>
      <c r="E24" s="24"/>
      <c r="F24" s="24"/>
      <c r="G24" s="24"/>
    </row>
    <row r="25" customFormat="false" ht="15" hidden="false" customHeight="false" outlineLevel="0" collapsed="false">
      <c r="A25" s="24"/>
      <c r="B25" s="24"/>
      <c r="C25" s="22"/>
      <c r="D25" s="25"/>
      <c r="E25" s="24"/>
      <c r="F25" s="24"/>
      <c r="G25" s="24"/>
    </row>
    <row r="26" customFormat="false" ht="15" hidden="false" customHeight="false" outlineLevel="0" collapsed="false">
      <c r="A26" s="24"/>
      <c r="B26" s="24"/>
      <c r="C26" s="22"/>
      <c r="D26" s="25"/>
      <c r="E26" s="24"/>
      <c r="F26" s="24"/>
      <c r="G26" s="24"/>
    </row>
    <row r="27" customFormat="false" ht="15" hidden="false" customHeight="false" outlineLevel="0" collapsed="false">
      <c r="A27" s="24"/>
      <c r="B27" s="24"/>
      <c r="C27" s="22"/>
      <c r="D27" s="25"/>
      <c r="E27" s="24"/>
      <c r="F27" s="24"/>
      <c r="G27" s="24"/>
    </row>
    <row r="28" customFormat="false" ht="15" hidden="false" customHeight="false" outlineLevel="0" collapsed="false">
      <c r="A28" s="24"/>
      <c r="B28" s="24"/>
      <c r="C28" s="22"/>
      <c r="D28" s="25"/>
      <c r="E28" s="24"/>
      <c r="F28" s="24"/>
      <c r="G28" s="24"/>
    </row>
    <row r="29" customFormat="false" ht="15" hidden="false" customHeight="false" outlineLevel="0" collapsed="false">
      <c r="A29" s="24"/>
      <c r="B29" s="24"/>
      <c r="C29" s="22"/>
      <c r="D29" s="25"/>
      <c r="E29" s="24"/>
      <c r="F29" s="24"/>
      <c r="G29" s="24"/>
    </row>
    <row r="30" customFormat="false" ht="15" hidden="false" customHeight="false" outlineLevel="0" collapsed="false">
      <c r="A30" s="24"/>
      <c r="B30" s="24"/>
      <c r="C30" s="22"/>
      <c r="D30" s="25"/>
      <c r="E30" s="24"/>
      <c r="F30" s="24"/>
      <c r="G30" s="24"/>
    </row>
    <row r="31" customFormat="false" ht="15" hidden="false" customHeight="false" outlineLevel="0" collapsed="false">
      <c r="A31" s="24"/>
      <c r="B31" s="24"/>
      <c r="C31" s="22"/>
      <c r="D31" s="25"/>
      <c r="E31" s="24"/>
      <c r="F31" s="24"/>
      <c r="G31" s="24"/>
    </row>
    <row r="32" customFormat="false" ht="15" hidden="false" customHeight="false" outlineLevel="0" collapsed="false">
      <c r="A32" s="24"/>
      <c r="B32" s="24"/>
      <c r="C32" s="22"/>
      <c r="D32" s="25"/>
      <c r="E32" s="24"/>
      <c r="F32" s="24"/>
      <c r="G32" s="24"/>
    </row>
    <row r="33" customFormat="false" ht="15" hidden="false" customHeight="false" outlineLevel="0" collapsed="false">
      <c r="A33" s="24"/>
      <c r="B33" s="24"/>
      <c r="C33" s="22"/>
      <c r="D33" s="25"/>
      <c r="E33" s="24"/>
      <c r="F33" s="24"/>
      <c r="G33" s="24"/>
    </row>
    <row r="34" customFormat="false" ht="15" hidden="false" customHeight="false" outlineLevel="0" collapsed="false">
      <c r="A34" s="24"/>
      <c r="B34" s="24"/>
      <c r="C34" s="22"/>
      <c r="D34" s="25"/>
      <c r="E34" s="24"/>
      <c r="F34" s="24"/>
      <c r="G34" s="24"/>
    </row>
    <row r="35" customFormat="false" ht="15" hidden="false" customHeight="false" outlineLevel="0" collapsed="false">
      <c r="A35" s="24"/>
      <c r="B35" s="24"/>
      <c r="C35" s="22"/>
      <c r="D35" s="25"/>
      <c r="E35" s="24"/>
      <c r="F35" s="24"/>
      <c r="G35" s="24"/>
    </row>
    <row r="36" customFormat="false" ht="15" hidden="false" customHeight="false" outlineLevel="0" collapsed="false">
      <c r="A36" s="24"/>
      <c r="B36" s="24"/>
      <c r="C36" s="22"/>
      <c r="D36" s="25"/>
      <c r="E36" s="24"/>
      <c r="F36" s="24"/>
      <c r="G36" s="24"/>
    </row>
    <row r="37" customFormat="false" ht="15" hidden="false" customHeight="false" outlineLevel="0" collapsed="false">
      <c r="A37" s="24"/>
      <c r="B37" s="24"/>
      <c r="C37" s="22"/>
      <c r="D37" s="25"/>
      <c r="E37" s="24"/>
      <c r="F37" s="24"/>
      <c r="G37" s="24"/>
    </row>
    <row r="38" customFormat="false" ht="15" hidden="false" customHeight="false" outlineLevel="0" collapsed="false">
      <c r="A38" s="24"/>
      <c r="B38" s="24"/>
      <c r="C38" s="22"/>
      <c r="D38" s="25"/>
      <c r="E38" s="24"/>
      <c r="F38" s="24"/>
      <c r="G38" s="24"/>
    </row>
    <row r="39" customFormat="false" ht="15" hidden="false" customHeight="false" outlineLevel="0" collapsed="false">
      <c r="A39" s="24"/>
      <c r="B39" s="24"/>
      <c r="C39" s="22"/>
      <c r="D39" s="25"/>
      <c r="E39" s="24"/>
      <c r="F39" s="24"/>
      <c r="G39" s="24"/>
    </row>
    <row r="40" customFormat="false" ht="15" hidden="false" customHeight="false" outlineLevel="0" collapsed="false">
      <c r="A40" s="24"/>
      <c r="B40" s="24"/>
      <c r="C40" s="22"/>
      <c r="D40" s="25"/>
      <c r="E40" s="24"/>
      <c r="F40" s="24"/>
      <c r="G40" s="24"/>
    </row>
    <row r="41" customFormat="false" ht="15" hidden="false" customHeight="false" outlineLevel="0" collapsed="false">
      <c r="A41" s="24"/>
      <c r="B41" s="24"/>
      <c r="C41" s="22"/>
      <c r="D41" s="25"/>
      <c r="E41" s="24"/>
      <c r="F41" s="24"/>
      <c r="G41" s="24"/>
    </row>
    <row r="42" customFormat="false" ht="15" hidden="false" customHeight="false" outlineLevel="0" collapsed="false">
      <c r="A42" s="24"/>
      <c r="B42" s="24"/>
      <c r="C42" s="22"/>
      <c r="D42" s="25"/>
      <c r="E42" s="24"/>
      <c r="F42" s="24"/>
      <c r="G42" s="24"/>
    </row>
    <row r="43" customFormat="false" ht="15" hidden="false" customHeight="false" outlineLevel="0" collapsed="false">
      <c r="A43" s="24"/>
      <c r="B43" s="24"/>
      <c r="C43" s="22"/>
      <c r="D43" s="25"/>
      <c r="E43" s="24"/>
      <c r="F43" s="24"/>
      <c r="G43" s="24"/>
    </row>
    <row r="44" customFormat="false" ht="15" hidden="false" customHeight="false" outlineLevel="0" collapsed="false">
      <c r="A44" s="24"/>
      <c r="B44" s="24"/>
      <c r="C44" s="22"/>
      <c r="D44" s="25"/>
      <c r="E44" s="24"/>
      <c r="F44" s="24"/>
      <c r="G44" s="24"/>
    </row>
    <row r="45" customFormat="false" ht="15" hidden="false" customHeight="false" outlineLevel="0" collapsed="false">
      <c r="A45" s="24"/>
      <c r="B45" s="24"/>
      <c r="C45" s="22"/>
      <c r="D45" s="25"/>
      <c r="E45" s="24"/>
      <c r="F45" s="24"/>
      <c r="G45" s="24"/>
    </row>
    <row r="46" customFormat="false" ht="15" hidden="false" customHeight="false" outlineLevel="0" collapsed="false">
      <c r="A46" s="24"/>
      <c r="B46" s="24"/>
      <c r="C46" s="22"/>
      <c r="D46" s="25"/>
      <c r="E46" s="24"/>
      <c r="F46" s="24"/>
      <c r="G46" s="24"/>
    </row>
    <row r="47" customFormat="false" ht="15" hidden="false" customHeight="false" outlineLevel="0" collapsed="false">
      <c r="A47" s="24"/>
      <c r="B47" s="24"/>
      <c r="C47" s="22"/>
      <c r="D47" s="25"/>
      <c r="E47" s="24"/>
      <c r="F47" s="24"/>
      <c r="G47" s="24"/>
    </row>
    <row r="48" customFormat="false" ht="15" hidden="false" customHeight="false" outlineLevel="0" collapsed="false">
      <c r="A48" s="24"/>
      <c r="B48" s="24"/>
      <c r="C48" s="22"/>
      <c r="D48" s="25"/>
      <c r="E48" s="24"/>
      <c r="F48" s="24"/>
      <c r="G48" s="24"/>
    </row>
    <row r="49" customFormat="false" ht="15" hidden="false" customHeight="false" outlineLevel="0" collapsed="false">
      <c r="A49" s="24"/>
      <c r="B49" s="24"/>
      <c r="C49" s="22"/>
      <c r="D49" s="25"/>
      <c r="E49" s="24"/>
      <c r="F49" s="24"/>
      <c r="G49" s="24"/>
    </row>
    <row r="50" customFormat="false" ht="15" hidden="false" customHeight="false" outlineLevel="0" collapsed="false">
      <c r="A50" s="24"/>
      <c r="B50" s="24"/>
      <c r="C50" s="22"/>
      <c r="D50" s="25"/>
      <c r="E50" s="24"/>
      <c r="F50" s="24"/>
      <c r="G50" s="24"/>
    </row>
    <row r="51" customFormat="false" ht="15" hidden="false" customHeight="false" outlineLevel="0" collapsed="false">
      <c r="A51" s="24"/>
      <c r="B51" s="24"/>
      <c r="C51" s="22"/>
      <c r="D51" s="25"/>
      <c r="E51" s="24"/>
      <c r="F51" s="24"/>
      <c r="G51" s="24"/>
    </row>
    <row r="52" customFormat="false" ht="15" hidden="false" customHeight="false" outlineLevel="0" collapsed="false">
      <c r="A52" s="24"/>
      <c r="B52" s="24"/>
      <c r="C52" s="22"/>
      <c r="D52" s="25"/>
      <c r="E52" s="24"/>
      <c r="F52" s="24"/>
      <c r="G52" s="24"/>
    </row>
    <row r="53" customFormat="false" ht="15" hidden="false" customHeight="false" outlineLevel="0" collapsed="false">
      <c r="A53" s="24"/>
      <c r="B53" s="24"/>
      <c r="C53" s="22"/>
      <c r="D53" s="25"/>
      <c r="E53" s="24"/>
      <c r="F53" s="24"/>
      <c r="G53" s="24"/>
    </row>
    <row r="54" customFormat="false" ht="15" hidden="false" customHeight="false" outlineLevel="0" collapsed="false">
      <c r="A54" s="24"/>
      <c r="B54" s="24"/>
      <c r="C54" s="22"/>
      <c r="D54" s="25"/>
      <c r="E54" s="24"/>
      <c r="F54" s="24"/>
      <c r="G54" s="24"/>
    </row>
    <row r="55" customFormat="false" ht="15" hidden="false" customHeight="false" outlineLevel="0" collapsed="false">
      <c r="A55" s="24"/>
      <c r="B55" s="24"/>
      <c r="C55" s="22"/>
      <c r="D55" s="25"/>
      <c r="E55" s="24"/>
      <c r="F55" s="24"/>
      <c r="G55" s="24"/>
    </row>
    <row r="56" customFormat="false" ht="15" hidden="false" customHeight="false" outlineLevel="0" collapsed="false">
      <c r="A56" s="24"/>
      <c r="B56" s="24"/>
      <c r="C56" s="22"/>
      <c r="D56" s="25"/>
      <c r="E56" s="24"/>
      <c r="F56" s="24"/>
      <c r="G56" s="24"/>
    </row>
    <row r="57" customFormat="false" ht="15" hidden="false" customHeight="false" outlineLevel="0" collapsed="false">
      <c r="A57" s="24"/>
      <c r="B57" s="24"/>
      <c r="C57" s="22"/>
      <c r="D57" s="25"/>
      <c r="E57" s="24"/>
      <c r="F57" s="24"/>
      <c r="G57" s="24"/>
    </row>
    <row r="58" customFormat="false" ht="15" hidden="false" customHeight="false" outlineLevel="0" collapsed="false">
      <c r="A58" s="24"/>
      <c r="B58" s="24"/>
      <c r="C58" s="22"/>
      <c r="D58" s="25"/>
      <c r="E58" s="24"/>
      <c r="F58" s="24"/>
      <c r="G58" s="24"/>
    </row>
    <row r="59" customFormat="false" ht="15" hidden="false" customHeight="false" outlineLevel="0" collapsed="false">
      <c r="A59" s="24"/>
      <c r="B59" s="24"/>
      <c r="C59" s="22"/>
      <c r="D59" s="25"/>
      <c r="E59" s="24"/>
      <c r="F59" s="24"/>
      <c r="G59" s="24"/>
    </row>
    <row r="60" customFormat="false" ht="15" hidden="false" customHeight="false" outlineLevel="0" collapsed="false">
      <c r="A60" s="24"/>
      <c r="B60" s="24"/>
      <c r="C60" s="22"/>
      <c r="D60" s="25"/>
      <c r="E60" s="24"/>
      <c r="F60" s="24"/>
      <c r="G60" s="24"/>
    </row>
    <row r="61" customFormat="false" ht="15" hidden="false" customHeight="false" outlineLevel="0" collapsed="false">
      <c r="A61" s="24"/>
      <c r="B61" s="24"/>
      <c r="C61" s="22"/>
      <c r="D61" s="25"/>
      <c r="E61" s="24"/>
      <c r="F61" s="24"/>
      <c r="G61" s="24"/>
    </row>
    <row r="62" customFormat="false" ht="15" hidden="false" customHeight="false" outlineLevel="0" collapsed="false">
      <c r="A62" s="24"/>
      <c r="B62" s="24"/>
      <c r="C62" s="22"/>
      <c r="D62" s="25"/>
      <c r="E62" s="24"/>
      <c r="F62" s="24"/>
      <c r="G62" s="24"/>
    </row>
    <row r="63" customFormat="false" ht="15" hidden="false" customHeight="false" outlineLevel="0" collapsed="false">
      <c r="A63" s="24"/>
      <c r="B63" s="24"/>
      <c r="C63" s="22"/>
      <c r="D63" s="25"/>
      <c r="E63" s="24"/>
      <c r="F63" s="24"/>
      <c r="G63" s="24"/>
    </row>
    <row r="64" customFormat="false" ht="15" hidden="false" customHeight="false" outlineLevel="0" collapsed="false">
      <c r="A64" s="24"/>
      <c r="B64" s="24"/>
      <c r="C64" s="22"/>
      <c r="D64" s="25"/>
      <c r="E64" s="24"/>
      <c r="F64" s="24"/>
      <c r="G64" s="24"/>
    </row>
    <row r="65" customFormat="false" ht="15" hidden="false" customHeight="false" outlineLevel="0" collapsed="false">
      <c r="A65" s="24"/>
      <c r="B65" s="24"/>
      <c r="C65" s="22"/>
      <c r="D65" s="25"/>
      <c r="E65" s="24"/>
      <c r="F65" s="24"/>
      <c r="G65" s="24"/>
    </row>
    <row r="66" customFormat="false" ht="15" hidden="false" customHeight="false" outlineLevel="0" collapsed="false">
      <c r="A66" s="24"/>
      <c r="B66" s="24"/>
      <c r="C66" s="22"/>
      <c r="D66" s="25"/>
      <c r="E66" s="24"/>
      <c r="F66" s="24"/>
      <c r="G66" s="24"/>
    </row>
    <row r="67" customFormat="false" ht="15" hidden="false" customHeight="false" outlineLevel="0" collapsed="false">
      <c r="A67" s="24"/>
      <c r="B67" s="24"/>
      <c r="C67" s="22"/>
      <c r="D67" s="25"/>
      <c r="E67" s="24"/>
      <c r="F67" s="24"/>
      <c r="G67" s="24"/>
    </row>
    <row r="68" customFormat="false" ht="15" hidden="false" customHeight="false" outlineLevel="0" collapsed="false">
      <c r="A68" s="24"/>
      <c r="B68" s="24"/>
      <c r="C68" s="22"/>
      <c r="D68" s="25"/>
      <c r="E68" s="24"/>
      <c r="F68" s="24"/>
      <c r="G68" s="24"/>
    </row>
    <row r="69" customFormat="false" ht="15" hidden="false" customHeight="false" outlineLevel="0" collapsed="false">
      <c r="A69" s="24"/>
      <c r="B69" s="24"/>
      <c r="C69" s="22"/>
      <c r="D69" s="25"/>
      <c r="E69" s="24"/>
      <c r="F69" s="24"/>
      <c r="G69" s="24"/>
    </row>
    <row r="70" customFormat="false" ht="15" hidden="false" customHeight="false" outlineLevel="0" collapsed="false">
      <c r="A70" s="24"/>
      <c r="B70" s="24"/>
      <c r="C70" s="22"/>
      <c r="D70" s="25"/>
      <c r="E70" s="24"/>
      <c r="F70" s="24"/>
      <c r="G70" s="24"/>
    </row>
    <row r="71" customFormat="false" ht="15" hidden="false" customHeight="false" outlineLevel="0" collapsed="false">
      <c r="A71" s="24"/>
      <c r="B71" s="24"/>
      <c r="C71" s="22"/>
      <c r="D71" s="25"/>
      <c r="E71" s="24"/>
      <c r="F71" s="24"/>
      <c r="G71" s="24"/>
    </row>
    <row r="72" customFormat="false" ht="15" hidden="false" customHeight="false" outlineLevel="0" collapsed="false">
      <c r="A72" s="24"/>
      <c r="B72" s="24"/>
      <c r="C72" s="22"/>
      <c r="D72" s="25"/>
      <c r="E72" s="24"/>
      <c r="F72" s="24"/>
      <c r="G72" s="24"/>
    </row>
    <row r="73" customFormat="false" ht="15" hidden="false" customHeight="false" outlineLevel="0" collapsed="false">
      <c r="A73" s="24"/>
      <c r="B73" s="24"/>
      <c r="C73" s="22"/>
      <c r="D73" s="25"/>
      <c r="E73" s="24"/>
      <c r="F73" s="24"/>
      <c r="G73" s="24"/>
    </row>
    <row r="74" customFormat="false" ht="15" hidden="false" customHeight="false" outlineLevel="0" collapsed="false">
      <c r="A74" s="24"/>
      <c r="B74" s="24"/>
      <c r="C74" s="22"/>
      <c r="D74" s="25"/>
      <c r="E74" s="24"/>
      <c r="F74" s="24"/>
      <c r="G74" s="24"/>
    </row>
    <row r="75" customFormat="false" ht="15" hidden="false" customHeight="false" outlineLevel="0" collapsed="false">
      <c r="A75" s="24"/>
      <c r="B75" s="24"/>
      <c r="C75" s="22"/>
      <c r="D75" s="25"/>
      <c r="E75" s="24"/>
      <c r="F75" s="24"/>
      <c r="G75" s="24"/>
    </row>
    <row r="76" customFormat="false" ht="15" hidden="false" customHeight="false" outlineLevel="0" collapsed="false">
      <c r="A76" s="24"/>
      <c r="B76" s="24"/>
      <c r="C76" s="22"/>
      <c r="D76" s="25"/>
      <c r="E76" s="24"/>
      <c r="F76" s="24"/>
      <c r="G76" s="24"/>
    </row>
    <row r="77" customFormat="false" ht="15" hidden="false" customHeight="false" outlineLevel="0" collapsed="false">
      <c r="A77" s="24"/>
      <c r="B77" s="24"/>
      <c r="C77" s="22"/>
      <c r="D77" s="25"/>
      <c r="E77" s="24"/>
      <c r="F77" s="24"/>
      <c r="G77" s="24"/>
    </row>
    <row r="78" customFormat="false" ht="15" hidden="false" customHeight="false" outlineLevel="0" collapsed="false">
      <c r="A78" s="24"/>
      <c r="B78" s="24"/>
      <c r="C78" s="22"/>
      <c r="D78" s="25"/>
      <c r="E78" s="24"/>
      <c r="F78" s="24"/>
      <c r="G78" s="24"/>
    </row>
    <row r="79" customFormat="false" ht="15" hidden="false" customHeight="false" outlineLevel="0" collapsed="false">
      <c r="A79" s="24"/>
      <c r="B79" s="24"/>
      <c r="C79" s="22"/>
      <c r="D79" s="25"/>
      <c r="E79" s="24"/>
      <c r="F79" s="24"/>
      <c r="G79" s="24"/>
    </row>
    <row r="80" customFormat="false" ht="15" hidden="false" customHeight="false" outlineLevel="0" collapsed="false">
      <c r="A80" s="24"/>
      <c r="B80" s="24"/>
      <c r="C80" s="22"/>
      <c r="D80" s="25"/>
      <c r="E80" s="24"/>
      <c r="F80" s="24"/>
      <c r="G80" s="24"/>
    </row>
    <row r="81" customFormat="false" ht="15" hidden="false" customHeight="false" outlineLevel="0" collapsed="false">
      <c r="A81" s="24"/>
      <c r="B81" s="24"/>
      <c r="C81" s="22"/>
      <c r="D81" s="25"/>
      <c r="E81" s="24"/>
      <c r="F81" s="24"/>
      <c r="G81" s="24"/>
    </row>
    <row r="82" customFormat="false" ht="15" hidden="false" customHeight="false" outlineLevel="0" collapsed="false">
      <c r="A82" s="24"/>
      <c r="B82" s="24"/>
      <c r="C82" s="22"/>
      <c r="D82" s="25"/>
      <c r="E82" s="24"/>
      <c r="F82" s="24"/>
      <c r="G82" s="24"/>
    </row>
    <row r="83" customFormat="false" ht="15" hidden="false" customHeight="false" outlineLevel="0" collapsed="false">
      <c r="A83" s="24"/>
      <c r="B83" s="24"/>
      <c r="C83" s="22"/>
      <c r="D83" s="25"/>
      <c r="E83" s="24"/>
      <c r="F83" s="24"/>
      <c r="G83" s="24"/>
    </row>
    <row r="84" customFormat="false" ht="15" hidden="false" customHeight="false" outlineLevel="0" collapsed="false">
      <c r="A84" s="24"/>
      <c r="B84" s="24"/>
      <c r="C84" s="22"/>
      <c r="D84" s="25"/>
      <c r="E84" s="24"/>
      <c r="F84" s="24"/>
      <c r="G84" s="24"/>
    </row>
    <row r="85" customFormat="false" ht="15" hidden="false" customHeight="false" outlineLevel="0" collapsed="false">
      <c r="A85" s="24"/>
      <c r="B85" s="24"/>
      <c r="C85" s="22"/>
      <c r="D85" s="25"/>
      <c r="E85" s="24"/>
      <c r="F85" s="24"/>
      <c r="G85" s="24"/>
    </row>
    <row r="86" customFormat="false" ht="15" hidden="false" customHeight="false" outlineLevel="0" collapsed="false">
      <c r="A86" s="24"/>
      <c r="B86" s="24"/>
      <c r="C86" s="22"/>
      <c r="D86" s="25"/>
      <c r="E86" s="24"/>
      <c r="F86" s="24"/>
      <c r="G86" s="24"/>
    </row>
    <row r="87" customFormat="false" ht="15" hidden="false" customHeight="false" outlineLevel="0" collapsed="false">
      <c r="A87" s="24"/>
      <c r="B87" s="24"/>
      <c r="C87" s="22"/>
      <c r="D87" s="25"/>
      <c r="E87" s="24"/>
      <c r="F87" s="24"/>
      <c r="G87" s="24"/>
    </row>
    <row r="88" customFormat="false" ht="15" hidden="false" customHeight="false" outlineLevel="0" collapsed="false">
      <c r="A88" s="24"/>
      <c r="B88" s="24"/>
      <c r="C88" s="22"/>
      <c r="D88" s="25"/>
      <c r="E88" s="24"/>
      <c r="F88" s="24"/>
      <c r="G88" s="24"/>
    </row>
    <row r="89" customFormat="false" ht="15" hidden="false" customHeight="false" outlineLevel="0" collapsed="false">
      <c r="A89" s="24"/>
      <c r="B89" s="24"/>
      <c r="C89" s="22"/>
      <c r="D89" s="25"/>
      <c r="E89" s="24"/>
      <c r="F89" s="24"/>
      <c r="G89" s="24"/>
    </row>
    <row r="90" customFormat="false" ht="15" hidden="false" customHeight="false" outlineLevel="0" collapsed="false">
      <c r="A90" s="24"/>
      <c r="B90" s="24"/>
      <c r="C90" s="22"/>
      <c r="D90" s="25"/>
      <c r="E90" s="24"/>
      <c r="F90" s="24"/>
      <c r="G90" s="24"/>
    </row>
    <row r="91" customFormat="false" ht="15" hidden="false" customHeight="false" outlineLevel="0" collapsed="false">
      <c r="A91" s="24"/>
      <c r="B91" s="24"/>
      <c r="C91" s="22"/>
      <c r="D91" s="25"/>
      <c r="E91" s="24"/>
      <c r="F91" s="24"/>
      <c r="G91" s="24"/>
    </row>
    <row r="92" customFormat="false" ht="15" hidden="false" customHeight="false" outlineLevel="0" collapsed="false">
      <c r="A92" s="24"/>
      <c r="B92" s="24"/>
      <c r="C92" s="22"/>
      <c r="D92" s="25"/>
      <c r="E92" s="24"/>
      <c r="F92" s="24"/>
      <c r="G92" s="24"/>
    </row>
    <row r="93" customFormat="false" ht="15" hidden="false" customHeight="false" outlineLevel="0" collapsed="false">
      <c r="A93" s="24"/>
      <c r="B93" s="24"/>
      <c r="C93" s="22"/>
      <c r="D93" s="25"/>
      <c r="E93" s="24"/>
      <c r="F93" s="24"/>
      <c r="G93" s="24"/>
    </row>
    <row r="94" customFormat="false" ht="15" hidden="false" customHeight="false" outlineLevel="0" collapsed="false">
      <c r="A94" s="24"/>
      <c r="B94" s="24"/>
      <c r="C94" s="22"/>
      <c r="D94" s="25"/>
      <c r="E94" s="24"/>
      <c r="F94" s="24"/>
      <c r="G94" s="24"/>
    </row>
    <row r="95" customFormat="false" ht="15" hidden="false" customHeight="false" outlineLevel="0" collapsed="false">
      <c r="A95" s="24"/>
      <c r="B95" s="24"/>
      <c r="C95" s="22"/>
      <c r="D95" s="25"/>
      <c r="E95" s="24"/>
      <c r="F95" s="24"/>
      <c r="G95" s="24"/>
    </row>
    <row r="96" customFormat="false" ht="15" hidden="false" customHeight="false" outlineLevel="0" collapsed="false">
      <c r="A96" s="24"/>
      <c r="B96" s="24"/>
      <c r="C96" s="22"/>
      <c r="D96" s="25"/>
      <c r="E96" s="24"/>
      <c r="F96" s="24"/>
      <c r="G96" s="24"/>
    </row>
    <row r="97" customFormat="false" ht="15" hidden="false" customHeight="false" outlineLevel="0" collapsed="false">
      <c r="A97" s="24"/>
      <c r="B97" s="24"/>
      <c r="C97" s="22"/>
      <c r="D97" s="25"/>
      <c r="E97" s="24"/>
      <c r="F97" s="24"/>
      <c r="G97" s="24"/>
    </row>
    <row r="98" customFormat="false" ht="15" hidden="false" customHeight="false" outlineLevel="0" collapsed="false">
      <c r="A98" s="24"/>
      <c r="B98" s="24"/>
      <c r="C98" s="22"/>
      <c r="D98" s="25"/>
      <c r="E98" s="24"/>
      <c r="F98" s="24"/>
      <c r="G98" s="24"/>
    </row>
    <row r="99" customFormat="false" ht="15" hidden="false" customHeight="false" outlineLevel="0" collapsed="false">
      <c r="A99" s="24"/>
      <c r="B99" s="24"/>
      <c r="C99" s="22"/>
      <c r="D99" s="25"/>
      <c r="E99" s="24"/>
      <c r="F99" s="24"/>
      <c r="G99" s="24"/>
    </row>
    <row r="100" customFormat="false" ht="15" hidden="false" customHeight="false" outlineLevel="0" collapsed="false">
      <c r="A100" s="24"/>
      <c r="B100" s="24"/>
      <c r="C100" s="22"/>
      <c r="D100" s="25"/>
      <c r="E100" s="24"/>
      <c r="F100" s="24"/>
      <c r="G100" s="24"/>
    </row>
    <row r="101" customFormat="false" ht="15" hidden="false" customHeight="false" outlineLevel="0" collapsed="false">
      <c r="A101" s="24"/>
      <c r="B101" s="24"/>
      <c r="C101" s="22"/>
      <c r="D101" s="25"/>
      <c r="E101" s="24"/>
      <c r="F101" s="24"/>
      <c r="G101" s="24"/>
    </row>
    <row r="102" customFormat="false" ht="15" hidden="false" customHeight="false" outlineLevel="0" collapsed="false">
      <c r="A102" s="24"/>
      <c r="B102" s="24"/>
      <c r="C102" s="22"/>
      <c r="D102" s="25"/>
      <c r="E102" s="24"/>
      <c r="F102" s="24"/>
      <c r="G102" s="24"/>
    </row>
    <row r="103" customFormat="false" ht="15" hidden="false" customHeight="false" outlineLevel="0" collapsed="false">
      <c r="A103" s="24"/>
      <c r="B103" s="24"/>
      <c r="C103" s="22"/>
      <c r="D103" s="25"/>
      <c r="E103" s="24"/>
      <c r="F103" s="24"/>
      <c r="G103" s="24"/>
    </row>
    <row r="104" customFormat="false" ht="15" hidden="false" customHeight="false" outlineLevel="0" collapsed="false">
      <c r="A104" s="24"/>
      <c r="B104" s="24"/>
      <c r="C104" s="22"/>
      <c r="D104" s="25"/>
      <c r="E104" s="24"/>
      <c r="F104" s="24"/>
      <c r="G104" s="24"/>
    </row>
    <row r="105" customFormat="false" ht="15" hidden="false" customHeight="false" outlineLevel="0" collapsed="false">
      <c r="A105" s="24"/>
      <c r="B105" s="24"/>
      <c r="C105" s="22"/>
      <c r="D105" s="25"/>
      <c r="E105" s="24"/>
      <c r="F105" s="24"/>
      <c r="G105" s="24"/>
    </row>
    <row r="106" customFormat="false" ht="15" hidden="false" customHeight="false" outlineLevel="0" collapsed="false">
      <c r="A106" s="24"/>
      <c r="B106" s="24"/>
      <c r="C106" s="22"/>
      <c r="D106" s="25"/>
      <c r="E106" s="24"/>
      <c r="F106" s="24"/>
      <c r="G106" s="24"/>
    </row>
    <row r="107" customFormat="false" ht="15" hidden="false" customHeight="false" outlineLevel="0" collapsed="false">
      <c r="A107" s="24"/>
      <c r="B107" s="24"/>
      <c r="C107" s="22"/>
      <c r="D107" s="25"/>
      <c r="E107" s="24"/>
      <c r="F107" s="24"/>
      <c r="G107" s="24"/>
    </row>
    <row r="108" customFormat="false" ht="15" hidden="false" customHeight="false" outlineLevel="0" collapsed="false">
      <c r="A108" s="24"/>
      <c r="B108" s="24"/>
      <c r="C108" s="22"/>
      <c r="D108" s="25"/>
      <c r="E108" s="24"/>
      <c r="F108" s="24"/>
      <c r="G108" s="24"/>
    </row>
    <row r="109" customFormat="false" ht="15" hidden="false" customHeight="false" outlineLevel="0" collapsed="false">
      <c r="A109" s="24"/>
      <c r="B109" s="24"/>
      <c r="C109" s="22"/>
      <c r="D109" s="25"/>
      <c r="E109" s="24"/>
      <c r="F109" s="24"/>
      <c r="G109" s="24"/>
    </row>
    <row r="110" customFormat="false" ht="15" hidden="false" customHeight="false" outlineLevel="0" collapsed="false">
      <c r="A110" s="24"/>
      <c r="B110" s="24"/>
      <c r="C110" s="22"/>
      <c r="D110" s="25"/>
      <c r="E110" s="24"/>
      <c r="F110" s="24"/>
      <c r="G110" s="24"/>
    </row>
    <row r="111" customFormat="false" ht="15" hidden="false" customHeight="false" outlineLevel="0" collapsed="false">
      <c r="A111" s="24"/>
      <c r="B111" s="24"/>
      <c r="C111" s="22"/>
      <c r="D111" s="25"/>
      <c r="E111" s="24"/>
      <c r="F111" s="24"/>
      <c r="G111" s="24"/>
    </row>
    <row r="112" customFormat="false" ht="15" hidden="false" customHeight="false" outlineLevel="0" collapsed="false">
      <c r="A112" s="24"/>
      <c r="B112" s="24"/>
      <c r="C112" s="22"/>
      <c r="D112" s="25"/>
      <c r="E112" s="24"/>
      <c r="F112" s="24"/>
      <c r="G112" s="24"/>
    </row>
    <row r="113" customFormat="false" ht="15" hidden="false" customHeight="false" outlineLevel="0" collapsed="false">
      <c r="A113" s="24"/>
      <c r="B113" s="24"/>
      <c r="C113" s="22"/>
      <c r="D113" s="25"/>
      <c r="E113" s="24"/>
      <c r="F113" s="24"/>
      <c r="G113" s="24"/>
    </row>
    <row r="114" customFormat="false" ht="15" hidden="false" customHeight="false" outlineLevel="0" collapsed="false">
      <c r="A114" s="24"/>
      <c r="B114" s="24"/>
      <c r="C114" s="22"/>
      <c r="D114" s="25"/>
      <c r="E114" s="24"/>
      <c r="F114" s="24"/>
      <c r="G114" s="24"/>
    </row>
    <row r="115" customFormat="false" ht="15" hidden="false" customHeight="false" outlineLevel="0" collapsed="false">
      <c r="A115" s="24"/>
      <c r="B115" s="24"/>
      <c r="C115" s="22"/>
      <c r="D115" s="25"/>
      <c r="E115" s="24"/>
      <c r="F115" s="24"/>
      <c r="G115" s="24"/>
    </row>
    <row r="116" customFormat="false" ht="15" hidden="false" customHeight="false" outlineLevel="0" collapsed="false">
      <c r="A116" s="24"/>
      <c r="B116" s="24"/>
      <c r="C116" s="22"/>
      <c r="D116" s="25"/>
      <c r="E116" s="24"/>
      <c r="F116" s="24"/>
      <c r="G116" s="24"/>
    </row>
    <row r="117" customFormat="false" ht="15" hidden="false" customHeight="false" outlineLevel="0" collapsed="false">
      <c r="A117" s="24"/>
      <c r="B117" s="24"/>
      <c r="C117" s="22"/>
      <c r="D117" s="25"/>
      <c r="E117" s="24"/>
      <c r="F117" s="24"/>
      <c r="G117" s="24"/>
    </row>
    <row r="118" customFormat="false" ht="15" hidden="false" customHeight="false" outlineLevel="0" collapsed="false">
      <c r="A118" s="24"/>
      <c r="B118" s="24"/>
      <c r="C118" s="22"/>
      <c r="D118" s="25"/>
      <c r="E118" s="24"/>
      <c r="F118" s="24"/>
      <c r="G118" s="24"/>
    </row>
    <row r="119" customFormat="false" ht="15" hidden="false" customHeight="false" outlineLevel="0" collapsed="false">
      <c r="A119" s="24"/>
      <c r="B119" s="24"/>
      <c r="C119" s="22"/>
      <c r="D119" s="25"/>
      <c r="E119" s="24"/>
      <c r="F119" s="24"/>
      <c r="G119" s="24"/>
    </row>
    <row r="120" customFormat="false" ht="15" hidden="false" customHeight="false" outlineLevel="0" collapsed="false">
      <c r="A120" s="24"/>
      <c r="B120" s="24"/>
      <c r="C120" s="22"/>
      <c r="D120" s="25"/>
      <c r="E120" s="24"/>
      <c r="F120" s="24"/>
      <c r="G120" s="24"/>
    </row>
    <row r="121" customFormat="false" ht="15" hidden="false" customHeight="false" outlineLevel="0" collapsed="false">
      <c r="A121" s="24"/>
      <c r="B121" s="24"/>
      <c r="C121" s="22"/>
      <c r="D121" s="25"/>
      <c r="E121" s="24"/>
      <c r="F121" s="24"/>
      <c r="G121" s="24"/>
    </row>
    <row r="122" customFormat="false" ht="15" hidden="false" customHeight="false" outlineLevel="0" collapsed="false">
      <c r="A122" s="24"/>
      <c r="B122" s="24"/>
      <c r="C122" s="22"/>
      <c r="D122" s="25"/>
      <c r="E122" s="24"/>
      <c r="F122" s="24"/>
      <c r="G122" s="24"/>
    </row>
    <row r="123" customFormat="false" ht="15" hidden="false" customHeight="false" outlineLevel="0" collapsed="false">
      <c r="A123" s="24"/>
      <c r="B123" s="24"/>
      <c r="C123" s="22"/>
      <c r="D123" s="25"/>
      <c r="E123" s="24"/>
      <c r="F123" s="24"/>
      <c r="G123" s="24"/>
    </row>
    <row r="124" customFormat="false" ht="15" hidden="false" customHeight="false" outlineLevel="0" collapsed="false">
      <c r="A124" s="24"/>
      <c r="B124" s="24"/>
      <c r="C124" s="22"/>
      <c r="D124" s="25"/>
      <c r="E124" s="24"/>
      <c r="F124" s="24"/>
      <c r="G124" s="24"/>
    </row>
    <row r="125" customFormat="false" ht="15" hidden="false" customHeight="false" outlineLevel="0" collapsed="false">
      <c r="A125" s="24"/>
      <c r="B125" s="24"/>
      <c r="C125" s="22"/>
      <c r="D125" s="25"/>
      <c r="E125" s="24"/>
      <c r="F125" s="24"/>
      <c r="G125" s="24"/>
    </row>
    <row r="126" customFormat="false" ht="15" hidden="false" customHeight="false" outlineLevel="0" collapsed="false">
      <c r="A126" s="24"/>
      <c r="B126" s="24"/>
      <c r="C126" s="22"/>
      <c r="D126" s="25"/>
      <c r="E126" s="24"/>
      <c r="F126" s="24"/>
      <c r="G126" s="24"/>
    </row>
    <row r="127" customFormat="false" ht="15" hidden="false" customHeight="false" outlineLevel="0" collapsed="false">
      <c r="A127" s="24"/>
      <c r="B127" s="24"/>
      <c r="C127" s="22"/>
      <c r="D127" s="25"/>
      <c r="E127" s="24"/>
      <c r="F127" s="24"/>
      <c r="G127" s="24"/>
    </row>
    <row r="128" customFormat="false" ht="15" hidden="false" customHeight="false" outlineLevel="0" collapsed="false">
      <c r="A128" s="24"/>
      <c r="B128" s="24"/>
      <c r="C128" s="22"/>
      <c r="D128" s="25"/>
      <c r="E128" s="24"/>
      <c r="F128" s="24"/>
      <c r="G128" s="24"/>
    </row>
    <row r="129" customFormat="false" ht="15" hidden="false" customHeight="false" outlineLevel="0" collapsed="false">
      <c r="A129" s="24"/>
      <c r="B129" s="24"/>
      <c r="C129" s="22"/>
      <c r="D129" s="25"/>
      <c r="E129" s="24"/>
      <c r="F129" s="24"/>
      <c r="G129" s="24"/>
    </row>
    <row r="130" customFormat="false" ht="15" hidden="false" customHeight="false" outlineLevel="0" collapsed="false">
      <c r="A130" s="24"/>
      <c r="B130" s="24"/>
      <c r="C130" s="22"/>
      <c r="D130" s="25"/>
      <c r="E130" s="24"/>
      <c r="F130" s="24"/>
      <c r="G130" s="24"/>
    </row>
    <row r="131" customFormat="false" ht="15" hidden="false" customHeight="false" outlineLevel="0" collapsed="false">
      <c r="A131" s="24"/>
      <c r="B131" s="24"/>
      <c r="C131" s="22"/>
      <c r="D131" s="25"/>
      <c r="E131" s="24"/>
      <c r="F131" s="24"/>
      <c r="G131" s="24"/>
    </row>
    <row r="132" customFormat="false" ht="15" hidden="false" customHeight="false" outlineLevel="0" collapsed="false">
      <c r="A132" s="24"/>
      <c r="B132" s="24"/>
      <c r="C132" s="22"/>
      <c r="D132" s="25"/>
      <c r="E132" s="24"/>
      <c r="F132" s="24"/>
      <c r="G132" s="24"/>
    </row>
    <row r="133" customFormat="false" ht="15" hidden="false" customHeight="false" outlineLevel="0" collapsed="false">
      <c r="A133" s="24"/>
      <c r="B133" s="24"/>
      <c r="C133" s="22"/>
      <c r="D133" s="25"/>
      <c r="E133" s="24"/>
      <c r="F133" s="24"/>
      <c r="G133" s="24"/>
    </row>
    <row r="134" customFormat="false" ht="15" hidden="false" customHeight="false" outlineLevel="0" collapsed="false">
      <c r="A134" s="24"/>
      <c r="B134" s="24"/>
      <c r="C134" s="22"/>
      <c r="D134" s="25"/>
      <c r="E134" s="24"/>
      <c r="F134" s="24"/>
      <c r="G134" s="24"/>
    </row>
    <row r="135" customFormat="false" ht="15" hidden="false" customHeight="false" outlineLevel="0" collapsed="false">
      <c r="A135" s="24"/>
      <c r="B135" s="24"/>
      <c r="C135" s="22"/>
      <c r="D135" s="25"/>
      <c r="E135" s="24"/>
      <c r="F135" s="24"/>
      <c r="G135" s="24"/>
    </row>
    <row r="136" customFormat="false" ht="15" hidden="false" customHeight="false" outlineLevel="0" collapsed="false">
      <c r="A136" s="24"/>
      <c r="B136" s="24"/>
      <c r="C136" s="22"/>
      <c r="D136" s="25"/>
      <c r="E136" s="24"/>
      <c r="F136" s="24"/>
      <c r="G136" s="24"/>
    </row>
    <row r="137" customFormat="false" ht="15" hidden="false" customHeight="false" outlineLevel="0" collapsed="false">
      <c r="A137" s="24"/>
      <c r="B137" s="24"/>
      <c r="C137" s="22"/>
      <c r="D137" s="25"/>
      <c r="E137" s="24"/>
      <c r="F137" s="24"/>
      <c r="G137" s="24"/>
    </row>
    <row r="138" customFormat="false" ht="15" hidden="false" customHeight="false" outlineLevel="0" collapsed="false">
      <c r="A138" s="24"/>
      <c r="B138" s="24"/>
      <c r="C138" s="22"/>
      <c r="D138" s="25"/>
      <c r="E138" s="24"/>
      <c r="F138" s="24"/>
      <c r="G138" s="24"/>
    </row>
    <row r="139" customFormat="false" ht="15" hidden="false" customHeight="false" outlineLevel="0" collapsed="false">
      <c r="A139" s="24"/>
      <c r="B139" s="24"/>
      <c r="C139" s="22"/>
      <c r="D139" s="25"/>
      <c r="E139" s="24"/>
      <c r="F139" s="24"/>
      <c r="G139" s="24"/>
    </row>
    <row r="140" customFormat="false" ht="15" hidden="false" customHeight="false" outlineLevel="0" collapsed="false">
      <c r="A140" s="24"/>
      <c r="B140" s="24"/>
      <c r="C140" s="22"/>
      <c r="D140" s="25"/>
      <c r="E140" s="24"/>
      <c r="F140" s="24"/>
      <c r="G140" s="24"/>
    </row>
    <row r="141" customFormat="false" ht="15" hidden="false" customHeight="false" outlineLevel="0" collapsed="false">
      <c r="A141" s="24"/>
      <c r="B141" s="24"/>
      <c r="C141" s="22"/>
      <c r="D141" s="25"/>
      <c r="E141" s="24"/>
      <c r="F141" s="24"/>
      <c r="G141" s="24"/>
    </row>
    <row r="142" customFormat="false" ht="15" hidden="false" customHeight="false" outlineLevel="0" collapsed="false">
      <c r="A142" s="24"/>
      <c r="B142" s="24"/>
      <c r="C142" s="22"/>
      <c r="D142" s="25"/>
      <c r="E142" s="24"/>
      <c r="F142" s="24"/>
      <c r="G142" s="24"/>
    </row>
    <row r="143" customFormat="false" ht="15" hidden="false" customHeight="false" outlineLevel="0" collapsed="false">
      <c r="A143" s="24"/>
      <c r="B143" s="24"/>
      <c r="C143" s="22"/>
      <c r="D143" s="25"/>
      <c r="E143" s="24"/>
      <c r="F143" s="24"/>
      <c r="G143" s="24"/>
    </row>
    <row r="144" customFormat="false" ht="15" hidden="false" customHeight="false" outlineLevel="0" collapsed="false">
      <c r="A144" s="24"/>
      <c r="B144" s="24"/>
      <c r="C144" s="22"/>
      <c r="D144" s="25"/>
      <c r="E144" s="24"/>
      <c r="F144" s="24"/>
      <c r="G144" s="24"/>
    </row>
    <row r="145" customFormat="false" ht="15" hidden="false" customHeight="false" outlineLevel="0" collapsed="false">
      <c r="A145" s="24"/>
      <c r="B145" s="24"/>
      <c r="C145" s="22"/>
      <c r="D145" s="25"/>
      <c r="E145" s="24"/>
      <c r="F145" s="24"/>
      <c r="G145" s="24"/>
    </row>
    <row r="146" customFormat="false" ht="15" hidden="false" customHeight="false" outlineLevel="0" collapsed="false">
      <c r="A146" s="24"/>
      <c r="B146" s="24"/>
      <c r="C146" s="22"/>
      <c r="D146" s="25"/>
      <c r="E146" s="24"/>
      <c r="F146" s="24"/>
      <c r="G146" s="24"/>
    </row>
    <row r="147" customFormat="false" ht="15" hidden="false" customHeight="false" outlineLevel="0" collapsed="false">
      <c r="A147" s="24"/>
      <c r="B147" s="24"/>
      <c r="C147" s="22"/>
      <c r="D147" s="25"/>
      <c r="E147" s="24"/>
      <c r="F147" s="24"/>
      <c r="G147" s="24"/>
    </row>
    <row r="148" customFormat="false" ht="15" hidden="false" customHeight="false" outlineLevel="0" collapsed="false">
      <c r="A148" s="24"/>
      <c r="B148" s="24"/>
      <c r="C148" s="22"/>
      <c r="D148" s="25"/>
      <c r="E148" s="24"/>
      <c r="F148" s="24"/>
      <c r="G148" s="24"/>
    </row>
    <row r="149" customFormat="false" ht="15" hidden="false" customHeight="false" outlineLevel="0" collapsed="false">
      <c r="A149" s="24"/>
      <c r="B149" s="24"/>
      <c r="C149" s="22"/>
      <c r="D149" s="25"/>
      <c r="E149" s="24"/>
      <c r="F149" s="24"/>
      <c r="G149" s="24"/>
    </row>
    <row r="150" customFormat="false" ht="15" hidden="false" customHeight="false" outlineLevel="0" collapsed="false">
      <c r="A150" s="24"/>
      <c r="B150" s="24"/>
      <c r="C150" s="22"/>
      <c r="D150" s="25"/>
      <c r="E150" s="24"/>
      <c r="F150" s="24"/>
      <c r="G150" s="24"/>
    </row>
    <row r="151" customFormat="false" ht="15" hidden="false" customHeight="false" outlineLevel="0" collapsed="false">
      <c r="A151" s="24"/>
      <c r="B151" s="24"/>
      <c r="C151" s="22"/>
      <c r="D151" s="25"/>
      <c r="E151" s="24"/>
      <c r="F151" s="24"/>
      <c r="G151" s="24"/>
    </row>
    <row r="152" customFormat="false" ht="15" hidden="false" customHeight="false" outlineLevel="0" collapsed="false">
      <c r="A152" s="24"/>
      <c r="B152" s="24"/>
      <c r="C152" s="22"/>
      <c r="D152" s="25"/>
      <c r="E152" s="24"/>
      <c r="F152" s="24"/>
      <c r="G152" s="24"/>
    </row>
    <row r="153" customFormat="false" ht="15" hidden="false" customHeight="false" outlineLevel="0" collapsed="false">
      <c r="A153" s="24"/>
      <c r="B153" s="24"/>
      <c r="C153" s="22"/>
      <c r="D153" s="25"/>
      <c r="E153" s="24"/>
      <c r="F153" s="24"/>
      <c r="G153" s="24"/>
    </row>
    <row r="154" customFormat="false" ht="15" hidden="false" customHeight="false" outlineLevel="0" collapsed="false">
      <c r="A154" s="24"/>
      <c r="B154" s="24"/>
      <c r="C154" s="22"/>
      <c r="D154" s="25"/>
      <c r="E154" s="24"/>
      <c r="F154" s="24"/>
      <c r="G154" s="24"/>
    </row>
    <row r="155" customFormat="false" ht="15" hidden="false" customHeight="false" outlineLevel="0" collapsed="false">
      <c r="A155" s="24"/>
      <c r="B155" s="24"/>
      <c r="C155" s="22"/>
      <c r="D155" s="25"/>
      <c r="E155" s="24"/>
      <c r="F155" s="24"/>
      <c r="G155" s="24"/>
    </row>
    <row r="156" customFormat="false" ht="15" hidden="false" customHeight="false" outlineLevel="0" collapsed="false">
      <c r="A156" s="24"/>
      <c r="B156" s="24"/>
      <c r="C156" s="22"/>
      <c r="D156" s="25"/>
      <c r="E156" s="24"/>
      <c r="F156" s="24"/>
      <c r="G156" s="24"/>
    </row>
    <row r="157" customFormat="false" ht="15" hidden="false" customHeight="false" outlineLevel="0" collapsed="false">
      <c r="A157" s="24"/>
      <c r="B157" s="24"/>
      <c r="C157" s="22"/>
      <c r="D157" s="25"/>
      <c r="E157" s="24"/>
      <c r="F157" s="24"/>
      <c r="G157" s="24"/>
    </row>
    <row r="158" customFormat="false" ht="15" hidden="false" customHeight="false" outlineLevel="0" collapsed="false">
      <c r="A158" s="24"/>
      <c r="B158" s="24"/>
      <c r="C158" s="22"/>
      <c r="D158" s="25"/>
      <c r="E158" s="24"/>
      <c r="F158" s="24"/>
      <c r="G158" s="24"/>
    </row>
    <row r="159" customFormat="false" ht="15" hidden="false" customHeight="false" outlineLevel="0" collapsed="false">
      <c r="A159" s="24"/>
      <c r="B159" s="24"/>
      <c r="C159" s="22"/>
      <c r="D159" s="25"/>
      <c r="E159" s="24"/>
      <c r="F159" s="24"/>
      <c r="G159" s="24"/>
    </row>
    <row r="160" customFormat="false" ht="15" hidden="false" customHeight="false" outlineLevel="0" collapsed="false">
      <c r="A160" s="24"/>
      <c r="B160" s="24"/>
      <c r="C160" s="22"/>
      <c r="D160" s="25"/>
      <c r="E160" s="24"/>
      <c r="F160" s="24"/>
      <c r="G160" s="24"/>
    </row>
    <row r="161" customFormat="false" ht="15" hidden="false" customHeight="false" outlineLevel="0" collapsed="false">
      <c r="A161" s="24"/>
      <c r="B161" s="24"/>
      <c r="C161" s="22"/>
      <c r="D161" s="25"/>
      <c r="E161" s="24"/>
      <c r="F161" s="24"/>
      <c r="G161" s="24"/>
    </row>
    <row r="162" customFormat="false" ht="15" hidden="false" customHeight="false" outlineLevel="0" collapsed="false">
      <c r="A162" s="24"/>
      <c r="B162" s="24"/>
      <c r="C162" s="22"/>
      <c r="D162" s="25"/>
      <c r="E162" s="24"/>
      <c r="F162" s="24"/>
      <c r="G162" s="24"/>
    </row>
    <row r="163" customFormat="false" ht="15" hidden="false" customHeight="false" outlineLevel="0" collapsed="false">
      <c r="A163" s="24"/>
      <c r="B163" s="24"/>
      <c r="C163" s="22"/>
      <c r="D163" s="25"/>
      <c r="E163" s="24"/>
      <c r="F163" s="24"/>
      <c r="G163" s="24"/>
    </row>
    <row r="164" customFormat="false" ht="15" hidden="false" customHeight="false" outlineLevel="0" collapsed="false">
      <c r="A164" s="24"/>
      <c r="B164" s="24"/>
      <c r="C164" s="22"/>
      <c r="D164" s="25"/>
      <c r="E164" s="24"/>
      <c r="F164" s="24"/>
      <c r="G164" s="24"/>
    </row>
    <row r="165" customFormat="false" ht="15" hidden="false" customHeight="false" outlineLevel="0" collapsed="false">
      <c r="A165" s="24"/>
      <c r="B165" s="24"/>
      <c r="C165" s="22"/>
      <c r="D165" s="25"/>
      <c r="E165" s="24"/>
      <c r="F165" s="24"/>
      <c r="G165" s="24"/>
    </row>
    <row r="166" customFormat="false" ht="15" hidden="false" customHeight="false" outlineLevel="0" collapsed="false">
      <c r="A166" s="24"/>
      <c r="B166" s="24"/>
      <c r="C166" s="22"/>
      <c r="D166" s="25"/>
      <c r="E166" s="24"/>
      <c r="F166" s="24"/>
      <c r="G166" s="24"/>
    </row>
    <row r="167" customFormat="false" ht="15" hidden="false" customHeight="false" outlineLevel="0" collapsed="false">
      <c r="A167" s="24"/>
      <c r="B167" s="24"/>
      <c r="C167" s="22"/>
      <c r="D167" s="25"/>
      <c r="E167" s="24"/>
      <c r="F167" s="24"/>
      <c r="G167" s="24"/>
    </row>
    <row r="168" customFormat="false" ht="15" hidden="false" customHeight="false" outlineLevel="0" collapsed="false">
      <c r="A168" s="24"/>
      <c r="B168" s="24"/>
      <c r="C168" s="22"/>
      <c r="D168" s="25"/>
      <c r="E168" s="24"/>
      <c r="F168" s="24"/>
      <c r="G168" s="24"/>
    </row>
    <row r="169" customFormat="false" ht="15" hidden="false" customHeight="false" outlineLevel="0" collapsed="false">
      <c r="A169" s="24"/>
      <c r="B169" s="24"/>
      <c r="C169" s="22"/>
      <c r="D169" s="25"/>
      <c r="E169" s="24"/>
      <c r="F169" s="24"/>
      <c r="G169" s="24"/>
    </row>
    <row r="170" customFormat="false" ht="15" hidden="false" customHeight="false" outlineLevel="0" collapsed="false">
      <c r="A170" s="24"/>
      <c r="B170" s="24"/>
      <c r="C170" s="22"/>
      <c r="D170" s="25"/>
      <c r="E170" s="24"/>
      <c r="F170" s="24"/>
      <c r="G170" s="24"/>
    </row>
    <row r="171" customFormat="false" ht="15" hidden="false" customHeight="false" outlineLevel="0" collapsed="false">
      <c r="A171" s="24"/>
      <c r="B171" s="24"/>
      <c r="C171" s="22"/>
      <c r="D171" s="25"/>
      <c r="E171" s="24"/>
      <c r="F171" s="24"/>
      <c r="G171" s="24"/>
    </row>
    <row r="172" customFormat="false" ht="15" hidden="false" customHeight="false" outlineLevel="0" collapsed="false">
      <c r="A172" s="24"/>
      <c r="B172" s="24"/>
      <c r="C172" s="22"/>
      <c r="D172" s="25"/>
      <c r="E172" s="24"/>
      <c r="F172" s="24"/>
      <c r="G172" s="24"/>
    </row>
    <row r="173" customFormat="false" ht="15" hidden="false" customHeight="false" outlineLevel="0" collapsed="false">
      <c r="A173" s="24"/>
      <c r="B173" s="24"/>
      <c r="C173" s="22"/>
      <c r="D173" s="25"/>
      <c r="E173" s="24"/>
      <c r="F173" s="24"/>
      <c r="G173" s="24"/>
    </row>
    <row r="174" customFormat="false" ht="15" hidden="false" customHeight="false" outlineLevel="0" collapsed="false">
      <c r="A174" s="24"/>
      <c r="B174" s="24"/>
      <c r="C174" s="22"/>
      <c r="D174" s="25"/>
      <c r="E174" s="24"/>
      <c r="F174" s="24"/>
      <c r="G174" s="24"/>
    </row>
    <row r="175" customFormat="false" ht="15" hidden="false" customHeight="false" outlineLevel="0" collapsed="false">
      <c r="A175" s="24"/>
      <c r="B175" s="24"/>
      <c r="C175" s="22"/>
      <c r="D175" s="25"/>
      <c r="E175" s="24"/>
      <c r="F175" s="24"/>
      <c r="G175" s="24"/>
    </row>
    <row r="176" customFormat="false" ht="15" hidden="false" customHeight="false" outlineLevel="0" collapsed="false">
      <c r="A176" s="24"/>
      <c r="B176" s="24"/>
      <c r="C176" s="22"/>
      <c r="D176" s="25"/>
      <c r="E176" s="24"/>
      <c r="F176" s="24"/>
      <c r="G176" s="24"/>
    </row>
    <row r="177" customFormat="false" ht="15" hidden="false" customHeight="false" outlineLevel="0" collapsed="false">
      <c r="A177" s="24"/>
      <c r="B177" s="24"/>
      <c r="C177" s="22"/>
      <c r="D177" s="25"/>
      <c r="E177" s="24"/>
      <c r="F177" s="24"/>
      <c r="G177" s="24"/>
    </row>
    <row r="178" customFormat="false" ht="15" hidden="false" customHeight="false" outlineLevel="0" collapsed="false">
      <c r="A178" s="24"/>
      <c r="B178" s="24"/>
      <c r="C178" s="22"/>
      <c r="D178" s="25"/>
      <c r="E178" s="24"/>
      <c r="F178" s="24"/>
      <c r="G178" s="24"/>
    </row>
    <row r="179" customFormat="false" ht="15" hidden="false" customHeight="false" outlineLevel="0" collapsed="false">
      <c r="A179" s="24"/>
      <c r="B179" s="24"/>
      <c r="C179" s="22"/>
      <c r="D179" s="25"/>
      <c r="E179" s="24"/>
      <c r="F179" s="24"/>
      <c r="G179" s="24"/>
    </row>
    <row r="180" customFormat="false" ht="15" hidden="false" customHeight="false" outlineLevel="0" collapsed="false">
      <c r="A180" s="24"/>
      <c r="B180" s="24"/>
      <c r="C180" s="22"/>
      <c r="D180" s="25"/>
      <c r="E180" s="24"/>
      <c r="F180" s="24"/>
      <c r="G180" s="24"/>
    </row>
    <row r="181" customFormat="false" ht="15" hidden="false" customHeight="false" outlineLevel="0" collapsed="false">
      <c r="A181" s="24"/>
      <c r="B181" s="24"/>
      <c r="C181" s="22"/>
      <c r="D181" s="25"/>
      <c r="E181" s="24"/>
      <c r="F181" s="24"/>
      <c r="G181" s="24"/>
    </row>
    <row r="182" customFormat="false" ht="15" hidden="false" customHeight="false" outlineLevel="0" collapsed="false">
      <c r="A182" s="24"/>
      <c r="B182" s="24"/>
      <c r="C182" s="22"/>
      <c r="D182" s="25"/>
      <c r="E182" s="24"/>
      <c r="F182" s="24"/>
      <c r="G182" s="24"/>
    </row>
    <row r="183" customFormat="false" ht="15" hidden="false" customHeight="false" outlineLevel="0" collapsed="false">
      <c r="A183" s="24"/>
      <c r="B183" s="24"/>
      <c r="C183" s="22"/>
      <c r="D183" s="25"/>
      <c r="E183" s="24"/>
      <c r="F183" s="24"/>
      <c r="G183" s="24"/>
    </row>
    <row r="184" customFormat="false" ht="15" hidden="false" customHeight="false" outlineLevel="0" collapsed="false">
      <c r="A184" s="24"/>
      <c r="B184" s="24"/>
      <c r="C184" s="22"/>
      <c r="D184" s="25"/>
      <c r="E184" s="24"/>
      <c r="F184" s="24"/>
      <c r="G184" s="24"/>
    </row>
    <row r="185" customFormat="false" ht="15" hidden="false" customHeight="false" outlineLevel="0" collapsed="false">
      <c r="A185" s="24"/>
      <c r="B185" s="24"/>
      <c r="C185" s="22"/>
      <c r="D185" s="25"/>
      <c r="E185" s="24"/>
      <c r="F185" s="24"/>
      <c r="G185" s="24"/>
    </row>
    <row r="186" customFormat="false" ht="15" hidden="false" customHeight="false" outlineLevel="0" collapsed="false">
      <c r="A186" s="24"/>
      <c r="B186" s="24"/>
      <c r="C186" s="22"/>
      <c r="D186" s="25"/>
      <c r="E186" s="24"/>
      <c r="F186" s="24"/>
      <c r="G186" s="24"/>
    </row>
    <row r="187" customFormat="false" ht="15" hidden="false" customHeight="false" outlineLevel="0" collapsed="false">
      <c r="A187" s="24"/>
      <c r="B187" s="24"/>
      <c r="C187" s="22"/>
      <c r="D187" s="25"/>
      <c r="E187" s="24"/>
      <c r="F187" s="24"/>
      <c r="G187" s="24"/>
    </row>
    <row r="188" customFormat="false" ht="15" hidden="false" customHeight="false" outlineLevel="0" collapsed="false">
      <c r="A188" s="24"/>
      <c r="B188" s="24"/>
      <c r="C188" s="22"/>
      <c r="D188" s="25"/>
      <c r="E188" s="24"/>
      <c r="F188" s="24"/>
      <c r="G188" s="24"/>
    </row>
    <row r="189" customFormat="false" ht="15" hidden="false" customHeight="false" outlineLevel="0" collapsed="false">
      <c r="A189" s="24"/>
      <c r="B189" s="24"/>
      <c r="C189" s="22"/>
      <c r="D189" s="25"/>
      <c r="E189" s="24"/>
      <c r="F189" s="24"/>
      <c r="G189" s="24"/>
    </row>
    <row r="190" customFormat="false" ht="15" hidden="false" customHeight="false" outlineLevel="0" collapsed="false">
      <c r="A190" s="24"/>
      <c r="B190" s="24"/>
      <c r="C190" s="22"/>
      <c r="D190" s="25"/>
      <c r="E190" s="24"/>
      <c r="F190" s="24"/>
      <c r="G190" s="24"/>
    </row>
    <row r="191" customFormat="false" ht="15" hidden="false" customHeight="false" outlineLevel="0" collapsed="false">
      <c r="A191" s="24"/>
      <c r="B191" s="24"/>
      <c r="C191" s="22"/>
      <c r="D191" s="25"/>
      <c r="E191" s="24"/>
      <c r="F191" s="24"/>
      <c r="G191" s="24"/>
    </row>
    <row r="192" customFormat="false" ht="15" hidden="false" customHeight="false" outlineLevel="0" collapsed="false">
      <c r="A192" s="24"/>
      <c r="B192" s="24"/>
      <c r="C192" s="22"/>
      <c r="D192" s="25"/>
      <c r="E192" s="24"/>
      <c r="F192" s="24"/>
      <c r="G192" s="24"/>
    </row>
    <row r="193" customFormat="false" ht="15" hidden="false" customHeight="false" outlineLevel="0" collapsed="false">
      <c r="A193" s="24"/>
      <c r="B193" s="24"/>
      <c r="C193" s="22"/>
      <c r="D193" s="25"/>
      <c r="E193" s="24"/>
      <c r="F193" s="24"/>
      <c r="G193" s="24"/>
    </row>
    <row r="194" customFormat="false" ht="15" hidden="false" customHeight="false" outlineLevel="0" collapsed="false">
      <c r="A194" s="24"/>
      <c r="B194" s="24"/>
      <c r="C194" s="22"/>
      <c r="D194" s="25"/>
      <c r="E194" s="24"/>
      <c r="F194" s="24"/>
      <c r="G194" s="24"/>
    </row>
    <row r="195" customFormat="false" ht="15" hidden="false" customHeight="false" outlineLevel="0" collapsed="false">
      <c r="A195" s="24"/>
      <c r="B195" s="24"/>
      <c r="C195" s="22"/>
      <c r="D195" s="25"/>
      <c r="E195" s="24"/>
      <c r="F195" s="24"/>
      <c r="G195" s="24"/>
    </row>
    <row r="196" customFormat="false" ht="15" hidden="false" customHeight="false" outlineLevel="0" collapsed="false">
      <c r="A196" s="24"/>
      <c r="B196" s="24"/>
      <c r="C196" s="22"/>
      <c r="D196" s="25"/>
      <c r="E196" s="24"/>
      <c r="F196" s="24"/>
      <c r="G196" s="24"/>
    </row>
    <row r="197" customFormat="false" ht="15" hidden="false" customHeight="false" outlineLevel="0" collapsed="false">
      <c r="A197" s="24"/>
      <c r="B197" s="24"/>
      <c r="C197" s="22"/>
      <c r="D197" s="25"/>
      <c r="E197" s="24"/>
      <c r="F197" s="24"/>
      <c r="G197" s="24"/>
    </row>
    <row r="198" customFormat="false" ht="15" hidden="false" customHeight="false" outlineLevel="0" collapsed="false">
      <c r="A198" s="24"/>
      <c r="B198" s="24"/>
      <c r="C198" s="22"/>
      <c r="D198" s="25"/>
      <c r="E198" s="24"/>
      <c r="F198" s="24"/>
      <c r="G198" s="24"/>
    </row>
    <row r="199" customFormat="false" ht="15" hidden="false" customHeight="false" outlineLevel="0" collapsed="false">
      <c r="A199" s="24"/>
      <c r="B199" s="24"/>
      <c r="C199" s="22"/>
      <c r="D199" s="25"/>
      <c r="E199" s="24"/>
      <c r="F199" s="24"/>
      <c r="G199" s="24"/>
    </row>
    <row r="200" customFormat="false" ht="15" hidden="false" customHeight="false" outlineLevel="0" collapsed="false">
      <c r="A200" s="24"/>
      <c r="B200" s="24"/>
      <c r="C200" s="22"/>
      <c r="D200" s="25"/>
      <c r="E200" s="24"/>
      <c r="F200" s="24"/>
      <c r="G200" s="24"/>
    </row>
    <row r="201" customFormat="false" ht="15" hidden="false" customHeight="false" outlineLevel="0" collapsed="false">
      <c r="A201" s="24"/>
      <c r="B201" s="24"/>
      <c r="C201" s="22"/>
      <c r="D201" s="25"/>
      <c r="E201" s="24"/>
      <c r="F201" s="24"/>
      <c r="G201" s="24"/>
    </row>
    <row r="202" customFormat="false" ht="15" hidden="false" customHeight="false" outlineLevel="0" collapsed="false">
      <c r="A202" s="24"/>
      <c r="B202" s="24"/>
      <c r="C202" s="22"/>
      <c r="D202" s="25"/>
      <c r="E202" s="24"/>
      <c r="F202" s="24"/>
      <c r="G202" s="24"/>
    </row>
    <row r="203" customFormat="false" ht="15" hidden="false" customHeight="false" outlineLevel="0" collapsed="false">
      <c r="A203" s="24"/>
      <c r="B203" s="24"/>
      <c r="C203" s="22"/>
      <c r="D203" s="25"/>
      <c r="E203" s="24"/>
      <c r="F203" s="24"/>
      <c r="G203" s="24"/>
    </row>
    <row r="204" customFormat="false" ht="15" hidden="false" customHeight="false" outlineLevel="0" collapsed="false">
      <c r="A204" s="24"/>
      <c r="B204" s="24"/>
      <c r="C204" s="22"/>
      <c r="D204" s="25"/>
      <c r="E204" s="24"/>
      <c r="F204" s="24"/>
      <c r="G204" s="24"/>
    </row>
    <row r="205" customFormat="false" ht="15" hidden="false" customHeight="false" outlineLevel="0" collapsed="false">
      <c r="A205" s="24"/>
      <c r="B205" s="24"/>
      <c r="C205" s="22"/>
      <c r="D205" s="25"/>
      <c r="E205" s="24"/>
      <c r="F205" s="24"/>
      <c r="G205" s="24"/>
    </row>
    <row r="206" customFormat="false" ht="15" hidden="false" customHeight="false" outlineLevel="0" collapsed="false">
      <c r="A206" s="24"/>
      <c r="B206" s="24"/>
      <c r="C206" s="22"/>
      <c r="D206" s="25"/>
      <c r="E206" s="24"/>
      <c r="F206" s="24"/>
      <c r="G206" s="24"/>
    </row>
    <row r="207" customFormat="false" ht="15" hidden="false" customHeight="false" outlineLevel="0" collapsed="false">
      <c r="A207" s="24"/>
      <c r="B207" s="24"/>
      <c r="C207" s="22"/>
      <c r="D207" s="25"/>
      <c r="E207" s="24"/>
      <c r="F207" s="24"/>
      <c r="G207" s="24"/>
    </row>
    <row r="208" customFormat="false" ht="15" hidden="false" customHeight="false" outlineLevel="0" collapsed="false">
      <c r="A208" s="24"/>
      <c r="B208" s="24"/>
      <c r="C208" s="22"/>
      <c r="D208" s="25"/>
      <c r="E208" s="24"/>
      <c r="F208" s="24"/>
      <c r="G208" s="24"/>
    </row>
    <row r="209" customFormat="false" ht="15" hidden="false" customHeight="false" outlineLevel="0" collapsed="false">
      <c r="A209" s="24"/>
      <c r="B209" s="24"/>
      <c r="C209" s="22"/>
      <c r="D209" s="25"/>
      <c r="E209" s="24"/>
      <c r="F209" s="24"/>
      <c r="G209" s="24"/>
    </row>
    <row r="210" customFormat="false" ht="15" hidden="false" customHeight="false" outlineLevel="0" collapsed="false">
      <c r="A210" s="24"/>
      <c r="B210" s="24"/>
      <c r="C210" s="22"/>
      <c r="D210" s="25"/>
      <c r="E210" s="24"/>
      <c r="F210" s="24"/>
      <c r="G210" s="24"/>
    </row>
    <row r="211" customFormat="false" ht="15" hidden="false" customHeight="false" outlineLevel="0" collapsed="false">
      <c r="A211" s="24"/>
      <c r="B211" s="24"/>
      <c r="C211" s="22"/>
      <c r="D211" s="25"/>
      <c r="E211" s="24"/>
      <c r="F211" s="24"/>
      <c r="G211" s="24"/>
    </row>
    <row r="212" customFormat="false" ht="15" hidden="false" customHeight="false" outlineLevel="0" collapsed="false">
      <c r="A212" s="24"/>
      <c r="B212" s="24"/>
      <c r="C212" s="22"/>
      <c r="D212" s="25"/>
      <c r="E212" s="24"/>
      <c r="F212" s="24"/>
      <c r="G212" s="24"/>
    </row>
    <row r="213" customFormat="false" ht="15" hidden="false" customHeight="false" outlineLevel="0" collapsed="false">
      <c r="A213" s="24"/>
      <c r="B213" s="24"/>
      <c r="C213" s="22"/>
      <c r="D213" s="25"/>
      <c r="E213" s="24"/>
      <c r="F213" s="24"/>
      <c r="G213" s="24"/>
    </row>
    <row r="214" customFormat="false" ht="15" hidden="false" customHeight="false" outlineLevel="0" collapsed="false">
      <c r="A214" s="24"/>
      <c r="B214" s="24"/>
      <c r="C214" s="22"/>
      <c r="D214" s="25"/>
      <c r="E214" s="24"/>
      <c r="F214" s="24"/>
      <c r="G214" s="24"/>
    </row>
    <row r="215" customFormat="false" ht="15" hidden="false" customHeight="false" outlineLevel="0" collapsed="false">
      <c r="A215" s="24"/>
      <c r="B215" s="24"/>
      <c r="C215" s="22"/>
      <c r="D215" s="25"/>
      <c r="E215" s="24"/>
      <c r="F215" s="24"/>
      <c r="G215" s="24"/>
    </row>
    <row r="216" customFormat="false" ht="15" hidden="false" customHeight="false" outlineLevel="0" collapsed="false">
      <c r="A216" s="24"/>
      <c r="B216" s="24"/>
      <c r="C216" s="22"/>
      <c r="D216" s="25"/>
      <c r="E216" s="24"/>
      <c r="F216" s="24"/>
      <c r="G216" s="24"/>
    </row>
    <row r="217" customFormat="false" ht="15" hidden="false" customHeight="false" outlineLevel="0" collapsed="false">
      <c r="A217" s="24"/>
      <c r="B217" s="24"/>
      <c r="C217" s="22"/>
      <c r="D217" s="25"/>
      <c r="E217" s="24"/>
      <c r="F217" s="24"/>
      <c r="G217" s="24"/>
    </row>
    <row r="218" customFormat="false" ht="15" hidden="false" customHeight="false" outlineLevel="0" collapsed="false">
      <c r="A218" s="24"/>
      <c r="B218" s="24"/>
      <c r="C218" s="22"/>
      <c r="D218" s="25"/>
      <c r="E218" s="24"/>
      <c r="F218" s="24"/>
      <c r="G218" s="24"/>
    </row>
    <row r="219" customFormat="false" ht="15" hidden="false" customHeight="false" outlineLevel="0" collapsed="false">
      <c r="A219" s="24"/>
      <c r="B219" s="24"/>
      <c r="C219" s="22"/>
      <c r="D219" s="25"/>
      <c r="E219" s="24"/>
      <c r="F219" s="24"/>
      <c r="G219" s="24"/>
    </row>
    <row r="220" customFormat="false" ht="15" hidden="false" customHeight="false" outlineLevel="0" collapsed="false">
      <c r="A220" s="24"/>
      <c r="B220" s="24"/>
      <c r="C220" s="22"/>
      <c r="D220" s="25"/>
      <c r="E220" s="24"/>
      <c r="F220" s="24"/>
      <c r="G220" s="24"/>
    </row>
    <row r="221" customFormat="false" ht="15" hidden="false" customHeight="false" outlineLevel="0" collapsed="false">
      <c r="A221" s="24"/>
      <c r="B221" s="24"/>
      <c r="C221" s="22"/>
      <c r="D221" s="25"/>
      <c r="E221" s="24"/>
      <c r="F221" s="24"/>
      <c r="G221" s="24"/>
    </row>
    <row r="222" customFormat="false" ht="15" hidden="false" customHeight="false" outlineLevel="0" collapsed="false">
      <c r="A222" s="24"/>
      <c r="B222" s="24"/>
      <c r="C222" s="22"/>
      <c r="D222" s="25"/>
      <c r="E222" s="24"/>
      <c r="F222" s="24"/>
      <c r="G222" s="24"/>
    </row>
    <row r="223" customFormat="false" ht="15" hidden="false" customHeight="false" outlineLevel="0" collapsed="false">
      <c r="A223" s="24"/>
      <c r="B223" s="24"/>
      <c r="C223" s="22"/>
      <c r="D223" s="25"/>
      <c r="E223" s="24"/>
      <c r="F223" s="24"/>
      <c r="G223" s="24"/>
    </row>
    <row r="224" customFormat="false" ht="15" hidden="false" customHeight="false" outlineLevel="0" collapsed="false">
      <c r="A224" s="24"/>
      <c r="B224" s="24"/>
      <c r="C224" s="22"/>
      <c r="D224" s="25"/>
      <c r="E224" s="24"/>
      <c r="F224" s="24"/>
      <c r="G224" s="24"/>
    </row>
    <row r="225" customFormat="false" ht="15" hidden="false" customHeight="false" outlineLevel="0" collapsed="false">
      <c r="A225" s="24"/>
      <c r="B225" s="24"/>
      <c r="C225" s="22"/>
      <c r="D225" s="25"/>
      <c r="E225" s="24"/>
      <c r="F225" s="24"/>
      <c r="G225" s="24"/>
    </row>
    <row r="226" customFormat="false" ht="15" hidden="false" customHeight="false" outlineLevel="0" collapsed="false">
      <c r="A226" s="24"/>
      <c r="B226" s="24"/>
      <c r="C226" s="22"/>
      <c r="D226" s="25"/>
      <c r="E226" s="24"/>
      <c r="F226" s="24"/>
      <c r="G226" s="24"/>
    </row>
    <row r="227" customFormat="false" ht="15" hidden="false" customHeight="false" outlineLevel="0" collapsed="false">
      <c r="A227" s="24"/>
      <c r="B227" s="24"/>
      <c r="C227" s="22"/>
      <c r="D227" s="25"/>
      <c r="E227" s="24"/>
      <c r="F227" s="24"/>
      <c r="G227" s="24"/>
    </row>
    <row r="228" customFormat="false" ht="15" hidden="false" customHeight="false" outlineLevel="0" collapsed="false">
      <c r="A228" s="24"/>
      <c r="B228" s="24"/>
      <c r="C228" s="22"/>
      <c r="D228" s="25"/>
      <c r="E228" s="24"/>
      <c r="F228" s="24"/>
      <c r="G228" s="24"/>
    </row>
    <row r="229" customFormat="false" ht="15" hidden="false" customHeight="false" outlineLevel="0" collapsed="false">
      <c r="A229" s="24"/>
      <c r="B229" s="24"/>
      <c r="C229" s="22"/>
      <c r="D229" s="25"/>
      <c r="E229" s="24"/>
      <c r="F229" s="24"/>
      <c r="G229" s="24"/>
    </row>
    <row r="230" customFormat="false" ht="15" hidden="false" customHeight="false" outlineLevel="0" collapsed="false">
      <c r="A230" s="24"/>
      <c r="B230" s="24"/>
      <c r="C230" s="22"/>
      <c r="D230" s="25"/>
      <c r="E230" s="24"/>
      <c r="F230" s="24"/>
      <c r="G230" s="24"/>
    </row>
    <row r="231" customFormat="false" ht="15" hidden="false" customHeight="false" outlineLevel="0" collapsed="false">
      <c r="A231" s="24"/>
      <c r="B231" s="24"/>
      <c r="C231" s="22"/>
      <c r="D231" s="25"/>
      <c r="E231" s="24"/>
      <c r="F231" s="24"/>
      <c r="G231" s="24"/>
    </row>
    <row r="232" customFormat="false" ht="15" hidden="false" customHeight="false" outlineLevel="0" collapsed="false">
      <c r="A232" s="24"/>
      <c r="B232" s="24"/>
      <c r="C232" s="22"/>
      <c r="D232" s="25"/>
      <c r="E232" s="24"/>
      <c r="F232" s="24"/>
      <c r="G232" s="24"/>
    </row>
    <row r="233" customFormat="false" ht="15" hidden="false" customHeight="false" outlineLevel="0" collapsed="false">
      <c r="A233" s="24"/>
      <c r="B233" s="24"/>
      <c r="C233" s="22"/>
      <c r="D233" s="25"/>
      <c r="E233" s="24"/>
      <c r="F233" s="24"/>
      <c r="G233" s="24"/>
    </row>
    <row r="234" customFormat="false" ht="15" hidden="false" customHeight="false" outlineLevel="0" collapsed="false">
      <c r="A234" s="24"/>
      <c r="B234" s="24"/>
      <c r="C234" s="22"/>
      <c r="D234" s="25"/>
      <c r="E234" s="24"/>
      <c r="F234" s="24"/>
      <c r="G234" s="24"/>
    </row>
    <row r="235" customFormat="false" ht="15" hidden="false" customHeight="false" outlineLevel="0" collapsed="false">
      <c r="A235" s="24"/>
      <c r="B235" s="24"/>
      <c r="C235" s="22"/>
      <c r="D235" s="25"/>
      <c r="E235" s="24"/>
      <c r="F235" s="24"/>
      <c r="G235" s="24"/>
    </row>
    <row r="236" customFormat="false" ht="15" hidden="false" customHeight="false" outlineLevel="0" collapsed="false">
      <c r="A236" s="24"/>
      <c r="B236" s="24"/>
      <c r="C236" s="22"/>
      <c r="D236" s="25"/>
      <c r="E236" s="24"/>
      <c r="F236" s="24"/>
      <c r="G236" s="24"/>
    </row>
    <row r="237" customFormat="false" ht="15" hidden="false" customHeight="false" outlineLevel="0" collapsed="false">
      <c r="A237" s="24"/>
      <c r="B237" s="24"/>
      <c r="C237" s="22"/>
      <c r="D237" s="25"/>
      <c r="E237" s="24"/>
      <c r="F237" s="24"/>
      <c r="G237" s="24"/>
    </row>
    <row r="238" customFormat="false" ht="15" hidden="false" customHeight="false" outlineLevel="0" collapsed="false">
      <c r="A238" s="24"/>
      <c r="B238" s="24"/>
      <c r="C238" s="22"/>
      <c r="D238" s="25"/>
      <c r="E238" s="24"/>
      <c r="F238" s="24"/>
      <c r="G238" s="24"/>
    </row>
    <row r="239" customFormat="false" ht="15" hidden="false" customHeight="false" outlineLevel="0" collapsed="false">
      <c r="A239" s="24"/>
      <c r="B239" s="24"/>
      <c r="C239" s="22"/>
      <c r="D239" s="25"/>
      <c r="E239" s="24"/>
      <c r="F239" s="24"/>
      <c r="G239" s="24"/>
    </row>
    <row r="240" customFormat="false" ht="15" hidden="false" customHeight="false" outlineLevel="0" collapsed="false">
      <c r="A240" s="24"/>
      <c r="B240" s="24"/>
      <c r="C240" s="22"/>
      <c r="D240" s="25"/>
      <c r="E240" s="24"/>
      <c r="F240" s="24"/>
      <c r="G240" s="24"/>
    </row>
    <row r="241" customFormat="false" ht="15" hidden="false" customHeight="false" outlineLevel="0" collapsed="false">
      <c r="A241" s="24"/>
      <c r="B241" s="24"/>
      <c r="C241" s="22"/>
      <c r="D241" s="25"/>
      <c r="E241" s="24"/>
      <c r="F241" s="24"/>
      <c r="G241" s="24"/>
    </row>
    <row r="242" customFormat="false" ht="15" hidden="false" customHeight="false" outlineLevel="0" collapsed="false">
      <c r="A242" s="24"/>
      <c r="B242" s="24"/>
      <c r="C242" s="22"/>
      <c r="D242" s="25"/>
      <c r="E242" s="24"/>
      <c r="F242" s="24"/>
      <c r="G242" s="24"/>
    </row>
    <row r="243" customFormat="false" ht="15" hidden="false" customHeight="false" outlineLevel="0" collapsed="false">
      <c r="A243" s="24"/>
      <c r="B243" s="24"/>
      <c r="C243" s="22"/>
      <c r="D243" s="25"/>
      <c r="E243" s="24"/>
      <c r="F243" s="24"/>
      <c r="G243" s="24"/>
    </row>
    <row r="244" customFormat="false" ht="15" hidden="false" customHeight="false" outlineLevel="0" collapsed="false">
      <c r="A244" s="24"/>
      <c r="B244" s="24"/>
      <c r="C244" s="22"/>
      <c r="D244" s="25"/>
      <c r="E244" s="24"/>
      <c r="F244" s="24"/>
      <c r="G244" s="24"/>
    </row>
    <row r="245" customFormat="false" ht="15" hidden="false" customHeight="false" outlineLevel="0" collapsed="false">
      <c r="A245" s="24"/>
      <c r="B245" s="24"/>
      <c r="C245" s="22"/>
      <c r="D245" s="25"/>
      <c r="E245" s="24"/>
      <c r="F245" s="24"/>
      <c r="G245" s="24"/>
    </row>
    <row r="246" customFormat="false" ht="15" hidden="false" customHeight="false" outlineLevel="0" collapsed="false">
      <c r="A246" s="24"/>
      <c r="B246" s="24"/>
      <c r="C246" s="22"/>
      <c r="D246" s="25"/>
      <c r="E246" s="24"/>
      <c r="F246" s="24"/>
      <c r="G246" s="24"/>
    </row>
    <row r="247" customFormat="false" ht="15" hidden="false" customHeight="false" outlineLevel="0" collapsed="false">
      <c r="A247" s="24"/>
      <c r="B247" s="24"/>
      <c r="C247" s="22"/>
      <c r="D247" s="25"/>
      <c r="E247" s="24"/>
      <c r="F247" s="24"/>
      <c r="G247" s="24"/>
    </row>
    <row r="248" customFormat="false" ht="15" hidden="false" customHeight="false" outlineLevel="0" collapsed="false">
      <c r="A248" s="24"/>
      <c r="B248" s="24"/>
      <c r="C248" s="22"/>
      <c r="D248" s="25"/>
      <c r="E248" s="24"/>
      <c r="F248" s="24"/>
      <c r="G248" s="24"/>
    </row>
    <row r="249" customFormat="false" ht="15" hidden="false" customHeight="false" outlineLevel="0" collapsed="false">
      <c r="A249" s="24"/>
      <c r="B249" s="24"/>
      <c r="C249" s="22"/>
      <c r="D249" s="25"/>
      <c r="E249" s="24"/>
      <c r="F249" s="24"/>
      <c r="G249" s="24"/>
    </row>
    <row r="250" customFormat="false" ht="15" hidden="false" customHeight="false" outlineLevel="0" collapsed="false">
      <c r="A250" s="24"/>
      <c r="B250" s="24"/>
      <c r="C250" s="22"/>
      <c r="D250" s="25"/>
      <c r="E250" s="24"/>
      <c r="F250" s="24"/>
      <c r="G250" s="24"/>
    </row>
    <row r="251" customFormat="false" ht="15" hidden="false" customHeight="false" outlineLevel="0" collapsed="false">
      <c r="A251" s="24"/>
      <c r="B251" s="24"/>
      <c r="C251" s="22"/>
      <c r="D251" s="25"/>
      <c r="E251" s="24"/>
      <c r="F251" s="24"/>
      <c r="G251" s="24"/>
    </row>
    <row r="252" customFormat="false" ht="15" hidden="false" customHeight="false" outlineLevel="0" collapsed="false">
      <c r="A252" s="24"/>
      <c r="B252" s="24"/>
      <c r="C252" s="22"/>
      <c r="D252" s="25"/>
      <c r="E252" s="24"/>
      <c r="F252" s="24"/>
      <c r="G252" s="24"/>
    </row>
    <row r="253" customFormat="false" ht="15" hidden="false" customHeight="false" outlineLevel="0" collapsed="false">
      <c r="A253" s="24"/>
      <c r="B253" s="24"/>
      <c r="C253" s="22"/>
      <c r="D253" s="25"/>
      <c r="E253" s="24"/>
      <c r="F253" s="24"/>
      <c r="G253" s="24"/>
    </row>
    <row r="254" customFormat="false" ht="15" hidden="false" customHeight="false" outlineLevel="0" collapsed="false">
      <c r="A254" s="24"/>
      <c r="B254" s="24"/>
      <c r="C254" s="22"/>
      <c r="D254" s="25"/>
      <c r="E254" s="24"/>
      <c r="F254" s="24"/>
      <c r="G254" s="24"/>
    </row>
    <row r="255" customFormat="false" ht="15" hidden="false" customHeight="false" outlineLevel="0" collapsed="false">
      <c r="A255" s="24"/>
      <c r="B255" s="24"/>
      <c r="C255" s="22"/>
      <c r="D255" s="25"/>
      <c r="E255" s="24"/>
      <c r="F255" s="24"/>
      <c r="G255" s="24"/>
    </row>
    <row r="256" customFormat="false" ht="15" hidden="false" customHeight="false" outlineLevel="0" collapsed="false">
      <c r="A256" s="24"/>
      <c r="B256" s="24"/>
      <c r="C256" s="22"/>
      <c r="D256" s="25"/>
      <c r="E256" s="24"/>
      <c r="F256" s="24"/>
      <c r="G256" s="24"/>
    </row>
    <row r="257" customFormat="false" ht="15" hidden="false" customHeight="false" outlineLevel="0" collapsed="false">
      <c r="A257" s="24"/>
      <c r="B257" s="24"/>
      <c r="C257" s="22"/>
      <c r="D257" s="25"/>
      <c r="E257" s="24"/>
      <c r="F257" s="24"/>
      <c r="G257" s="24"/>
    </row>
    <row r="258" customFormat="false" ht="15" hidden="false" customHeight="false" outlineLevel="0" collapsed="false">
      <c r="A258" s="24"/>
      <c r="B258" s="24"/>
      <c r="C258" s="22"/>
      <c r="D258" s="25"/>
      <c r="E258" s="24"/>
      <c r="F258" s="24"/>
      <c r="G258" s="24"/>
    </row>
    <row r="259" customFormat="false" ht="15" hidden="false" customHeight="false" outlineLevel="0" collapsed="false">
      <c r="A259" s="24"/>
      <c r="B259" s="24"/>
      <c r="C259" s="22"/>
      <c r="D259" s="25"/>
      <c r="E259" s="24"/>
      <c r="F259" s="24"/>
      <c r="G259" s="24"/>
    </row>
    <row r="260" customFormat="false" ht="15" hidden="false" customHeight="false" outlineLevel="0" collapsed="false">
      <c r="A260" s="24"/>
      <c r="B260" s="24"/>
      <c r="C260" s="22"/>
      <c r="D260" s="25"/>
      <c r="E260" s="24"/>
      <c r="F260" s="24"/>
      <c r="G260" s="24"/>
    </row>
    <row r="261" customFormat="false" ht="15" hidden="false" customHeight="false" outlineLevel="0" collapsed="false">
      <c r="A261" s="24"/>
      <c r="B261" s="24"/>
      <c r="C261" s="22"/>
      <c r="D261" s="25"/>
      <c r="E261" s="24"/>
      <c r="F261" s="24"/>
      <c r="G261" s="24"/>
    </row>
    <row r="262" customFormat="false" ht="15" hidden="false" customHeight="false" outlineLevel="0" collapsed="false">
      <c r="A262" s="24"/>
      <c r="B262" s="24"/>
      <c r="C262" s="22"/>
      <c r="D262" s="25"/>
      <c r="E262" s="24"/>
      <c r="F262" s="24"/>
      <c r="G262" s="24"/>
    </row>
    <row r="263" customFormat="false" ht="15" hidden="false" customHeight="false" outlineLevel="0" collapsed="false">
      <c r="A263" s="24"/>
      <c r="B263" s="24"/>
      <c r="C263" s="22"/>
      <c r="D263" s="25"/>
      <c r="E263" s="24"/>
      <c r="F263" s="24"/>
      <c r="G263" s="24"/>
    </row>
    <row r="264" customFormat="false" ht="15" hidden="false" customHeight="false" outlineLevel="0" collapsed="false">
      <c r="A264" s="24"/>
      <c r="B264" s="24"/>
      <c r="C264" s="22"/>
      <c r="D264" s="25"/>
      <c r="E264" s="24"/>
      <c r="F264" s="24"/>
      <c r="G264" s="24"/>
    </row>
    <row r="265" customFormat="false" ht="15" hidden="false" customHeight="false" outlineLevel="0" collapsed="false">
      <c r="A265" s="24"/>
      <c r="B265" s="24"/>
      <c r="C265" s="22"/>
      <c r="D265" s="25"/>
      <c r="E265" s="24"/>
      <c r="F265" s="24"/>
      <c r="G265" s="24"/>
    </row>
    <row r="266" customFormat="false" ht="15" hidden="false" customHeight="false" outlineLevel="0" collapsed="false">
      <c r="A266" s="24"/>
      <c r="B266" s="24"/>
      <c r="C266" s="22"/>
      <c r="D266" s="25"/>
      <c r="E266" s="24"/>
      <c r="F266" s="24"/>
      <c r="G266" s="24"/>
    </row>
    <row r="267" customFormat="false" ht="15" hidden="false" customHeight="false" outlineLevel="0" collapsed="false">
      <c r="A267" s="24"/>
      <c r="B267" s="24"/>
      <c r="C267" s="22"/>
      <c r="D267" s="25"/>
      <c r="E267" s="24"/>
      <c r="F267" s="24"/>
      <c r="G267" s="24"/>
    </row>
    <row r="268" customFormat="false" ht="15" hidden="false" customHeight="false" outlineLevel="0" collapsed="false">
      <c r="A268" s="24"/>
      <c r="B268" s="24"/>
      <c r="C268" s="22"/>
      <c r="D268" s="25"/>
      <c r="E268" s="24"/>
      <c r="F268" s="24"/>
      <c r="G268" s="24"/>
    </row>
    <row r="269" customFormat="false" ht="15" hidden="false" customHeight="false" outlineLevel="0" collapsed="false">
      <c r="A269" s="24"/>
      <c r="B269" s="24"/>
      <c r="C269" s="22"/>
      <c r="D269" s="25"/>
      <c r="E269" s="24"/>
      <c r="F269" s="24"/>
      <c r="G269" s="24"/>
    </row>
    <row r="270" customFormat="false" ht="15" hidden="false" customHeight="false" outlineLevel="0" collapsed="false">
      <c r="A270" s="24"/>
      <c r="B270" s="24"/>
      <c r="C270" s="22"/>
      <c r="D270" s="25"/>
      <c r="E270" s="24"/>
      <c r="F270" s="24"/>
      <c r="G270" s="24"/>
    </row>
    <row r="271" customFormat="false" ht="15" hidden="false" customHeight="false" outlineLevel="0" collapsed="false">
      <c r="A271" s="24"/>
      <c r="B271" s="24"/>
      <c r="C271" s="22"/>
      <c r="D271" s="25"/>
      <c r="E271" s="24"/>
      <c r="F271" s="24"/>
      <c r="G271" s="24"/>
    </row>
    <row r="272" customFormat="false" ht="15" hidden="false" customHeight="false" outlineLevel="0" collapsed="false">
      <c r="A272" s="24"/>
      <c r="B272" s="24"/>
      <c r="C272" s="22"/>
      <c r="D272" s="25"/>
      <c r="E272" s="24"/>
      <c r="F272" s="24"/>
      <c r="G272" s="24"/>
    </row>
    <row r="273" customFormat="false" ht="15" hidden="false" customHeight="false" outlineLevel="0" collapsed="false">
      <c r="A273" s="24"/>
      <c r="B273" s="24"/>
      <c r="C273" s="22"/>
      <c r="D273" s="25"/>
      <c r="E273" s="24"/>
      <c r="F273" s="24"/>
      <c r="G273" s="24"/>
    </row>
    <row r="274" customFormat="false" ht="15" hidden="false" customHeight="false" outlineLevel="0" collapsed="false">
      <c r="A274" s="24"/>
      <c r="B274" s="24"/>
      <c r="C274" s="22"/>
      <c r="D274" s="25"/>
      <c r="E274" s="24"/>
      <c r="F274" s="24"/>
      <c r="G274" s="24"/>
    </row>
    <row r="275" customFormat="false" ht="15" hidden="false" customHeight="false" outlineLevel="0" collapsed="false">
      <c r="A275" s="24"/>
      <c r="B275" s="24"/>
      <c r="C275" s="22"/>
      <c r="D275" s="25"/>
      <c r="E275" s="24"/>
      <c r="F275" s="24"/>
      <c r="G275" s="24"/>
    </row>
    <row r="276" customFormat="false" ht="15" hidden="false" customHeight="false" outlineLevel="0" collapsed="false">
      <c r="A276" s="24"/>
      <c r="B276" s="24"/>
      <c r="C276" s="22"/>
      <c r="D276" s="25"/>
      <c r="E276" s="24"/>
      <c r="F276" s="24"/>
      <c r="G276" s="24"/>
    </row>
    <row r="277" customFormat="false" ht="15" hidden="false" customHeight="false" outlineLevel="0" collapsed="false">
      <c r="A277" s="24"/>
      <c r="B277" s="24"/>
      <c r="C277" s="22"/>
      <c r="D277" s="25"/>
      <c r="E277" s="24"/>
      <c r="F277" s="24"/>
      <c r="G277" s="24"/>
    </row>
    <row r="278" customFormat="false" ht="15" hidden="false" customHeight="false" outlineLevel="0" collapsed="false">
      <c r="A278" s="24"/>
      <c r="B278" s="24"/>
      <c r="C278" s="22"/>
      <c r="D278" s="25"/>
      <c r="E278" s="24"/>
      <c r="F278" s="24"/>
      <c r="G278" s="24"/>
    </row>
    <row r="279" customFormat="false" ht="15" hidden="false" customHeight="false" outlineLevel="0" collapsed="false">
      <c r="A279" s="24"/>
      <c r="B279" s="24"/>
      <c r="C279" s="22"/>
      <c r="D279" s="25"/>
      <c r="E279" s="24"/>
      <c r="F279" s="24"/>
      <c r="G279" s="24"/>
    </row>
    <row r="280" customFormat="false" ht="15" hidden="false" customHeight="false" outlineLevel="0" collapsed="false">
      <c r="A280" s="24"/>
      <c r="B280" s="24"/>
      <c r="C280" s="22"/>
      <c r="D280" s="25"/>
      <c r="E280" s="24"/>
      <c r="F280" s="24"/>
      <c r="G280" s="24"/>
    </row>
    <row r="281" customFormat="false" ht="15" hidden="false" customHeight="false" outlineLevel="0" collapsed="false">
      <c r="A281" s="24"/>
      <c r="B281" s="24"/>
      <c r="C281" s="22"/>
      <c r="D281" s="25"/>
      <c r="E281" s="24"/>
      <c r="F281" s="24"/>
      <c r="G281" s="24"/>
    </row>
    <row r="282" customFormat="false" ht="15" hidden="false" customHeight="false" outlineLevel="0" collapsed="false">
      <c r="A282" s="24"/>
      <c r="B282" s="24"/>
      <c r="C282" s="22"/>
      <c r="D282" s="25"/>
      <c r="E282" s="24"/>
      <c r="F282" s="24"/>
      <c r="G282" s="24"/>
    </row>
    <row r="283" customFormat="false" ht="15" hidden="false" customHeight="false" outlineLevel="0" collapsed="false">
      <c r="A283" s="24"/>
      <c r="B283" s="24"/>
      <c r="C283" s="22"/>
      <c r="D283" s="25"/>
      <c r="E283" s="24"/>
      <c r="F283" s="24"/>
      <c r="G283" s="24"/>
    </row>
    <row r="284" customFormat="false" ht="15" hidden="false" customHeight="false" outlineLevel="0" collapsed="false">
      <c r="A284" s="24"/>
      <c r="B284" s="24"/>
      <c r="C284" s="22"/>
      <c r="D284" s="25"/>
      <c r="E284" s="24"/>
      <c r="F284" s="24"/>
      <c r="G284" s="24"/>
    </row>
    <row r="285" customFormat="false" ht="15" hidden="false" customHeight="false" outlineLevel="0" collapsed="false">
      <c r="A285" s="24"/>
      <c r="B285" s="24"/>
      <c r="C285" s="22"/>
      <c r="D285" s="25"/>
      <c r="E285" s="24"/>
      <c r="F285" s="24"/>
      <c r="G285" s="24"/>
    </row>
    <row r="286" customFormat="false" ht="15" hidden="false" customHeight="false" outlineLevel="0" collapsed="false">
      <c r="A286" s="24"/>
      <c r="B286" s="24"/>
      <c r="C286" s="22"/>
      <c r="D286" s="25"/>
      <c r="E286" s="24"/>
      <c r="F286" s="24"/>
      <c r="G286" s="24"/>
    </row>
    <row r="287" customFormat="false" ht="15" hidden="false" customHeight="false" outlineLevel="0" collapsed="false">
      <c r="A287" s="24"/>
      <c r="B287" s="24"/>
      <c r="C287" s="22"/>
      <c r="D287" s="25"/>
      <c r="E287" s="24"/>
      <c r="F287" s="24"/>
      <c r="G287" s="24"/>
    </row>
    <row r="288" customFormat="false" ht="15" hidden="false" customHeight="false" outlineLevel="0" collapsed="false">
      <c r="A288" s="24"/>
      <c r="B288" s="24"/>
      <c r="C288" s="22"/>
      <c r="D288" s="25"/>
      <c r="E288" s="24"/>
      <c r="F288" s="24"/>
      <c r="G288" s="24"/>
    </row>
    <row r="289" customFormat="false" ht="15" hidden="false" customHeight="false" outlineLevel="0" collapsed="false">
      <c r="A289" s="24"/>
      <c r="B289" s="24"/>
      <c r="C289" s="22"/>
      <c r="D289" s="25"/>
      <c r="E289" s="24"/>
      <c r="F289" s="24"/>
      <c r="G289" s="24"/>
    </row>
    <row r="290" customFormat="false" ht="15" hidden="false" customHeight="false" outlineLevel="0" collapsed="false">
      <c r="A290" s="24"/>
      <c r="B290" s="24"/>
      <c r="C290" s="22"/>
      <c r="D290" s="25"/>
      <c r="E290" s="24"/>
      <c r="F290" s="24"/>
      <c r="G290" s="24"/>
    </row>
    <row r="291" customFormat="false" ht="15" hidden="false" customHeight="false" outlineLevel="0" collapsed="false">
      <c r="A291" s="24"/>
      <c r="B291" s="24"/>
      <c r="C291" s="22"/>
      <c r="D291" s="25"/>
      <c r="E291" s="24"/>
      <c r="F291" s="24"/>
      <c r="G291" s="24"/>
    </row>
    <row r="292" customFormat="false" ht="15" hidden="false" customHeight="false" outlineLevel="0" collapsed="false">
      <c r="A292" s="24"/>
      <c r="B292" s="24"/>
      <c r="C292" s="22"/>
      <c r="D292" s="25"/>
      <c r="E292" s="24"/>
      <c r="F292" s="24"/>
      <c r="G292" s="24"/>
    </row>
    <row r="293" customFormat="false" ht="15" hidden="false" customHeight="false" outlineLevel="0" collapsed="false">
      <c r="A293" s="24"/>
      <c r="B293" s="24"/>
      <c r="C293" s="22"/>
      <c r="D293" s="25"/>
      <c r="E293" s="24"/>
      <c r="F293" s="24"/>
      <c r="G293" s="24"/>
    </row>
    <row r="294" customFormat="false" ht="15" hidden="false" customHeight="false" outlineLevel="0" collapsed="false">
      <c r="A294" s="24"/>
      <c r="B294" s="24"/>
      <c r="C294" s="22"/>
      <c r="D294" s="25"/>
      <c r="E294" s="24"/>
      <c r="F294" s="24"/>
      <c r="G294" s="24"/>
    </row>
    <row r="295" customFormat="false" ht="15" hidden="false" customHeight="false" outlineLevel="0" collapsed="false">
      <c r="A295" s="24"/>
      <c r="B295" s="24"/>
      <c r="C295" s="22"/>
      <c r="D295" s="25"/>
      <c r="E295" s="24"/>
      <c r="F295" s="24"/>
      <c r="G295" s="24"/>
    </row>
    <row r="296" customFormat="false" ht="15" hidden="false" customHeight="false" outlineLevel="0" collapsed="false">
      <c r="A296" s="24"/>
      <c r="B296" s="24"/>
      <c r="C296" s="22"/>
      <c r="D296" s="25"/>
      <c r="E296" s="24"/>
      <c r="F296" s="24"/>
      <c r="G296" s="24"/>
    </row>
    <row r="297" customFormat="false" ht="15" hidden="false" customHeight="false" outlineLevel="0" collapsed="false">
      <c r="A297" s="24"/>
      <c r="B297" s="24"/>
      <c r="C297" s="22"/>
      <c r="D297" s="25"/>
      <c r="E297" s="24"/>
      <c r="F297" s="24"/>
      <c r="G297" s="24"/>
    </row>
    <row r="298" customFormat="false" ht="15" hidden="false" customHeight="false" outlineLevel="0" collapsed="false">
      <c r="A298" s="24"/>
      <c r="B298" s="24"/>
      <c r="C298" s="22"/>
      <c r="D298" s="25"/>
      <c r="E298" s="24"/>
      <c r="F298" s="24"/>
      <c r="G298" s="24"/>
    </row>
    <row r="299" customFormat="false" ht="15" hidden="false" customHeight="false" outlineLevel="0" collapsed="false">
      <c r="A299" s="24"/>
      <c r="B299" s="24"/>
      <c r="C299" s="22"/>
      <c r="D299" s="25"/>
      <c r="E299" s="24"/>
      <c r="F299" s="24"/>
      <c r="G299" s="24"/>
    </row>
    <row r="300" customFormat="false" ht="15" hidden="false" customHeight="false" outlineLevel="0" collapsed="false">
      <c r="A300" s="24"/>
      <c r="B300" s="24"/>
      <c r="C300" s="22"/>
      <c r="D300" s="25"/>
      <c r="E300" s="24"/>
      <c r="F300" s="24"/>
      <c r="G300" s="24"/>
    </row>
    <row r="301" customFormat="false" ht="15" hidden="false" customHeight="false" outlineLevel="0" collapsed="false">
      <c r="A301" s="24"/>
      <c r="B301" s="24"/>
      <c r="C301" s="22"/>
      <c r="D301" s="25"/>
      <c r="E301" s="24"/>
      <c r="F301" s="24"/>
      <c r="G301" s="24"/>
    </row>
    <row r="302" customFormat="false" ht="15" hidden="false" customHeight="false" outlineLevel="0" collapsed="false">
      <c r="A302" s="24"/>
      <c r="B302" s="24"/>
      <c r="C302" s="22"/>
      <c r="D302" s="25"/>
      <c r="E302" s="24"/>
      <c r="F302" s="24"/>
      <c r="G302" s="24"/>
    </row>
    <row r="303" customFormat="false" ht="15" hidden="false" customHeight="false" outlineLevel="0" collapsed="false">
      <c r="A303" s="24"/>
      <c r="B303" s="24"/>
      <c r="C303" s="22"/>
      <c r="D303" s="25"/>
      <c r="E303" s="24"/>
      <c r="F303" s="24"/>
      <c r="G303" s="24"/>
    </row>
    <row r="304" customFormat="false" ht="15" hidden="false" customHeight="false" outlineLevel="0" collapsed="false">
      <c r="A304" s="24"/>
      <c r="B304" s="24"/>
      <c r="C304" s="22"/>
      <c r="D304" s="25"/>
      <c r="E304" s="24"/>
      <c r="F304" s="24"/>
      <c r="G304" s="24"/>
    </row>
    <row r="305" customFormat="false" ht="15" hidden="false" customHeight="false" outlineLevel="0" collapsed="false">
      <c r="A305" s="24"/>
      <c r="B305" s="24"/>
      <c r="C305" s="22"/>
      <c r="D305" s="25"/>
      <c r="E305" s="24"/>
      <c r="F305" s="24"/>
      <c r="G305" s="24"/>
    </row>
    <row r="306" customFormat="false" ht="15" hidden="false" customHeight="false" outlineLevel="0" collapsed="false">
      <c r="A306" s="24"/>
      <c r="B306" s="24"/>
      <c r="C306" s="22"/>
      <c r="D306" s="25"/>
      <c r="E306" s="24"/>
      <c r="F306" s="24"/>
      <c r="G306" s="24"/>
    </row>
    <row r="307" customFormat="false" ht="15" hidden="false" customHeight="false" outlineLevel="0" collapsed="false">
      <c r="A307" s="24"/>
      <c r="B307" s="24"/>
      <c r="C307" s="22"/>
      <c r="D307" s="25"/>
      <c r="E307" s="24"/>
      <c r="F307" s="24"/>
      <c r="G307" s="24"/>
    </row>
    <row r="308" customFormat="false" ht="15" hidden="false" customHeight="false" outlineLevel="0" collapsed="false">
      <c r="A308" s="24"/>
      <c r="B308" s="24"/>
      <c r="C308" s="22"/>
      <c r="D308" s="25"/>
      <c r="E308" s="24"/>
      <c r="F308" s="24"/>
      <c r="G308" s="24"/>
    </row>
    <row r="309" customFormat="false" ht="15" hidden="false" customHeight="false" outlineLevel="0" collapsed="false">
      <c r="A309" s="24"/>
      <c r="B309" s="24"/>
      <c r="C309" s="22"/>
      <c r="D309" s="25"/>
      <c r="E309" s="24"/>
      <c r="F309" s="24"/>
      <c r="G309" s="24"/>
    </row>
    <row r="310" customFormat="false" ht="15" hidden="false" customHeight="false" outlineLevel="0" collapsed="false">
      <c r="A310" s="24"/>
      <c r="B310" s="24"/>
      <c r="C310" s="22"/>
      <c r="D310" s="25"/>
      <c r="E310" s="24"/>
      <c r="F310" s="24"/>
      <c r="G310" s="24"/>
    </row>
    <row r="311" customFormat="false" ht="15" hidden="false" customHeight="false" outlineLevel="0" collapsed="false">
      <c r="A311" s="24"/>
      <c r="B311" s="24"/>
      <c r="C311" s="22"/>
      <c r="D311" s="25"/>
      <c r="E311" s="24"/>
      <c r="F311" s="24"/>
      <c r="G311" s="24"/>
    </row>
    <row r="312" customFormat="false" ht="15" hidden="false" customHeight="false" outlineLevel="0" collapsed="false">
      <c r="A312" s="24"/>
      <c r="B312" s="24"/>
      <c r="C312" s="22"/>
      <c r="D312" s="25"/>
      <c r="E312" s="24"/>
      <c r="F312" s="24"/>
      <c r="G312" s="24"/>
    </row>
    <row r="313" customFormat="false" ht="15" hidden="false" customHeight="false" outlineLevel="0" collapsed="false">
      <c r="A313" s="24"/>
      <c r="B313" s="24"/>
      <c r="C313" s="22"/>
      <c r="D313" s="25"/>
      <c r="E313" s="24"/>
      <c r="F313" s="24"/>
      <c r="G313" s="24"/>
    </row>
    <row r="314" customFormat="false" ht="15" hidden="false" customHeight="false" outlineLevel="0" collapsed="false">
      <c r="A314" s="24"/>
      <c r="B314" s="24"/>
      <c r="C314" s="22"/>
      <c r="D314" s="25"/>
      <c r="E314" s="24"/>
      <c r="F314" s="24"/>
      <c r="G314" s="24"/>
    </row>
    <row r="315" customFormat="false" ht="15" hidden="false" customHeight="false" outlineLevel="0" collapsed="false">
      <c r="A315" s="24"/>
      <c r="B315" s="24"/>
      <c r="C315" s="22"/>
      <c r="D315" s="25"/>
      <c r="E315" s="24"/>
      <c r="F315" s="24"/>
      <c r="G315" s="24"/>
    </row>
    <row r="316" customFormat="false" ht="15" hidden="false" customHeight="false" outlineLevel="0" collapsed="false">
      <c r="A316" s="24"/>
      <c r="B316" s="24"/>
      <c r="C316" s="22"/>
      <c r="D316" s="25"/>
      <c r="E316" s="24"/>
      <c r="F316" s="24"/>
      <c r="G316" s="24"/>
    </row>
    <row r="317" customFormat="false" ht="15" hidden="false" customHeight="false" outlineLevel="0" collapsed="false">
      <c r="A317" s="24"/>
      <c r="B317" s="24"/>
      <c r="C317" s="22"/>
      <c r="D317" s="25"/>
      <c r="E317" s="24"/>
      <c r="F317" s="24"/>
      <c r="G317" s="24"/>
    </row>
    <row r="318" customFormat="false" ht="15" hidden="false" customHeight="false" outlineLevel="0" collapsed="false">
      <c r="A318" s="24"/>
      <c r="B318" s="24"/>
      <c r="C318" s="22"/>
      <c r="D318" s="25"/>
      <c r="E318" s="24"/>
      <c r="F318" s="24"/>
      <c r="G318" s="24"/>
    </row>
    <row r="319" customFormat="false" ht="15" hidden="false" customHeight="false" outlineLevel="0" collapsed="false">
      <c r="A319" s="24"/>
      <c r="B319" s="24"/>
      <c r="C319" s="22"/>
      <c r="D319" s="25"/>
      <c r="E319" s="24"/>
      <c r="F319" s="24"/>
      <c r="G319" s="24"/>
    </row>
    <row r="320" customFormat="false" ht="15" hidden="false" customHeight="false" outlineLevel="0" collapsed="false">
      <c r="A320" s="24"/>
      <c r="B320" s="24"/>
      <c r="C320" s="22"/>
      <c r="D320" s="25"/>
      <c r="E320" s="24"/>
      <c r="F320" s="24"/>
      <c r="G320" s="24"/>
    </row>
    <row r="321" customFormat="false" ht="15" hidden="false" customHeight="false" outlineLevel="0" collapsed="false">
      <c r="A321" s="24"/>
      <c r="B321" s="24"/>
      <c r="C321" s="22"/>
      <c r="D321" s="25"/>
      <c r="E321" s="24"/>
      <c r="F321" s="24"/>
      <c r="G321" s="24"/>
    </row>
    <row r="322" customFormat="false" ht="15" hidden="false" customHeight="false" outlineLevel="0" collapsed="false">
      <c r="A322" s="24"/>
      <c r="B322" s="24"/>
      <c r="C322" s="22"/>
      <c r="D322" s="25"/>
      <c r="E322" s="24"/>
      <c r="F322" s="24"/>
      <c r="G322" s="24"/>
    </row>
    <row r="323" customFormat="false" ht="15" hidden="false" customHeight="false" outlineLevel="0" collapsed="false">
      <c r="A323" s="24"/>
      <c r="B323" s="24"/>
      <c r="C323" s="22"/>
      <c r="D323" s="25"/>
      <c r="E323" s="24"/>
      <c r="F323" s="24"/>
      <c r="G323" s="24"/>
    </row>
    <row r="324" customFormat="false" ht="15" hidden="false" customHeight="false" outlineLevel="0" collapsed="false">
      <c r="A324" s="24"/>
      <c r="B324" s="24"/>
      <c r="C324" s="22"/>
      <c r="D324" s="25"/>
      <c r="E324" s="24"/>
      <c r="F324" s="24"/>
      <c r="G324" s="24"/>
    </row>
    <row r="325" customFormat="false" ht="15" hidden="false" customHeight="false" outlineLevel="0" collapsed="false">
      <c r="A325" s="24"/>
      <c r="B325" s="24"/>
      <c r="C325" s="22"/>
      <c r="D325" s="25"/>
      <c r="E325" s="24"/>
      <c r="F325" s="24"/>
      <c r="G325" s="24"/>
    </row>
    <row r="326" customFormat="false" ht="15" hidden="false" customHeight="false" outlineLevel="0" collapsed="false">
      <c r="A326" s="24"/>
      <c r="B326" s="24"/>
      <c r="C326" s="22"/>
      <c r="D326" s="25"/>
      <c r="E326" s="24"/>
      <c r="F326" s="24"/>
      <c r="G326" s="24"/>
    </row>
    <row r="327" customFormat="false" ht="15" hidden="false" customHeight="false" outlineLevel="0" collapsed="false">
      <c r="A327" s="24"/>
      <c r="B327" s="24"/>
      <c r="C327" s="22"/>
      <c r="D327" s="25"/>
      <c r="E327" s="24"/>
      <c r="F327" s="24"/>
      <c r="G327" s="24"/>
    </row>
    <row r="328" customFormat="false" ht="15" hidden="false" customHeight="false" outlineLevel="0" collapsed="false">
      <c r="A328" s="24"/>
      <c r="B328" s="24"/>
      <c r="C328" s="22"/>
      <c r="D328" s="25"/>
      <c r="E328" s="24"/>
      <c r="F328" s="24"/>
      <c r="G328" s="24"/>
    </row>
    <row r="329" customFormat="false" ht="15" hidden="false" customHeight="false" outlineLevel="0" collapsed="false">
      <c r="A329" s="24"/>
      <c r="B329" s="24"/>
      <c r="C329" s="22"/>
      <c r="D329" s="25"/>
      <c r="E329" s="24"/>
      <c r="F329" s="24"/>
      <c r="G329" s="24"/>
    </row>
    <row r="330" customFormat="false" ht="15" hidden="false" customHeight="false" outlineLevel="0" collapsed="false">
      <c r="A330" s="24"/>
      <c r="B330" s="24"/>
      <c r="C330" s="22"/>
      <c r="D330" s="25"/>
      <c r="E330" s="24"/>
      <c r="F330" s="24"/>
      <c r="G330" s="24"/>
    </row>
    <row r="331" customFormat="false" ht="15" hidden="false" customHeight="false" outlineLevel="0" collapsed="false">
      <c r="A331" s="24"/>
      <c r="B331" s="24"/>
      <c r="C331" s="22"/>
      <c r="D331" s="25"/>
      <c r="E331" s="24"/>
      <c r="F331" s="24"/>
      <c r="G331" s="24"/>
    </row>
    <row r="332" customFormat="false" ht="15" hidden="false" customHeight="false" outlineLevel="0" collapsed="false">
      <c r="A332" s="24"/>
      <c r="B332" s="24"/>
      <c r="C332" s="22"/>
      <c r="D332" s="25"/>
      <c r="E332" s="24"/>
      <c r="F332" s="24"/>
      <c r="G332" s="24"/>
    </row>
    <row r="333" customFormat="false" ht="15" hidden="false" customHeight="false" outlineLevel="0" collapsed="false">
      <c r="A333" s="24"/>
      <c r="B333" s="24"/>
      <c r="C333" s="22"/>
      <c r="D333" s="25"/>
      <c r="E333" s="24"/>
      <c r="F333" s="24"/>
      <c r="G333" s="24"/>
    </row>
    <row r="334" customFormat="false" ht="15" hidden="false" customHeight="false" outlineLevel="0" collapsed="false">
      <c r="A334" s="24"/>
      <c r="B334" s="24"/>
      <c r="C334" s="22"/>
      <c r="D334" s="25"/>
      <c r="E334" s="24"/>
      <c r="F334" s="24"/>
      <c r="G334" s="24"/>
    </row>
    <row r="335" customFormat="false" ht="15" hidden="false" customHeight="false" outlineLevel="0" collapsed="false">
      <c r="A335" s="24"/>
      <c r="B335" s="24"/>
      <c r="C335" s="22"/>
      <c r="D335" s="25"/>
      <c r="E335" s="24"/>
      <c r="F335" s="24"/>
      <c r="G335" s="24"/>
    </row>
    <row r="336" customFormat="false" ht="15" hidden="false" customHeight="false" outlineLevel="0" collapsed="false">
      <c r="A336" s="24"/>
      <c r="B336" s="24"/>
      <c r="C336" s="22"/>
      <c r="D336" s="25"/>
      <c r="E336" s="24"/>
      <c r="F336" s="24"/>
      <c r="G336" s="24"/>
    </row>
    <row r="337" customFormat="false" ht="15" hidden="false" customHeight="false" outlineLevel="0" collapsed="false">
      <c r="A337" s="24"/>
      <c r="B337" s="24"/>
      <c r="C337" s="22"/>
      <c r="D337" s="25"/>
      <c r="E337" s="24"/>
      <c r="F337" s="24"/>
      <c r="G337" s="24"/>
    </row>
    <row r="338" customFormat="false" ht="15" hidden="false" customHeight="false" outlineLevel="0" collapsed="false">
      <c r="A338" s="24"/>
      <c r="B338" s="24"/>
      <c r="C338" s="22"/>
      <c r="D338" s="25"/>
      <c r="E338" s="24"/>
      <c r="F338" s="24"/>
      <c r="G338" s="24"/>
    </row>
    <row r="339" customFormat="false" ht="15" hidden="false" customHeight="false" outlineLevel="0" collapsed="false">
      <c r="A339" s="24"/>
      <c r="B339" s="24"/>
      <c r="C339" s="22"/>
      <c r="D339" s="25"/>
      <c r="E339" s="24"/>
      <c r="F339" s="24"/>
      <c r="G339" s="24"/>
    </row>
    <row r="340" customFormat="false" ht="15" hidden="false" customHeight="false" outlineLevel="0" collapsed="false">
      <c r="A340" s="24"/>
      <c r="B340" s="24"/>
      <c r="C340" s="22"/>
      <c r="D340" s="25"/>
      <c r="E340" s="24"/>
      <c r="F340" s="24"/>
      <c r="G340" s="24"/>
    </row>
    <row r="341" customFormat="false" ht="15" hidden="false" customHeight="false" outlineLevel="0" collapsed="false">
      <c r="A341" s="24"/>
      <c r="B341" s="24"/>
      <c r="C341" s="22"/>
      <c r="D341" s="25"/>
      <c r="E341" s="24"/>
      <c r="F341" s="24"/>
      <c r="G341" s="24"/>
    </row>
    <row r="342" customFormat="false" ht="15" hidden="false" customHeight="false" outlineLevel="0" collapsed="false">
      <c r="A342" s="24"/>
      <c r="B342" s="24"/>
      <c r="C342" s="22"/>
      <c r="D342" s="25"/>
      <c r="E342" s="24"/>
      <c r="F342" s="24"/>
      <c r="G342" s="24"/>
    </row>
    <row r="343" customFormat="false" ht="15" hidden="false" customHeight="false" outlineLevel="0" collapsed="false">
      <c r="A343" s="24"/>
      <c r="B343" s="24"/>
      <c r="C343" s="22"/>
      <c r="D343" s="25"/>
      <c r="E343" s="24"/>
      <c r="F343" s="24"/>
      <c r="G343" s="24"/>
    </row>
    <row r="344" customFormat="false" ht="15" hidden="false" customHeight="false" outlineLevel="0" collapsed="false">
      <c r="A344" s="24"/>
      <c r="B344" s="24"/>
      <c r="C344" s="22"/>
      <c r="D344" s="25"/>
      <c r="E344" s="24"/>
      <c r="F344" s="24"/>
      <c r="G344" s="24"/>
    </row>
    <row r="345" customFormat="false" ht="15" hidden="false" customHeight="false" outlineLevel="0" collapsed="false">
      <c r="A345" s="24"/>
      <c r="B345" s="24"/>
      <c r="C345" s="22"/>
      <c r="D345" s="25"/>
      <c r="E345" s="24"/>
      <c r="F345" s="24"/>
      <c r="G345" s="24"/>
    </row>
    <row r="346" customFormat="false" ht="15" hidden="false" customHeight="false" outlineLevel="0" collapsed="false">
      <c r="A346" s="24"/>
      <c r="B346" s="24"/>
      <c r="C346" s="22"/>
      <c r="D346" s="25"/>
      <c r="E346" s="24"/>
      <c r="F346" s="24"/>
      <c r="G346" s="24"/>
    </row>
    <row r="347" customFormat="false" ht="15" hidden="false" customHeight="false" outlineLevel="0" collapsed="false">
      <c r="A347" s="24"/>
      <c r="B347" s="24"/>
      <c r="C347" s="22"/>
      <c r="D347" s="25"/>
      <c r="E347" s="24"/>
      <c r="F347" s="24"/>
      <c r="G347" s="24"/>
    </row>
    <row r="348" customFormat="false" ht="15" hidden="false" customHeight="false" outlineLevel="0" collapsed="false">
      <c r="A348" s="24"/>
      <c r="B348" s="24"/>
      <c r="C348" s="22"/>
      <c r="D348" s="25"/>
      <c r="E348" s="24"/>
      <c r="F348" s="24"/>
      <c r="G348" s="24"/>
    </row>
    <row r="349" customFormat="false" ht="15" hidden="false" customHeight="false" outlineLevel="0" collapsed="false">
      <c r="A349" s="24"/>
      <c r="B349" s="24"/>
      <c r="C349" s="22"/>
      <c r="D349" s="25"/>
      <c r="E349" s="24"/>
      <c r="F349" s="24"/>
      <c r="G349" s="24"/>
    </row>
    <row r="350" customFormat="false" ht="15" hidden="false" customHeight="false" outlineLevel="0" collapsed="false">
      <c r="A350" s="24"/>
      <c r="B350" s="24"/>
      <c r="C350" s="22"/>
      <c r="D350" s="25"/>
      <c r="E350" s="24"/>
      <c r="F350" s="24"/>
      <c r="G350" s="24"/>
    </row>
    <row r="351" customFormat="false" ht="15" hidden="false" customHeight="false" outlineLevel="0" collapsed="false">
      <c r="A351" s="24"/>
      <c r="B351" s="24"/>
      <c r="C351" s="22"/>
      <c r="D351" s="25"/>
      <c r="E351" s="24"/>
      <c r="F351" s="24"/>
      <c r="G351" s="24"/>
    </row>
    <row r="352" customFormat="false" ht="15" hidden="false" customHeight="false" outlineLevel="0" collapsed="false">
      <c r="A352" s="24"/>
      <c r="B352" s="24"/>
      <c r="C352" s="22"/>
      <c r="D352" s="25"/>
      <c r="E352" s="24"/>
      <c r="F352" s="24"/>
      <c r="G352" s="24"/>
    </row>
    <row r="353" customFormat="false" ht="15" hidden="false" customHeight="false" outlineLevel="0" collapsed="false">
      <c r="A353" s="24"/>
      <c r="B353" s="24"/>
      <c r="C353" s="22"/>
      <c r="D353" s="25"/>
      <c r="E353" s="24"/>
      <c r="F353" s="24"/>
      <c r="G353" s="24"/>
    </row>
    <row r="354" customFormat="false" ht="15" hidden="false" customHeight="false" outlineLevel="0" collapsed="false">
      <c r="A354" s="24"/>
      <c r="B354" s="24"/>
      <c r="C354" s="22"/>
      <c r="D354" s="25"/>
      <c r="E354" s="24"/>
      <c r="F354" s="24"/>
      <c r="G354" s="24"/>
    </row>
    <row r="355" customFormat="false" ht="15" hidden="false" customHeight="false" outlineLevel="0" collapsed="false">
      <c r="A355" s="24"/>
      <c r="B355" s="24"/>
      <c r="C355" s="22"/>
      <c r="D355" s="25"/>
      <c r="E355" s="24"/>
      <c r="F355" s="24"/>
      <c r="G355" s="24"/>
    </row>
    <row r="356" customFormat="false" ht="15" hidden="false" customHeight="false" outlineLevel="0" collapsed="false">
      <c r="A356" s="24"/>
      <c r="B356" s="24"/>
      <c r="C356" s="22"/>
      <c r="D356" s="25"/>
      <c r="E356" s="24"/>
      <c r="F356" s="24"/>
      <c r="G356" s="24"/>
    </row>
    <row r="357" customFormat="false" ht="15" hidden="false" customHeight="false" outlineLevel="0" collapsed="false">
      <c r="A357" s="24"/>
      <c r="B357" s="24"/>
      <c r="C357" s="22"/>
      <c r="D357" s="25"/>
      <c r="E357" s="24"/>
      <c r="F357" s="24"/>
      <c r="G357" s="24"/>
    </row>
    <row r="358" customFormat="false" ht="15" hidden="false" customHeight="false" outlineLevel="0" collapsed="false">
      <c r="A358" s="24"/>
      <c r="B358" s="24"/>
      <c r="C358" s="22"/>
      <c r="D358" s="25"/>
      <c r="E358" s="24"/>
      <c r="F358" s="24"/>
      <c r="G358" s="24"/>
    </row>
    <row r="359" customFormat="false" ht="15" hidden="false" customHeight="false" outlineLevel="0" collapsed="false">
      <c r="A359" s="24"/>
      <c r="B359" s="24"/>
      <c r="C359" s="22"/>
      <c r="D359" s="25"/>
      <c r="E359" s="24"/>
      <c r="F359" s="24"/>
      <c r="G359" s="24"/>
    </row>
    <row r="360" customFormat="false" ht="15" hidden="false" customHeight="false" outlineLevel="0" collapsed="false">
      <c r="A360" s="24"/>
      <c r="B360" s="24"/>
      <c r="C360" s="22"/>
      <c r="D360" s="25"/>
      <c r="E360" s="24"/>
      <c r="F360" s="24"/>
      <c r="G360" s="24"/>
    </row>
    <row r="361" customFormat="false" ht="15" hidden="false" customHeight="false" outlineLevel="0" collapsed="false">
      <c r="A361" s="24"/>
      <c r="B361" s="24"/>
      <c r="C361" s="22"/>
      <c r="D361" s="25"/>
      <c r="E361" s="24"/>
      <c r="F361" s="24"/>
      <c r="G361" s="24"/>
    </row>
    <row r="362" customFormat="false" ht="15" hidden="false" customHeight="false" outlineLevel="0" collapsed="false">
      <c r="A362" s="24"/>
      <c r="B362" s="24"/>
      <c r="C362" s="22"/>
      <c r="D362" s="25"/>
      <c r="E362" s="24"/>
      <c r="F362" s="24"/>
      <c r="G362" s="24"/>
    </row>
    <row r="363" customFormat="false" ht="15" hidden="false" customHeight="false" outlineLevel="0" collapsed="false">
      <c r="A363" s="24"/>
      <c r="B363" s="24"/>
      <c r="C363" s="22"/>
      <c r="D363" s="25"/>
      <c r="E363" s="24"/>
      <c r="F363" s="24"/>
      <c r="G363" s="24"/>
    </row>
    <row r="364" customFormat="false" ht="15" hidden="false" customHeight="false" outlineLevel="0" collapsed="false">
      <c r="A364" s="24"/>
      <c r="B364" s="24"/>
      <c r="C364" s="22"/>
      <c r="D364" s="25"/>
      <c r="E364" s="24"/>
      <c r="F364" s="24"/>
      <c r="G364" s="24"/>
    </row>
    <row r="365" customFormat="false" ht="15" hidden="false" customHeight="false" outlineLevel="0" collapsed="false">
      <c r="A365" s="24"/>
      <c r="B365" s="24"/>
      <c r="C365" s="22"/>
      <c r="D365" s="25"/>
      <c r="E365" s="24"/>
      <c r="F365" s="24"/>
      <c r="G365" s="24"/>
    </row>
    <row r="366" customFormat="false" ht="15" hidden="false" customHeight="false" outlineLevel="0" collapsed="false">
      <c r="A366" s="24"/>
      <c r="B366" s="24"/>
      <c r="C366" s="22"/>
      <c r="D366" s="25"/>
      <c r="E366" s="24"/>
      <c r="F366" s="24"/>
      <c r="G366" s="24"/>
    </row>
    <row r="367" customFormat="false" ht="15" hidden="false" customHeight="false" outlineLevel="0" collapsed="false">
      <c r="A367" s="24"/>
      <c r="B367" s="24"/>
      <c r="C367" s="22"/>
      <c r="D367" s="25"/>
      <c r="E367" s="24"/>
      <c r="F367" s="24"/>
      <c r="G367" s="24"/>
    </row>
    <row r="368" customFormat="false" ht="15" hidden="false" customHeight="false" outlineLevel="0" collapsed="false">
      <c r="A368" s="24"/>
      <c r="B368" s="24"/>
      <c r="C368" s="22"/>
      <c r="D368" s="25"/>
      <c r="E368" s="24"/>
      <c r="F368" s="24"/>
      <c r="G368" s="24"/>
    </row>
    <row r="369" customFormat="false" ht="15" hidden="false" customHeight="false" outlineLevel="0" collapsed="false">
      <c r="A369" s="24"/>
      <c r="B369" s="24"/>
      <c r="C369" s="22"/>
      <c r="D369" s="25"/>
      <c r="E369" s="24"/>
      <c r="F369" s="24"/>
      <c r="G369" s="24"/>
    </row>
    <row r="370" customFormat="false" ht="15" hidden="false" customHeight="false" outlineLevel="0" collapsed="false">
      <c r="A370" s="24"/>
      <c r="B370" s="24"/>
      <c r="C370" s="22"/>
      <c r="D370" s="25"/>
      <c r="E370" s="24"/>
      <c r="F370" s="24"/>
      <c r="G370" s="24"/>
    </row>
    <row r="371" customFormat="false" ht="15" hidden="false" customHeight="false" outlineLevel="0" collapsed="false">
      <c r="A371" s="24"/>
      <c r="B371" s="24"/>
      <c r="C371" s="22"/>
      <c r="D371" s="25"/>
      <c r="E371" s="24"/>
      <c r="F371" s="24"/>
      <c r="G371" s="24"/>
    </row>
    <row r="372" customFormat="false" ht="15" hidden="false" customHeight="false" outlineLevel="0" collapsed="false">
      <c r="A372" s="24"/>
      <c r="B372" s="24"/>
      <c r="C372" s="22"/>
      <c r="D372" s="25"/>
      <c r="E372" s="24"/>
      <c r="F372" s="24"/>
      <c r="G372" s="24"/>
    </row>
    <row r="373" customFormat="false" ht="15" hidden="false" customHeight="false" outlineLevel="0" collapsed="false">
      <c r="A373" s="24"/>
      <c r="B373" s="24"/>
      <c r="C373" s="22"/>
      <c r="D373" s="25"/>
      <c r="E373" s="24"/>
      <c r="F373" s="24"/>
      <c r="G373" s="24"/>
    </row>
    <row r="374" customFormat="false" ht="15" hidden="false" customHeight="false" outlineLevel="0" collapsed="false">
      <c r="A374" s="24"/>
      <c r="B374" s="24"/>
      <c r="C374" s="22"/>
      <c r="D374" s="25"/>
      <c r="E374" s="24"/>
      <c r="F374" s="24"/>
      <c r="G374" s="24"/>
    </row>
    <row r="375" customFormat="false" ht="15" hidden="false" customHeight="false" outlineLevel="0" collapsed="false">
      <c r="A375" s="24"/>
      <c r="B375" s="24"/>
      <c r="C375" s="22"/>
      <c r="D375" s="25"/>
      <c r="E375" s="24"/>
      <c r="F375" s="24"/>
      <c r="G375" s="24"/>
    </row>
    <row r="376" customFormat="false" ht="15" hidden="false" customHeight="false" outlineLevel="0" collapsed="false">
      <c r="A376" s="24"/>
      <c r="B376" s="24"/>
      <c r="C376" s="22"/>
      <c r="D376" s="25"/>
      <c r="E376" s="24"/>
      <c r="F376" s="24"/>
      <c r="G376" s="24"/>
    </row>
    <row r="377" customFormat="false" ht="15" hidden="false" customHeight="false" outlineLevel="0" collapsed="false">
      <c r="A377" s="24"/>
      <c r="B377" s="24"/>
      <c r="C377" s="22"/>
      <c r="D377" s="25"/>
      <c r="E377" s="24"/>
      <c r="F377" s="24"/>
      <c r="G377" s="24"/>
    </row>
    <row r="378" customFormat="false" ht="15" hidden="false" customHeight="false" outlineLevel="0" collapsed="false">
      <c r="A378" s="24"/>
      <c r="B378" s="24"/>
      <c r="C378" s="22"/>
      <c r="D378" s="25"/>
      <c r="E378" s="24"/>
      <c r="F378" s="24"/>
      <c r="G378" s="24"/>
    </row>
    <row r="379" customFormat="false" ht="15" hidden="false" customHeight="false" outlineLevel="0" collapsed="false">
      <c r="A379" s="24"/>
      <c r="B379" s="24"/>
      <c r="C379" s="22"/>
      <c r="D379" s="25"/>
      <c r="E379" s="24"/>
      <c r="F379" s="24"/>
      <c r="G379" s="24"/>
    </row>
    <row r="380" customFormat="false" ht="15" hidden="false" customHeight="false" outlineLevel="0" collapsed="false">
      <c r="A380" s="24"/>
      <c r="B380" s="24"/>
      <c r="C380" s="22"/>
      <c r="D380" s="25"/>
      <c r="E380" s="24"/>
      <c r="F380" s="24"/>
      <c r="G380" s="24"/>
    </row>
    <row r="381" customFormat="false" ht="15" hidden="false" customHeight="false" outlineLevel="0" collapsed="false">
      <c r="A381" s="24"/>
      <c r="B381" s="24"/>
      <c r="C381" s="22"/>
      <c r="D381" s="25"/>
      <c r="E381" s="24"/>
      <c r="F381" s="24"/>
      <c r="G381" s="24"/>
    </row>
    <row r="382" customFormat="false" ht="15" hidden="false" customHeight="false" outlineLevel="0" collapsed="false">
      <c r="A382" s="24"/>
      <c r="B382" s="24"/>
      <c r="C382" s="22"/>
      <c r="D382" s="25"/>
      <c r="E382" s="24"/>
      <c r="F382" s="24"/>
      <c r="G382" s="24"/>
    </row>
    <row r="383" customFormat="false" ht="15" hidden="false" customHeight="false" outlineLevel="0" collapsed="false">
      <c r="A383" s="24"/>
      <c r="B383" s="24"/>
      <c r="C383" s="22"/>
      <c r="D383" s="25"/>
      <c r="E383" s="24"/>
      <c r="F383" s="24"/>
      <c r="G383" s="24"/>
    </row>
    <row r="384" customFormat="false" ht="15" hidden="false" customHeight="false" outlineLevel="0" collapsed="false">
      <c r="A384" s="24"/>
      <c r="B384" s="24"/>
      <c r="C384" s="22"/>
      <c r="D384" s="25"/>
      <c r="E384" s="24"/>
      <c r="F384" s="24"/>
      <c r="G384" s="24"/>
    </row>
    <row r="385" customFormat="false" ht="15" hidden="false" customHeight="false" outlineLevel="0" collapsed="false">
      <c r="A385" s="24"/>
      <c r="B385" s="24"/>
      <c r="C385" s="22"/>
      <c r="D385" s="25"/>
      <c r="E385" s="24"/>
      <c r="F385" s="24"/>
      <c r="G385" s="24"/>
    </row>
    <row r="386" customFormat="false" ht="15" hidden="false" customHeight="false" outlineLevel="0" collapsed="false">
      <c r="A386" s="24"/>
      <c r="B386" s="24"/>
      <c r="C386" s="22"/>
      <c r="D386" s="25"/>
      <c r="E386" s="24"/>
      <c r="F386" s="24"/>
      <c r="G386" s="24"/>
    </row>
    <row r="387" customFormat="false" ht="15" hidden="false" customHeight="false" outlineLevel="0" collapsed="false">
      <c r="A387" s="24"/>
      <c r="B387" s="24"/>
      <c r="C387" s="22"/>
      <c r="D387" s="25"/>
      <c r="E387" s="24"/>
      <c r="F387" s="24"/>
      <c r="G387" s="24"/>
    </row>
    <row r="388" customFormat="false" ht="15" hidden="false" customHeight="false" outlineLevel="0" collapsed="false">
      <c r="A388" s="24"/>
      <c r="B388" s="24"/>
      <c r="C388" s="22"/>
      <c r="D388" s="25"/>
      <c r="E388" s="24"/>
      <c r="F388" s="24"/>
      <c r="G388" s="24"/>
    </row>
    <row r="389" customFormat="false" ht="15" hidden="false" customHeight="false" outlineLevel="0" collapsed="false">
      <c r="A389" s="24"/>
      <c r="B389" s="24"/>
      <c r="C389" s="22"/>
      <c r="D389" s="25"/>
      <c r="E389" s="24"/>
      <c r="F389" s="24"/>
      <c r="G389" s="24"/>
    </row>
    <row r="390" customFormat="false" ht="15" hidden="false" customHeight="false" outlineLevel="0" collapsed="false">
      <c r="A390" s="24"/>
      <c r="B390" s="24"/>
      <c r="C390" s="22"/>
      <c r="D390" s="25"/>
      <c r="E390" s="24"/>
      <c r="F390" s="24"/>
      <c r="G390" s="24"/>
    </row>
    <row r="391" customFormat="false" ht="15" hidden="false" customHeight="false" outlineLevel="0" collapsed="false">
      <c r="A391" s="24"/>
      <c r="B391" s="24"/>
      <c r="C391" s="22"/>
      <c r="D391" s="25"/>
      <c r="E391" s="24"/>
      <c r="F391" s="24"/>
      <c r="G391" s="24"/>
    </row>
    <row r="392" customFormat="false" ht="15" hidden="false" customHeight="false" outlineLevel="0" collapsed="false">
      <c r="A392" s="24"/>
      <c r="B392" s="24"/>
      <c r="C392" s="22"/>
      <c r="D392" s="25"/>
      <c r="E392" s="24"/>
      <c r="F392" s="24"/>
      <c r="G392" s="24"/>
    </row>
    <row r="393" customFormat="false" ht="15" hidden="false" customHeight="false" outlineLevel="0" collapsed="false">
      <c r="A393" s="24"/>
      <c r="B393" s="24"/>
      <c r="C393" s="22"/>
      <c r="D393" s="25"/>
      <c r="E393" s="24"/>
      <c r="F393" s="24"/>
      <c r="G393" s="24"/>
    </row>
    <row r="394" customFormat="false" ht="15" hidden="false" customHeight="false" outlineLevel="0" collapsed="false">
      <c r="A394" s="24"/>
      <c r="B394" s="24"/>
      <c r="C394" s="22"/>
      <c r="D394" s="25"/>
      <c r="E394" s="24"/>
      <c r="F394" s="24"/>
      <c r="G394" s="24"/>
    </row>
    <row r="395" customFormat="false" ht="15" hidden="false" customHeight="false" outlineLevel="0" collapsed="false">
      <c r="A395" s="24"/>
      <c r="B395" s="24"/>
      <c r="C395" s="22"/>
      <c r="D395" s="25"/>
      <c r="E395" s="24"/>
      <c r="F395" s="24"/>
      <c r="G395" s="24"/>
    </row>
    <row r="396" customFormat="false" ht="15" hidden="false" customHeight="false" outlineLevel="0" collapsed="false">
      <c r="A396" s="24"/>
      <c r="B396" s="24"/>
      <c r="C396" s="22"/>
      <c r="D396" s="25"/>
      <c r="E396" s="24"/>
      <c r="F396" s="24"/>
      <c r="G396" s="24"/>
    </row>
    <row r="397" customFormat="false" ht="15" hidden="false" customHeight="false" outlineLevel="0" collapsed="false">
      <c r="A397" s="24"/>
      <c r="B397" s="24"/>
      <c r="C397" s="22"/>
      <c r="D397" s="25"/>
      <c r="E397" s="24"/>
      <c r="F397" s="24"/>
      <c r="G397" s="24"/>
    </row>
    <row r="398" customFormat="false" ht="15" hidden="false" customHeight="false" outlineLevel="0" collapsed="false">
      <c r="A398" s="24"/>
      <c r="B398" s="24"/>
      <c r="C398" s="22"/>
      <c r="D398" s="25"/>
      <c r="E398" s="24"/>
      <c r="F398" s="24"/>
      <c r="G398" s="24"/>
    </row>
    <row r="399" customFormat="false" ht="15" hidden="false" customHeight="false" outlineLevel="0" collapsed="false">
      <c r="A399" s="24"/>
      <c r="B399" s="24"/>
      <c r="C399" s="22"/>
      <c r="D399" s="25"/>
      <c r="E399" s="24"/>
      <c r="F399" s="24"/>
      <c r="G399" s="24"/>
    </row>
    <row r="400" customFormat="false" ht="15" hidden="false" customHeight="false" outlineLevel="0" collapsed="false">
      <c r="A400" s="24"/>
      <c r="B400" s="24"/>
      <c r="C400" s="22"/>
      <c r="D400" s="25"/>
      <c r="E400" s="24"/>
      <c r="F400" s="24"/>
      <c r="G400" s="24"/>
    </row>
    <row r="401" customFormat="false" ht="15" hidden="false" customHeight="false" outlineLevel="0" collapsed="false">
      <c r="A401" s="24"/>
      <c r="B401" s="24"/>
      <c r="C401" s="22"/>
      <c r="D401" s="25"/>
      <c r="E401" s="24"/>
      <c r="F401" s="24"/>
      <c r="G401" s="24"/>
    </row>
    <row r="402" customFormat="false" ht="15" hidden="false" customHeight="false" outlineLevel="0" collapsed="false">
      <c r="A402" s="24"/>
      <c r="B402" s="24"/>
      <c r="C402" s="22"/>
      <c r="D402" s="25"/>
      <c r="E402" s="24"/>
      <c r="F402" s="24"/>
      <c r="G402" s="24"/>
    </row>
    <row r="403" customFormat="false" ht="15" hidden="false" customHeight="false" outlineLevel="0" collapsed="false">
      <c r="A403" s="24"/>
      <c r="B403" s="24"/>
      <c r="C403" s="22"/>
      <c r="D403" s="25"/>
      <c r="E403" s="24"/>
      <c r="F403" s="24"/>
      <c r="G403" s="24"/>
    </row>
    <row r="404" customFormat="false" ht="15" hidden="false" customHeight="false" outlineLevel="0" collapsed="false">
      <c r="A404" s="24"/>
      <c r="B404" s="24"/>
      <c r="C404" s="22"/>
      <c r="D404" s="25"/>
      <c r="E404" s="24"/>
      <c r="F404" s="24"/>
      <c r="G404" s="24"/>
    </row>
    <row r="405" customFormat="false" ht="15" hidden="false" customHeight="false" outlineLevel="0" collapsed="false">
      <c r="A405" s="24"/>
      <c r="B405" s="24"/>
      <c r="C405" s="22"/>
      <c r="D405" s="25"/>
      <c r="E405" s="24"/>
      <c r="F405" s="24"/>
      <c r="G405" s="24"/>
    </row>
    <row r="406" customFormat="false" ht="15" hidden="false" customHeight="false" outlineLevel="0" collapsed="false">
      <c r="A406" s="24"/>
      <c r="B406" s="24"/>
      <c r="C406" s="22"/>
      <c r="D406" s="25"/>
      <c r="E406" s="24"/>
      <c r="F406" s="24"/>
      <c r="G406" s="24"/>
    </row>
    <row r="407" customFormat="false" ht="15" hidden="false" customHeight="false" outlineLevel="0" collapsed="false">
      <c r="A407" s="24"/>
      <c r="B407" s="24"/>
      <c r="C407" s="22"/>
      <c r="D407" s="25"/>
      <c r="E407" s="24"/>
      <c r="F407" s="24"/>
      <c r="G407" s="24"/>
    </row>
    <row r="408" customFormat="false" ht="15" hidden="false" customHeight="false" outlineLevel="0" collapsed="false">
      <c r="A408" s="24"/>
      <c r="B408" s="24"/>
      <c r="C408" s="22"/>
      <c r="D408" s="25"/>
      <c r="E408" s="24"/>
      <c r="F408" s="24"/>
      <c r="G408" s="24"/>
    </row>
    <row r="409" customFormat="false" ht="15" hidden="false" customHeight="false" outlineLevel="0" collapsed="false">
      <c r="A409" s="24"/>
      <c r="B409" s="24"/>
      <c r="C409" s="22"/>
      <c r="D409" s="25"/>
      <c r="E409" s="24"/>
      <c r="F409" s="24"/>
      <c r="G409" s="24"/>
    </row>
    <row r="410" customFormat="false" ht="15" hidden="false" customHeight="false" outlineLevel="0" collapsed="false">
      <c r="A410" s="24"/>
      <c r="B410" s="24"/>
      <c r="C410" s="22"/>
      <c r="D410" s="25"/>
      <c r="E410" s="24"/>
      <c r="F410" s="24"/>
      <c r="G410" s="24"/>
    </row>
    <row r="411" customFormat="false" ht="15" hidden="false" customHeight="false" outlineLevel="0" collapsed="false">
      <c r="A411" s="24"/>
      <c r="B411" s="24"/>
      <c r="C411" s="22"/>
      <c r="D411" s="25"/>
      <c r="E411" s="24"/>
      <c r="F411" s="24"/>
      <c r="G411" s="24"/>
    </row>
    <row r="412" customFormat="false" ht="15" hidden="false" customHeight="false" outlineLevel="0" collapsed="false">
      <c r="A412" s="24"/>
      <c r="B412" s="24"/>
      <c r="C412" s="22"/>
      <c r="D412" s="25"/>
      <c r="E412" s="24"/>
      <c r="F412" s="24"/>
      <c r="G412" s="24"/>
    </row>
    <row r="413" customFormat="false" ht="15" hidden="false" customHeight="false" outlineLevel="0" collapsed="false">
      <c r="A413" s="24"/>
      <c r="B413" s="24"/>
      <c r="C413" s="22"/>
      <c r="D413" s="25"/>
      <c r="E413" s="24"/>
      <c r="F413" s="24"/>
      <c r="G413" s="24"/>
    </row>
    <row r="414" customFormat="false" ht="15" hidden="false" customHeight="false" outlineLevel="0" collapsed="false">
      <c r="A414" s="24"/>
      <c r="B414" s="24"/>
      <c r="C414" s="22"/>
      <c r="D414" s="25"/>
      <c r="E414" s="24"/>
      <c r="F414" s="24"/>
      <c r="G414" s="24"/>
    </row>
    <row r="415" customFormat="false" ht="15" hidden="false" customHeight="false" outlineLevel="0" collapsed="false">
      <c r="A415" s="24"/>
      <c r="B415" s="24"/>
      <c r="C415" s="22"/>
      <c r="D415" s="25"/>
      <c r="E415" s="24"/>
      <c r="F415" s="24"/>
      <c r="G415" s="24"/>
    </row>
    <row r="416" customFormat="false" ht="15" hidden="false" customHeight="false" outlineLevel="0" collapsed="false">
      <c r="A416" s="24"/>
      <c r="B416" s="24"/>
      <c r="C416" s="22"/>
      <c r="D416" s="25"/>
      <c r="E416" s="24"/>
      <c r="F416" s="24"/>
      <c r="G416" s="24"/>
    </row>
    <row r="417" customFormat="false" ht="15" hidden="false" customHeight="false" outlineLevel="0" collapsed="false">
      <c r="A417" s="24"/>
      <c r="B417" s="24"/>
      <c r="C417" s="22"/>
      <c r="D417" s="25"/>
      <c r="E417" s="24"/>
      <c r="F417" s="24"/>
      <c r="G417" s="24"/>
    </row>
    <row r="418" customFormat="false" ht="15" hidden="false" customHeight="false" outlineLevel="0" collapsed="false">
      <c r="A418" s="24"/>
      <c r="B418" s="24"/>
      <c r="C418" s="22"/>
      <c r="D418" s="25"/>
      <c r="E418" s="24"/>
      <c r="F418" s="24"/>
      <c r="G418" s="24"/>
    </row>
    <row r="419" customFormat="false" ht="15" hidden="false" customHeight="false" outlineLevel="0" collapsed="false">
      <c r="A419" s="24"/>
      <c r="B419" s="24"/>
      <c r="C419" s="22"/>
      <c r="D419" s="25"/>
      <c r="E419" s="24"/>
      <c r="F419" s="24"/>
      <c r="G419" s="24"/>
    </row>
    <row r="420" customFormat="false" ht="15" hidden="false" customHeight="false" outlineLevel="0" collapsed="false">
      <c r="A420" s="24"/>
      <c r="B420" s="24"/>
      <c r="C420" s="22"/>
      <c r="D420" s="25"/>
      <c r="E420" s="24"/>
      <c r="F420" s="24"/>
      <c r="G420" s="24"/>
    </row>
    <row r="421" customFormat="false" ht="15" hidden="false" customHeight="false" outlineLevel="0" collapsed="false">
      <c r="A421" s="24"/>
      <c r="B421" s="24"/>
      <c r="C421" s="22"/>
      <c r="D421" s="25"/>
      <c r="E421" s="24"/>
      <c r="F421" s="24"/>
      <c r="G421" s="24"/>
    </row>
    <row r="422" customFormat="false" ht="15" hidden="false" customHeight="false" outlineLevel="0" collapsed="false">
      <c r="A422" s="24"/>
      <c r="B422" s="24"/>
      <c r="C422" s="22"/>
      <c r="D422" s="25"/>
      <c r="E422" s="24"/>
      <c r="F422" s="24"/>
      <c r="G422" s="24"/>
    </row>
    <row r="423" customFormat="false" ht="15" hidden="false" customHeight="false" outlineLevel="0" collapsed="false">
      <c r="A423" s="24"/>
      <c r="B423" s="24"/>
      <c r="C423" s="22"/>
      <c r="D423" s="25"/>
      <c r="E423" s="24"/>
      <c r="F423" s="24"/>
      <c r="G423" s="24"/>
    </row>
    <row r="424" customFormat="false" ht="15" hidden="false" customHeight="false" outlineLevel="0" collapsed="false">
      <c r="A424" s="24"/>
      <c r="B424" s="24"/>
      <c r="C424" s="22"/>
      <c r="D424" s="25"/>
      <c r="E424" s="24"/>
      <c r="F424" s="24"/>
      <c r="G424" s="24"/>
    </row>
    <row r="425" customFormat="false" ht="15" hidden="false" customHeight="false" outlineLevel="0" collapsed="false">
      <c r="A425" s="24"/>
      <c r="B425" s="24"/>
      <c r="C425" s="22"/>
      <c r="D425" s="25"/>
      <c r="E425" s="24"/>
      <c r="F425" s="24"/>
      <c r="G425" s="24"/>
    </row>
    <row r="426" customFormat="false" ht="15" hidden="false" customHeight="false" outlineLevel="0" collapsed="false">
      <c r="A426" s="24"/>
      <c r="B426" s="24"/>
      <c r="C426" s="22"/>
      <c r="D426" s="25"/>
      <c r="E426" s="24"/>
      <c r="F426" s="24"/>
      <c r="G426" s="24"/>
    </row>
    <row r="427" customFormat="false" ht="15" hidden="false" customHeight="false" outlineLevel="0" collapsed="false">
      <c r="A427" s="24"/>
      <c r="B427" s="24"/>
      <c r="C427" s="22"/>
      <c r="D427" s="25"/>
      <c r="E427" s="24"/>
      <c r="F427" s="24"/>
      <c r="G427" s="24"/>
    </row>
    <row r="428" customFormat="false" ht="15" hidden="false" customHeight="false" outlineLevel="0" collapsed="false">
      <c r="A428" s="24"/>
      <c r="B428" s="24"/>
      <c r="C428" s="22"/>
      <c r="D428" s="25"/>
      <c r="E428" s="24"/>
      <c r="F428" s="24"/>
      <c r="G428" s="24"/>
    </row>
    <row r="429" customFormat="false" ht="15" hidden="false" customHeight="false" outlineLevel="0" collapsed="false">
      <c r="A429" s="24"/>
      <c r="B429" s="24"/>
      <c r="C429" s="22"/>
      <c r="D429" s="25"/>
      <c r="E429" s="24"/>
      <c r="F429" s="24"/>
      <c r="G429" s="24"/>
    </row>
    <row r="430" customFormat="false" ht="15" hidden="false" customHeight="false" outlineLevel="0" collapsed="false">
      <c r="A430" s="24"/>
      <c r="B430" s="24"/>
      <c r="C430" s="22"/>
      <c r="D430" s="25"/>
      <c r="E430" s="24"/>
      <c r="F430" s="24"/>
      <c r="G430" s="24"/>
    </row>
    <row r="431" customFormat="false" ht="15" hidden="false" customHeight="false" outlineLevel="0" collapsed="false">
      <c r="A431" s="24"/>
      <c r="B431" s="24"/>
      <c r="C431" s="22"/>
      <c r="D431" s="25"/>
      <c r="E431" s="24"/>
      <c r="F431" s="24"/>
      <c r="G431" s="24"/>
    </row>
    <row r="432" customFormat="false" ht="15" hidden="false" customHeight="false" outlineLevel="0" collapsed="false">
      <c r="A432" s="24"/>
      <c r="B432" s="24"/>
      <c r="C432" s="22"/>
      <c r="D432" s="25"/>
      <c r="E432" s="24"/>
      <c r="F432" s="24"/>
      <c r="G432" s="24"/>
    </row>
    <row r="433" customFormat="false" ht="15" hidden="false" customHeight="false" outlineLevel="0" collapsed="false">
      <c r="A433" s="24"/>
      <c r="B433" s="24"/>
      <c r="C433" s="22"/>
      <c r="D433" s="25"/>
      <c r="E433" s="24"/>
      <c r="F433" s="24"/>
      <c r="G433" s="24"/>
    </row>
    <row r="434" customFormat="false" ht="15" hidden="false" customHeight="false" outlineLevel="0" collapsed="false">
      <c r="A434" s="24"/>
      <c r="B434" s="24"/>
      <c r="C434" s="22"/>
      <c r="D434" s="25"/>
      <c r="E434" s="24"/>
      <c r="F434" s="24"/>
      <c r="G434" s="24"/>
    </row>
    <row r="435" customFormat="false" ht="15" hidden="false" customHeight="false" outlineLevel="0" collapsed="false">
      <c r="A435" s="24"/>
      <c r="B435" s="24"/>
      <c r="C435" s="22"/>
      <c r="D435" s="25"/>
      <c r="E435" s="24"/>
      <c r="F435" s="24"/>
      <c r="G435" s="24"/>
    </row>
    <row r="436" customFormat="false" ht="15" hidden="false" customHeight="false" outlineLevel="0" collapsed="false">
      <c r="A436" s="24"/>
      <c r="B436" s="24"/>
      <c r="C436" s="22"/>
      <c r="D436" s="25"/>
      <c r="E436" s="24"/>
      <c r="F436" s="24"/>
      <c r="G436" s="24"/>
    </row>
    <row r="437" customFormat="false" ht="15" hidden="false" customHeight="false" outlineLevel="0" collapsed="false">
      <c r="A437" s="24"/>
      <c r="B437" s="24"/>
      <c r="C437" s="22"/>
      <c r="D437" s="25"/>
      <c r="E437" s="24"/>
      <c r="F437" s="24"/>
      <c r="G437" s="24"/>
    </row>
    <row r="438" customFormat="false" ht="15" hidden="false" customHeight="false" outlineLevel="0" collapsed="false">
      <c r="A438" s="24"/>
      <c r="B438" s="24"/>
      <c r="C438" s="22"/>
      <c r="D438" s="25"/>
      <c r="E438" s="24"/>
      <c r="F438" s="24"/>
      <c r="G438" s="24"/>
    </row>
    <row r="439" customFormat="false" ht="15" hidden="false" customHeight="false" outlineLevel="0" collapsed="false">
      <c r="A439" s="24"/>
      <c r="B439" s="24"/>
      <c r="C439" s="22"/>
      <c r="D439" s="25"/>
      <c r="E439" s="24"/>
      <c r="F439" s="24"/>
      <c r="G439" s="24"/>
    </row>
    <row r="440" customFormat="false" ht="15" hidden="false" customHeight="false" outlineLevel="0" collapsed="false">
      <c r="A440" s="24"/>
      <c r="B440" s="24"/>
      <c r="C440" s="22"/>
      <c r="D440" s="25"/>
      <c r="E440" s="24"/>
      <c r="F440" s="24"/>
      <c r="G440" s="24"/>
    </row>
    <row r="441" customFormat="false" ht="15" hidden="false" customHeight="false" outlineLevel="0" collapsed="false">
      <c r="A441" s="24"/>
      <c r="B441" s="24"/>
      <c r="C441" s="22"/>
      <c r="D441" s="25"/>
      <c r="E441" s="24"/>
      <c r="F441" s="24"/>
      <c r="G441" s="24"/>
    </row>
    <row r="442" customFormat="false" ht="15" hidden="false" customHeight="false" outlineLevel="0" collapsed="false">
      <c r="A442" s="24"/>
      <c r="B442" s="24"/>
      <c r="C442" s="22"/>
      <c r="D442" s="25"/>
      <c r="E442" s="24"/>
      <c r="F442" s="24"/>
      <c r="G442" s="24"/>
    </row>
    <row r="443" customFormat="false" ht="15" hidden="false" customHeight="false" outlineLevel="0" collapsed="false">
      <c r="A443" s="24"/>
      <c r="B443" s="24"/>
      <c r="C443" s="22"/>
      <c r="D443" s="25"/>
      <c r="E443" s="24"/>
      <c r="F443" s="24"/>
      <c r="G443" s="24"/>
    </row>
    <row r="444" customFormat="false" ht="15" hidden="false" customHeight="false" outlineLevel="0" collapsed="false">
      <c r="A444" s="24"/>
      <c r="B444" s="24"/>
      <c r="C444" s="22"/>
      <c r="D444" s="25"/>
      <c r="E444" s="24"/>
      <c r="F444" s="24"/>
      <c r="G444" s="24"/>
    </row>
    <row r="445" customFormat="false" ht="15" hidden="false" customHeight="false" outlineLevel="0" collapsed="false">
      <c r="A445" s="24"/>
      <c r="B445" s="24"/>
      <c r="C445" s="22"/>
      <c r="D445" s="25"/>
      <c r="E445" s="24"/>
      <c r="F445" s="24"/>
      <c r="G445" s="24"/>
    </row>
    <row r="446" customFormat="false" ht="15" hidden="false" customHeight="false" outlineLevel="0" collapsed="false">
      <c r="A446" s="24"/>
      <c r="B446" s="24"/>
      <c r="C446" s="22"/>
      <c r="D446" s="25"/>
      <c r="E446" s="24"/>
      <c r="F446" s="24"/>
      <c r="G446" s="24"/>
    </row>
    <row r="447" customFormat="false" ht="15" hidden="false" customHeight="false" outlineLevel="0" collapsed="false">
      <c r="A447" s="24"/>
      <c r="B447" s="24"/>
      <c r="C447" s="22"/>
      <c r="D447" s="25"/>
      <c r="E447" s="24"/>
      <c r="F447" s="24"/>
      <c r="G447" s="24"/>
    </row>
    <row r="448" customFormat="false" ht="15" hidden="false" customHeight="false" outlineLevel="0" collapsed="false">
      <c r="A448" s="24"/>
      <c r="B448" s="24"/>
      <c r="C448" s="22"/>
      <c r="D448" s="25"/>
      <c r="E448" s="24"/>
      <c r="F448" s="24"/>
      <c r="G448" s="24"/>
    </row>
    <row r="449" customFormat="false" ht="15" hidden="false" customHeight="false" outlineLevel="0" collapsed="false">
      <c r="A449" s="24"/>
      <c r="B449" s="24"/>
      <c r="C449" s="22"/>
      <c r="D449" s="25"/>
      <c r="E449" s="24"/>
      <c r="F449" s="24"/>
      <c r="G449" s="24"/>
    </row>
    <row r="450" customFormat="false" ht="15" hidden="false" customHeight="false" outlineLevel="0" collapsed="false">
      <c r="A450" s="24"/>
      <c r="B450" s="24"/>
      <c r="C450" s="22"/>
      <c r="D450" s="25"/>
      <c r="E450" s="24"/>
      <c r="F450" s="24"/>
      <c r="G450" s="24"/>
    </row>
    <row r="451" customFormat="false" ht="15" hidden="false" customHeight="false" outlineLevel="0" collapsed="false">
      <c r="A451" s="24"/>
      <c r="B451" s="24"/>
      <c r="C451" s="22"/>
      <c r="D451" s="25"/>
      <c r="E451" s="24"/>
      <c r="F451" s="24"/>
      <c r="G451" s="24"/>
    </row>
    <row r="452" customFormat="false" ht="15" hidden="false" customHeight="false" outlineLevel="0" collapsed="false">
      <c r="A452" s="24"/>
      <c r="B452" s="24"/>
      <c r="C452" s="22"/>
      <c r="D452" s="25"/>
      <c r="E452" s="24"/>
      <c r="F452" s="24"/>
      <c r="G452" s="24"/>
    </row>
    <row r="453" customFormat="false" ht="15" hidden="false" customHeight="false" outlineLevel="0" collapsed="false">
      <c r="A453" s="24"/>
      <c r="B453" s="24"/>
      <c r="C453" s="22"/>
      <c r="D453" s="25"/>
      <c r="E453" s="24"/>
      <c r="F453" s="24"/>
      <c r="G453" s="24"/>
    </row>
    <row r="454" customFormat="false" ht="15" hidden="false" customHeight="false" outlineLevel="0" collapsed="false">
      <c r="A454" s="24"/>
      <c r="B454" s="24"/>
      <c r="C454" s="22"/>
      <c r="D454" s="25"/>
      <c r="E454" s="24"/>
      <c r="F454" s="24"/>
      <c r="G454" s="24"/>
    </row>
    <row r="455" customFormat="false" ht="15" hidden="false" customHeight="false" outlineLevel="0" collapsed="false">
      <c r="A455" s="24"/>
      <c r="B455" s="24"/>
      <c r="C455" s="22"/>
      <c r="D455" s="25"/>
      <c r="E455" s="24"/>
      <c r="F455" s="24"/>
      <c r="G455" s="24"/>
    </row>
    <row r="456" customFormat="false" ht="15" hidden="false" customHeight="false" outlineLevel="0" collapsed="false">
      <c r="A456" s="24"/>
      <c r="B456" s="24"/>
      <c r="C456" s="22"/>
      <c r="D456" s="25"/>
      <c r="E456" s="24"/>
      <c r="F456" s="24"/>
      <c r="G456" s="24"/>
    </row>
    <row r="457" customFormat="false" ht="15" hidden="false" customHeight="false" outlineLevel="0" collapsed="false">
      <c r="A457" s="24"/>
      <c r="B457" s="24"/>
      <c r="C457" s="22"/>
      <c r="D457" s="25"/>
      <c r="E457" s="24"/>
      <c r="F457" s="24"/>
      <c r="G457" s="24"/>
    </row>
    <row r="458" customFormat="false" ht="15" hidden="false" customHeight="false" outlineLevel="0" collapsed="false">
      <c r="A458" s="24"/>
      <c r="B458" s="24"/>
      <c r="C458" s="22"/>
      <c r="D458" s="25"/>
      <c r="E458" s="24"/>
      <c r="F458" s="24"/>
      <c r="G458" s="24"/>
    </row>
    <row r="459" customFormat="false" ht="15" hidden="false" customHeight="false" outlineLevel="0" collapsed="false">
      <c r="A459" s="24"/>
      <c r="B459" s="24"/>
      <c r="C459" s="22"/>
      <c r="D459" s="25"/>
      <c r="E459" s="24"/>
      <c r="F459" s="24"/>
      <c r="G459" s="24"/>
    </row>
    <row r="460" customFormat="false" ht="15" hidden="false" customHeight="false" outlineLevel="0" collapsed="false">
      <c r="A460" s="24"/>
      <c r="B460" s="24"/>
      <c r="C460" s="22"/>
      <c r="D460" s="25"/>
      <c r="E460" s="24"/>
      <c r="F460" s="24"/>
      <c r="G460" s="24"/>
    </row>
    <row r="461" customFormat="false" ht="15" hidden="false" customHeight="false" outlineLevel="0" collapsed="false">
      <c r="A461" s="24"/>
      <c r="B461" s="24"/>
      <c r="C461" s="22"/>
      <c r="D461" s="25"/>
      <c r="E461" s="24"/>
      <c r="F461" s="24"/>
      <c r="G461" s="24"/>
    </row>
    <row r="462" customFormat="false" ht="15" hidden="false" customHeight="false" outlineLevel="0" collapsed="false">
      <c r="A462" s="24"/>
      <c r="B462" s="24"/>
      <c r="C462" s="22"/>
      <c r="D462" s="25"/>
      <c r="E462" s="24"/>
      <c r="F462" s="24"/>
      <c r="G462" s="24"/>
    </row>
    <row r="463" customFormat="false" ht="15" hidden="false" customHeight="false" outlineLevel="0" collapsed="false">
      <c r="A463" s="24"/>
      <c r="B463" s="24"/>
      <c r="C463" s="22"/>
      <c r="D463" s="25"/>
      <c r="E463" s="24"/>
      <c r="F463" s="24"/>
      <c r="G463" s="24"/>
    </row>
    <row r="464" customFormat="false" ht="15" hidden="false" customHeight="false" outlineLevel="0" collapsed="false">
      <c r="A464" s="24"/>
      <c r="B464" s="24"/>
      <c r="C464" s="22"/>
      <c r="D464" s="25"/>
      <c r="E464" s="24"/>
      <c r="F464" s="24"/>
      <c r="G464" s="24"/>
    </row>
    <row r="465" customFormat="false" ht="15" hidden="false" customHeight="false" outlineLevel="0" collapsed="false">
      <c r="A465" s="24"/>
      <c r="B465" s="24"/>
      <c r="C465" s="22"/>
      <c r="D465" s="25"/>
      <c r="E465" s="24"/>
      <c r="F465" s="24"/>
      <c r="G465" s="24"/>
    </row>
    <row r="466" customFormat="false" ht="15" hidden="false" customHeight="false" outlineLevel="0" collapsed="false">
      <c r="A466" s="24"/>
      <c r="B466" s="24"/>
      <c r="C466" s="22"/>
      <c r="D466" s="25"/>
      <c r="E466" s="24"/>
      <c r="F466" s="24"/>
      <c r="G466" s="24"/>
    </row>
    <row r="467" customFormat="false" ht="15" hidden="false" customHeight="false" outlineLevel="0" collapsed="false">
      <c r="A467" s="24"/>
      <c r="B467" s="24"/>
      <c r="C467" s="22"/>
      <c r="D467" s="25"/>
      <c r="E467" s="24"/>
      <c r="F467" s="24"/>
      <c r="G467" s="24"/>
    </row>
    <row r="468" customFormat="false" ht="15" hidden="false" customHeight="false" outlineLevel="0" collapsed="false">
      <c r="A468" s="24"/>
      <c r="B468" s="24"/>
      <c r="C468" s="22"/>
      <c r="D468" s="25"/>
      <c r="E468" s="24"/>
      <c r="F468" s="24"/>
      <c r="G468" s="24"/>
    </row>
    <row r="469" customFormat="false" ht="15" hidden="false" customHeight="false" outlineLevel="0" collapsed="false">
      <c r="A469" s="24"/>
      <c r="B469" s="24"/>
      <c r="C469" s="22"/>
      <c r="D469" s="25"/>
      <c r="E469" s="24"/>
      <c r="F469" s="24"/>
      <c r="G469" s="24"/>
    </row>
    <row r="470" customFormat="false" ht="15" hidden="false" customHeight="false" outlineLevel="0" collapsed="false">
      <c r="A470" s="24"/>
      <c r="B470" s="24"/>
      <c r="C470" s="22"/>
      <c r="D470" s="25"/>
      <c r="E470" s="24"/>
      <c r="F470" s="24"/>
      <c r="G470" s="24"/>
    </row>
    <row r="471" customFormat="false" ht="15" hidden="false" customHeight="false" outlineLevel="0" collapsed="false">
      <c r="A471" s="24"/>
      <c r="B471" s="24"/>
      <c r="C471" s="22"/>
      <c r="D471" s="25"/>
      <c r="E471" s="24"/>
      <c r="F471" s="24"/>
      <c r="G471" s="24"/>
    </row>
    <row r="472" customFormat="false" ht="15" hidden="false" customHeight="false" outlineLevel="0" collapsed="false">
      <c r="A472" s="24"/>
      <c r="B472" s="24"/>
      <c r="C472" s="22"/>
      <c r="D472" s="25"/>
      <c r="E472" s="24"/>
      <c r="F472" s="24"/>
      <c r="G472" s="24"/>
    </row>
    <row r="473" customFormat="false" ht="15" hidden="false" customHeight="false" outlineLevel="0" collapsed="false">
      <c r="A473" s="24"/>
      <c r="B473" s="24"/>
      <c r="C473" s="22"/>
      <c r="D473" s="25"/>
      <c r="E473" s="24"/>
      <c r="F473" s="24"/>
      <c r="G473" s="24"/>
    </row>
    <row r="474" customFormat="false" ht="15" hidden="false" customHeight="false" outlineLevel="0" collapsed="false">
      <c r="A474" s="24"/>
      <c r="B474" s="24"/>
      <c r="C474" s="22"/>
      <c r="D474" s="25"/>
      <c r="E474" s="24"/>
      <c r="F474" s="24"/>
      <c r="G474" s="24"/>
    </row>
    <row r="475" customFormat="false" ht="15" hidden="false" customHeight="false" outlineLevel="0" collapsed="false">
      <c r="A475" s="24"/>
      <c r="B475" s="24"/>
      <c r="C475" s="22"/>
      <c r="D475" s="25"/>
      <c r="E475" s="24"/>
      <c r="F475" s="24"/>
      <c r="G475" s="24"/>
    </row>
    <row r="476" customFormat="false" ht="15" hidden="false" customHeight="false" outlineLevel="0" collapsed="false">
      <c r="A476" s="24"/>
      <c r="B476" s="24"/>
      <c r="C476" s="22"/>
      <c r="D476" s="25"/>
      <c r="E476" s="24"/>
      <c r="F476" s="24"/>
      <c r="G476" s="24"/>
    </row>
    <row r="477" customFormat="false" ht="15" hidden="false" customHeight="false" outlineLevel="0" collapsed="false">
      <c r="A477" s="24"/>
      <c r="B477" s="24"/>
      <c r="C477" s="22"/>
      <c r="D477" s="25"/>
      <c r="E477" s="24"/>
      <c r="F477" s="24"/>
      <c r="G477" s="24"/>
    </row>
    <row r="478" customFormat="false" ht="15" hidden="false" customHeight="false" outlineLevel="0" collapsed="false">
      <c r="A478" s="24"/>
      <c r="B478" s="24"/>
      <c r="C478" s="22"/>
      <c r="D478" s="25"/>
      <c r="E478" s="24"/>
      <c r="F478" s="24"/>
      <c r="G478" s="24"/>
    </row>
    <row r="479" customFormat="false" ht="15" hidden="false" customHeight="false" outlineLevel="0" collapsed="false">
      <c r="A479" s="24"/>
      <c r="B479" s="24"/>
      <c r="C479" s="22"/>
      <c r="D479" s="25"/>
      <c r="E479" s="24"/>
      <c r="F479" s="24"/>
      <c r="G479" s="24"/>
    </row>
    <row r="480" customFormat="false" ht="15" hidden="false" customHeight="false" outlineLevel="0" collapsed="false">
      <c r="A480" s="24"/>
      <c r="B480" s="24"/>
      <c r="C480" s="22"/>
      <c r="D480" s="25"/>
      <c r="E480" s="24"/>
      <c r="F480" s="24"/>
      <c r="G480" s="24"/>
    </row>
    <row r="481" customFormat="false" ht="15" hidden="false" customHeight="false" outlineLevel="0" collapsed="false">
      <c r="A481" s="24"/>
      <c r="B481" s="24"/>
      <c r="C481" s="22"/>
      <c r="D481" s="25"/>
      <c r="E481" s="24"/>
      <c r="F481" s="24"/>
      <c r="G481" s="24"/>
    </row>
    <row r="482" customFormat="false" ht="15" hidden="false" customHeight="false" outlineLevel="0" collapsed="false">
      <c r="A482" s="24"/>
      <c r="B482" s="24"/>
      <c r="C482" s="22"/>
      <c r="D482" s="25"/>
      <c r="E482" s="24"/>
      <c r="F482" s="24"/>
      <c r="G482" s="24"/>
    </row>
    <row r="483" customFormat="false" ht="15" hidden="false" customHeight="false" outlineLevel="0" collapsed="false">
      <c r="A483" s="24"/>
      <c r="B483" s="24"/>
      <c r="C483" s="22"/>
      <c r="D483" s="25"/>
      <c r="E483" s="24"/>
      <c r="F483" s="24"/>
      <c r="G483" s="24"/>
    </row>
    <row r="484" customFormat="false" ht="15" hidden="false" customHeight="false" outlineLevel="0" collapsed="false">
      <c r="A484" s="24"/>
      <c r="B484" s="24"/>
      <c r="C484" s="22"/>
      <c r="D484" s="25"/>
      <c r="E484" s="24"/>
      <c r="F484" s="24"/>
      <c r="G484" s="24"/>
    </row>
    <row r="485" customFormat="false" ht="15" hidden="false" customHeight="false" outlineLevel="0" collapsed="false">
      <c r="A485" s="24"/>
      <c r="B485" s="24"/>
      <c r="C485" s="22"/>
      <c r="D485" s="25"/>
      <c r="E485" s="24"/>
      <c r="F485" s="24"/>
      <c r="G485" s="24"/>
    </row>
    <row r="486" customFormat="false" ht="15" hidden="false" customHeight="false" outlineLevel="0" collapsed="false">
      <c r="A486" s="24"/>
      <c r="B486" s="24"/>
      <c r="C486" s="22"/>
      <c r="D486" s="25"/>
      <c r="E486" s="24"/>
      <c r="F486" s="24"/>
      <c r="G486" s="24"/>
    </row>
    <row r="487" customFormat="false" ht="15" hidden="false" customHeight="false" outlineLevel="0" collapsed="false">
      <c r="A487" s="24"/>
      <c r="B487" s="24"/>
      <c r="C487" s="22"/>
      <c r="D487" s="25"/>
      <c r="E487" s="24"/>
      <c r="F487" s="24"/>
      <c r="G487" s="24"/>
    </row>
    <row r="488" customFormat="false" ht="15" hidden="false" customHeight="false" outlineLevel="0" collapsed="false">
      <c r="A488" s="24"/>
      <c r="B488" s="24"/>
      <c r="C488" s="22"/>
      <c r="D488" s="25"/>
      <c r="E488" s="24"/>
      <c r="F488" s="24"/>
      <c r="G488" s="24"/>
    </row>
    <row r="489" customFormat="false" ht="15" hidden="false" customHeight="false" outlineLevel="0" collapsed="false">
      <c r="A489" s="24"/>
      <c r="B489" s="24"/>
      <c r="C489" s="22"/>
      <c r="D489" s="25"/>
      <c r="E489" s="24"/>
      <c r="F489" s="24"/>
      <c r="G489" s="24"/>
    </row>
    <row r="490" customFormat="false" ht="15" hidden="false" customHeight="false" outlineLevel="0" collapsed="false">
      <c r="A490" s="24"/>
      <c r="B490" s="24"/>
      <c r="C490" s="22"/>
      <c r="D490" s="25"/>
      <c r="E490" s="24"/>
      <c r="F490" s="24"/>
      <c r="G490" s="24"/>
    </row>
    <row r="491" customFormat="false" ht="15" hidden="false" customHeight="false" outlineLevel="0" collapsed="false">
      <c r="A491" s="24"/>
      <c r="B491" s="24"/>
      <c r="C491" s="22"/>
      <c r="D491" s="25"/>
      <c r="E491" s="24"/>
      <c r="F491" s="24"/>
      <c r="G491" s="24"/>
    </row>
    <row r="492" customFormat="false" ht="15" hidden="false" customHeight="false" outlineLevel="0" collapsed="false">
      <c r="A492" s="24"/>
      <c r="B492" s="24"/>
      <c r="C492" s="22"/>
      <c r="D492" s="25"/>
      <c r="E492" s="24"/>
      <c r="F492" s="24"/>
      <c r="G492" s="24"/>
    </row>
    <row r="493" customFormat="false" ht="15" hidden="false" customHeight="false" outlineLevel="0" collapsed="false">
      <c r="A493" s="24"/>
      <c r="B493" s="24"/>
      <c r="C493" s="22"/>
      <c r="D493" s="25"/>
      <c r="E493" s="24"/>
      <c r="F493" s="24"/>
      <c r="G493" s="24"/>
    </row>
    <row r="494" customFormat="false" ht="15" hidden="false" customHeight="false" outlineLevel="0" collapsed="false">
      <c r="A494" s="24"/>
      <c r="B494" s="24"/>
      <c r="C494" s="22"/>
      <c r="D494" s="25"/>
      <c r="E494" s="24"/>
      <c r="F494" s="24"/>
      <c r="G494" s="24"/>
    </row>
    <row r="495" customFormat="false" ht="15" hidden="false" customHeight="false" outlineLevel="0" collapsed="false">
      <c r="A495" s="24"/>
      <c r="B495" s="24"/>
      <c r="C495" s="22"/>
      <c r="D495" s="25"/>
      <c r="E495" s="24"/>
      <c r="F495" s="24"/>
      <c r="G495" s="24"/>
    </row>
    <row r="496" customFormat="false" ht="15" hidden="false" customHeight="false" outlineLevel="0" collapsed="false">
      <c r="A496" s="24"/>
      <c r="B496" s="24"/>
      <c r="C496" s="22"/>
      <c r="D496" s="25"/>
      <c r="E496" s="24"/>
      <c r="F496" s="24"/>
      <c r="G496" s="24"/>
    </row>
    <row r="497" customFormat="false" ht="15" hidden="false" customHeight="false" outlineLevel="0" collapsed="false">
      <c r="A497" s="24"/>
      <c r="B497" s="24"/>
      <c r="C497" s="22"/>
      <c r="D497" s="25"/>
      <c r="E497" s="24"/>
      <c r="F497" s="24"/>
      <c r="G497" s="24"/>
    </row>
    <row r="498" customFormat="false" ht="15" hidden="false" customHeight="false" outlineLevel="0" collapsed="false">
      <c r="A498" s="24"/>
      <c r="B498" s="24"/>
      <c r="C498" s="22"/>
      <c r="D498" s="25"/>
      <c r="E498" s="24"/>
      <c r="F498" s="24"/>
      <c r="G498" s="24"/>
    </row>
    <row r="499" customFormat="false" ht="15" hidden="false" customHeight="false" outlineLevel="0" collapsed="false">
      <c r="A499" s="24"/>
      <c r="B499" s="24"/>
      <c r="C499" s="22"/>
      <c r="D499" s="25"/>
      <c r="E499" s="24"/>
      <c r="F499" s="24"/>
      <c r="G499" s="24"/>
    </row>
    <row r="500" customFormat="false" ht="15" hidden="false" customHeight="false" outlineLevel="0" collapsed="false">
      <c r="A500" s="24"/>
      <c r="B500" s="24"/>
      <c r="C500" s="22"/>
      <c r="D500" s="25"/>
      <c r="E500" s="24"/>
      <c r="F500" s="24"/>
      <c r="G500" s="24"/>
    </row>
    <row r="501" customFormat="false" ht="15" hidden="false" customHeight="false" outlineLevel="0" collapsed="false">
      <c r="A501" s="24"/>
      <c r="B501" s="24"/>
      <c r="C501" s="22"/>
      <c r="D501" s="25"/>
      <c r="E501" s="24"/>
      <c r="F501" s="24"/>
      <c r="G501" s="24"/>
    </row>
    <row r="502" customFormat="false" ht="15" hidden="false" customHeight="false" outlineLevel="0" collapsed="false">
      <c r="A502" s="24"/>
      <c r="B502" s="24"/>
      <c r="C502" s="22"/>
      <c r="D502" s="25"/>
      <c r="E502" s="24"/>
      <c r="F502" s="24"/>
      <c r="G502" s="24"/>
    </row>
    <row r="503" customFormat="false" ht="15" hidden="false" customHeight="false" outlineLevel="0" collapsed="false">
      <c r="A503" s="24"/>
      <c r="B503" s="24"/>
      <c r="C503" s="22"/>
      <c r="D503" s="25"/>
      <c r="E503" s="24"/>
      <c r="F503" s="24"/>
      <c r="G503" s="24"/>
    </row>
    <row r="504" customFormat="false" ht="15" hidden="false" customHeight="false" outlineLevel="0" collapsed="false">
      <c r="A504" s="24"/>
      <c r="B504" s="24"/>
      <c r="C504" s="22"/>
      <c r="D504" s="25"/>
      <c r="E504" s="24"/>
      <c r="F504" s="24"/>
      <c r="G504" s="24"/>
    </row>
    <row r="505" customFormat="false" ht="15" hidden="false" customHeight="false" outlineLevel="0" collapsed="false">
      <c r="A505" s="24"/>
      <c r="B505" s="24"/>
      <c r="C505" s="22"/>
      <c r="D505" s="25"/>
      <c r="E505" s="24"/>
      <c r="F505" s="24"/>
      <c r="G505" s="24"/>
    </row>
    <row r="506" customFormat="false" ht="15" hidden="false" customHeight="false" outlineLevel="0" collapsed="false">
      <c r="A506" s="24"/>
      <c r="B506" s="24"/>
      <c r="C506" s="22"/>
      <c r="D506" s="25"/>
      <c r="E506" s="24"/>
      <c r="F506" s="24"/>
      <c r="G506" s="24"/>
    </row>
    <row r="507" customFormat="false" ht="15" hidden="false" customHeight="false" outlineLevel="0" collapsed="false">
      <c r="A507" s="24"/>
      <c r="B507" s="24"/>
      <c r="C507" s="22"/>
      <c r="D507" s="25"/>
      <c r="E507" s="24"/>
      <c r="F507" s="24"/>
      <c r="G507" s="24"/>
    </row>
    <row r="508" customFormat="false" ht="15" hidden="false" customHeight="false" outlineLevel="0" collapsed="false">
      <c r="A508" s="24"/>
      <c r="B508" s="24"/>
      <c r="C508" s="22"/>
      <c r="D508" s="25"/>
      <c r="E508" s="24"/>
      <c r="F508" s="24"/>
      <c r="G508" s="24"/>
    </row>
    <row r="509" customFormat="false" ht="15" hidden="false" customHeight="false" outlineLevel="0" collapsed="false">
      <c r="A509" s="24"/>
      <c r="B509" s="24"/>
      <c r="C509" s="22"/>
      <c r="D509" s="25"/>
      <c r="E509" s="24"/>
      <c r="F509" s="24"/>
      <c r="G509" s="24"/>
    </row>
    <row r="510" customFormat="false" ht="15" hidden="false" customHeight="false" outlineLevel="0" collapsed="false">
      <c r="A510" s="24"/>
      <c r="B510" s="24"/>
      <c r="C510" s="22"/>
      <c r="D510" s="25"/>
      <c r="E510" s="24"/>
      <c r="F510" s="24"/>
      <c r="G510" s="24"/>
    </row>
    <row r="511" customFormat="false" ht="15" hidden="false" customHeight="false" outlineLevel="0" collapsed="false">
      <c r="A511" s="24"/>
      <c r="B511" s="24"/>
      <c r="C511" s="22"/>
      <c r="D511" s="25"/>
      <c r="E511" s="24"/>
      <c r="F511" s="24"/>
      <c r="G511" s="24"/>
    </row>
    <row r="512" customFormat="false" ht="15" hidden="false" customHeight="false" outlineLevel="0" collapsed="false">
      <c r="A512" s="24"/>
      <c r="B512" s="24"/>
      <c r="C512" s="22"/>
      <c r="D512" s="25"/>
      <c r="E512" s="24"/>
      <c r="F512" s="24"/>
      <c r="G512" s="24"/>
    </row>
    <row r="513" customFormat="false" ht="15" hidden="false" customHeight="false" outlineLevel="0" collapsed="false">
      <c r="A513" s="24"/>
      <c r="B513" s="24"/>
      <c r="C513" s="22"/>
      <c r="D513" s="25"/>
      <c r="E513" s="24"/>
      <c r="F513" s="24"/>
      <c r="G513" s="24"/>
    </row>
    <row r="514" customFormat="false" ht="15" hidden="false" customHeight="false" outlineLevel="0" collapsed="false">
      <c r="A514" s="24"/>
      <c r="B514" s="24"/>
      <c r="C514" s="22"/>
      <c r="D514" s="25"/>
      <c r="E514" s="24"/>
      <c r="F514" s="24"/>
      <c r="G514" s="24"/>
    </row>
    <row r="515" customFormat="false" ht="15" hidden="false" customHeight="false" outlineLevel="0" collapsed="false">
      <c r="A515" s="24"/>
      <c r="B515" s="24"/>
      <c r="C515" s="22"/>
      <c r="D515" s="25"/>
      <c r="E515" s="24"/>
      <c r="F515" s="24"/>
      <c r="G515" s="24"/>
    </row>
    <row r="516" customFormat="false" ht="15" hidden="false" customHeight="false" outlineLevel="0" collapsed="false">
      <c r="A516" s="24"/>
      <c r="B516" s="24"/>
      <c r="C516" s="22"/>
      <c r="D516" s="25"/>
      <c r="E516" s="24"/>
      <c r="F516" s="24"/>
      <c r="G516" s="24"/>
    </row>
    <row r="517" customFormat="false" ht="15" hidden="false" customHeight="false" outlineLevel="0" collapsed="false">
      <c r="A517" s="24"/>
      <c r="B517" s="24"/>
      <c r="C517" s="22"/>
      <c r="D517" s="25"/>
      <c r="E517" s="24"/>
      <c r="F517" s="24"/>
      <c r="G517" s="24"/>
    </row>
    <row r="518" customFormat="false" ht="15" hidden="false" customHeight="false" outlineLevel="0" collapsed="false">
      <c r="A518" s="24"/>
      <c r="B518" s="24"/>
      <c r="C518" s="22"/>
      <c r="D518" s="25"/>
      <c r="E518" s="24"/>
      <c r="F518" s="24"/>
      <c r="G518" s="24"/>
    </row>
    <row r="519" customFormat="false" ht="15" hidden="false" customHeight="false" outlineLevel="0" collapsed="false">
      <c r="A519" s="24"/>
      <c r="B519" s="24"/>
      <c r="C519" s="22"/>
      <c r="D519" s="25"/>
      <c r="E519" s="24"/>
      <c r="F519" s="24"/>
      <c r="G519" s="24"/>
    </row>
    <row r="520" customFormat="false" ht="15" hidden="false" customHeight="false" outlineLevel="0" collapsed="false">
      <c r="A520" s="24"/>
      <c r="B520" s="24"/>
      <c r="C520" s="22"/>
      <c r="D520" s="25"/>
      <c r="E520" s="24"/>
      <c r="F520" s="24"/>
      <c r="G520" s="24"/>
    </row>
    <row r="521" customFormat="false" ht="15" hidden="false" customHeight="false" outlineLevel="0" collapsed="false">
      <c r="A521" s="24"/>
      <c r="B521" s="24"/>
      <c r="C521" s="22"/>
      <c r="D521" s="25"/>
      <c r="E521" s="24"/>
      <c r="F521" s="24"/>
      <c r="G521" s="24"/>
    </row>
    <row r="522" customFormat="false" ht="15" hidden="false" customHeight="false" outlineLevel="0" collapsed="false">
      <c r="A522" s="24"/>
      <c r="B522" s="24"/>
      <c r="C522" s="22"/>
      <c r="D522" s="25"/>
      <c r="E522" s="24"/>
      <c r="F522" s="24"/>
      <c r="G522" s="24"/>
    </row>
    <row r="523" customFormat="false" ht="15" hidden="false" customHeight="false" outlineLevel="0" collapsed="false">
      <c r="A523" s="24"/>
      <c r="B523" s="24"/>
      <c r="C523" s="22"/>
      <c r="D523" s="25"/>
      <c r="E523" s="24"/>
      <c r="F523" s="24"/>
      <c r="G523" s="24"/>
    </row>
    <row r="524" customFormat="false" ht="15" hidden="false" customHeight="false" outlineLevel="0" collapsed="false">
      <c r="A524" s="24"/>
      <c r="B524" s="24"/>
      <c r="C524" s="22"/>
      <c r="D524" s="25"/>
      <c r="E524" s="24"/>
      <c r="F524" s="24"/>
      <c r="G524" s="24"/>
    </row>
    <row r="525" customFormat="false" ht="15" hidden="false" customHeight="false" outlineLevel="0" collapsed="false">
      <c r="A525" s="24"/>
      <c r="B525" s="24"/>
      <c r="C525" s="22"/>
      <c r="D525" s="25"/>
      <c r="E525" s="24"/>
      <c r="F525" s="24"/>
      <c r="G525" s="24"/>
    </row>
    <row r="526" customFormat="false" ht="15" hidden="false" customHeight="false" outlineLevel="0" collapsed="false">
      <c r="A526" s="24"/>
      <c r="B526" s="24"/>
      <c r="C526" s="22"/>
      <c r="D526" s="25"/>
      <c r="E526" s="24"/>
      <c r="F526" s="24"/>
      <c r="G526" s="24"/>
    </row>
    <row r="527" customFormat="false" ht="15" hidden="false" customHeight="false" outlineLevel="0" collapsed="false">
      <c r="A527" s="24"/>
      <c r="B527" s="24"/>
      <c r="C527" s="22"/>
      <c r="D527" s="25"/>
      <c r="E527" s="24"/>
      <c r="F527" s="24"/>
      <c r="G527" s="24"/>
    </row>
    <row r="528" customFormat="false" ht="15" hidden="false" customHeight="false" outlineLevel="0" collapsed="false">
      <c r="A528" s="24"/>
      <c r="B528" s="24"/>
      <c r="C528" s="22"/>
      <c r="D528" s="25"/>
      <c r="E528" s="24"/>
      <c r="F528" s="24"/>
      <c r="G528" s="24"/>
    </row>
    <row r="529" customFormat="false" ht="15" hidden="false" customHeight="false" outlineLevel="0" collapsed="false">
      <c r="A529" s="24"/>
      <c r="B529" s="24"/>
      <c r="C529" s="22"/>
      <c r="D529" s="25"/>
      <c r="E529" s="24"/>
      <c r="F529" s="24"/>
      <c r="G529" s="24"/>
    </row>
    <row r="530" customFormat="false" ht="15" hidden="false" customHeight="false" outlineLevel="0" collapsed="false">
      <c r="A530" s="24"/>
      <c r="B530" s="24"/>
      <c r="C530" s="22"/>
      <c r="D530" s="25"/>
      <c r="E530" s="24"/>
      <c r="F530" s="24"/>
      <c r="G530" s="24"/>
    </row>
    <row r="531" customFormat="false" ht="15" hidden="false" customHeight="false" outlineLevel="0" collapsed="false">
      <c r="A531" s="24"/>
      <c r="B531" s="24"/>
      <c r="C531" s="22"/>
      <c r="D531" s="25"/>
      <c r="E531" s="24"/>
      <c r="F531" s="24"/>
      <c r="G531" s="24"/>
    </row>
    <row r="532" customFormat="false" ht="15" hidden="false" customHeight="false" outlineLevel="0" collapsed="false">
      <c r="A532" s="24"/>
      <c r="B532" s="24"/>
      <c r="C532" s="22"/>
      <c r="D532" s="25"/>
      <c r="E532" s="24"/>
      <c r="F532" s="24"/>
      <c r="G532" s="24"/>
    </row>
    <row r="533" customFormat="false" ht="15" hidden="false" customHeight="false" outlineLevel="0" collapsed="false">
      <c r="A533" s="24"/>
      <c r="B533" s="24"/>
      <c r="C533" s="22"/>
      <c r="D533" s="25"/>
      <c r="E533" s="24"/>
      <c r="F533" s="24"/>
      <c r="G533" s="24"/>
    </row>
    <row r="534" customFormat="false" ht="15" hidden="false" customHeight="false" outlineLevel="0" collapsed="false">
      <c r="A534" s="24"/>
      <c r="B534" s="24"/>
      <c r="C534" s="22"/>
      <c r="D534" s="25"/>
      <c r="E534" s="24"/>
      <c r="F534" s="24"/>
      <c r="G534" s="24"/>
    </row>
    <row r="535" customFormat="false" ht="15" hidden="false" customHeight="false" outlineLevel="0" collapsed="false">
      <c r="A535" s="24"/>
      <c r="B535" s="24"/>
      <c r="C535" s="22"/>
      <c r="D535" s="25"/>
      <c r="E535" s="24"/>
      <c r="F535" s="24"/>
      <c r="G535" s="24"/>
    </row>
    <row r="536" customFormat="false" ht="15" hidden="false" customHeight="false" outlineLevel="0" collapsed="false">
      <c r="A536" s="24"/>
      <c r="B536" s="24"/>
      <c r="C536" s="22"/>
      <c r="D536" s="25"/>
      <c r="E536" s="24"/>
      <c r="F536" s="24"/>
      <c r="G536" s="24"/>
    </row>
    <row r="537" customFormat="false" ht="15" hidden="false" customHeight="false" outlineLevel="0" collapsed="false">
      <c r="A537" s="24"/>
      <c r="B537" s="24"/>
      <c r="C537" s="22"/>
      <c r="D537" s="25"/>
      <c r="E537" s="24"/>
      <c r="F537" s="24"/>
      <c r="G537" s="24"/>
    </row>
    <row r="538" customFormat="false" ht="15" hidden="false" customHeight="false" outlineLevel="0" collapsed="false">
      <c r="A538" s="24"/>
      <c r="B538" s="24"/>
      <c r="C538" s="22"/>
      <c r="D538" s="25"/>
      <c r="E538" s="24"/>
      <c r="F538" s="24"/>
      <c r="G538" s="24"/>
    </row>
    <row r="539" customFormat="false" ht="15" hidden="false" customHeight="false" outlineLevel="0" collapsed="false">
      <c r="A539" s="24"/>
      <c r="B539" s="24"/>
      <c r="C539" s="22"/>
      <c r="D539" s="25"/>
      <c r="E539" s="24"/>
      <c r="F539" s="24"/>
      <c r="G539" s="24"/>
    </row>
    <row r="540" customFormat="false" ht="15" hidden="false" customHeight="false" outlineLevel="0" collapsed="false">
      <c r="A540" s="24"/>
      <c r="B540" s="24"/>
      <c r="C540" s="22"/>
      <c r="D540" s="25"/>
      <c r="E540" s="24"/>
      <c r="F540" s="24"/>
      <c r="G540" s="24"/>
    </row>
    <row r="541" customFormat="false" ht="15" hidden="false" customHeight="false" outlineLevel="0" collapsed="false">
      <c r="A541" s="24"/>
      <c r="B541" s="24"/>
      <c r="C541" s="22"/>
      <c r="D541" s="25"/>
      <c r="E541" s="24"/>
      <c r="F541" s="24"/>
      <c r="G541" s="24"/>
    </row>
    <row r="542" customFormat="false" ht="15" hidden="false" customHeight="false" outlineLevel="0" collapsed="false">
      <c r="A542" s="24"/>
      <c r="B542" s="24"/>
      <c r="C542" s="22"/>
      <c r="D542" s="25"/>
      <c r="E542" s="24"/>
      <c r="F542" s="24"/>
      <c r="G542" s="24"/>
    </row>
    <row r="543" customFormat="false" ht="15" hidden="false" customHeight="false" outlineLevel="0" collapsed="false">
      <c r="A543" s="24"/>
      <c r="B543" s="24"/>
      <c r="C543" s="22"/>
      <c r="D543" s="25"/>
      <c r="E543" s="24"/>
      <c r="F543" s="24"/>
      <c r="G543" s="24"/>
    </row>
    <row r="544" customFormat="false" ht="15" hidden="false" customHeight="false" outlineLevel="0" collapsed="false">
      <c r="A544" s="24"/>
      <c r="B544" s="24"/>
      <c r="C544" s="22"/>
      <c r="D544" s="25"/>
      <c r="E544" s="24"/>
      <c r="F544" s="24"/>
      <c r="G544" s="24"/>
    </row>
    <row r="545" customFormat="false" ht="15" hidden="false" customHeight="false" outlineLevel="0" collapsed="false">
      <c r="A545" s="24"/>
      <c r="B545" s="24"/>
      <c r="C545" s="22"/>
      <c r="D545" s="25"/>
      <c r="E545" s="24"/>
      <c r="F545" s="24"/>
      <c r="G545" s="24"/>
    </row>
    <row r="546" customFormat="false" ht="15" hidden="false" customHeight="false" outlineLevel="0" collapsed="false">
      <c r="A546" s="24"/>
      <c r="B546" s="24"/>
      <c r="C546" s="22"/>
      <c r="D546" s="25"/>
      <c r="E546" s="24"/>
      <c r="F546" s="24"/>
      <c r="G546" s="24"/>
    </row>
    <row r="547" customFormat="false" ht="15" hidden="false" customHeight="false" outlineLevel="0" collapsed="false">
      <c r="A547" s="24"/>
      <c r="B547" s="24"/>
      <c r="C547" s="22"/>
      <c r="D547" s="25"/>
      <c r="E547" s="24"/>
      <c r="F547" s="24"/>
      <c r="G547" s="24"/>
    </row>
    <row r="548" customFormat="false" ht="15" hidden="false" customHeight="false" outlineLevel="0" collapsed="false">
      <c r="A548" s="24"/>
      <c r="B548" s="24"/>
      <c r="C548" s="22"/>
      <c r="D548" s="25"/>
      <c r="E548" s="24"/>
      <c r="F548" s="24"/>
      <c r="G548" s="24"/>
    </row>
    <row r="549" customFormat="false" ht="15" hidden="false" customHeight="false" outlineLevel="0" collapsed="false">
      <c r="A549" s="24"/>
      <c r="B549" s="24"/>
      <c r="C549" s="22"/>
      <c r="D549" s="25"/>
      <c r="E549" s="24"/>
      <c r="F549" s="24"/>
      <c r="G549" s="24"/>
    </row>
    <row r="550" customFormat="false" ht="15" hidden="false" customHeight="false" outlineLevel="0" collapsed="false">
      <c r="A550" s="24"/>
      <c r="B550" s="24"/>
      <c r="C550" s="22"/>
      <c r="D550" s="25"/>
      <c r="E550" s="24"/>
      <c r="F550" s="24"/>
      <c r="G550" s="24"/>
    </row>
    <row r="551" customFormat="false" ht="15" hidden="false" customHeight="false" outlineLevel="0" collapsed="false">
      <c r="A551" s="24"/>
      <c r="B551" s="24"/>
      <c r="C551" s="22"/>
      <c r="D551" s="25"/>
      <c r="E551" s="24"/>
      <c r="F551" s="24"/>
      <c r="G551" s="24"/>
    </row>
    <row r="552" customFormat="false" ht="15" hidden="false" customHeight="false" outlineLevel="0" collapsed="false">
      <c r="A552" s="24"/>
      <c r="B552" s="24"/>
      <c r="C552" s="22"/>
      <c r="D552" s="25"/>
      <c r="E552" s="24"/>
      <c r="F552" s="24"/>
      <c r="G552" s="24"/>
    </row>
    <row r="553" customFormat="false" ht="15" hidden="false" customHeight="false" outlineLevel="0" collapsed="false">
      <c r="A553" s="24"/>
      <c r="B553" s="24"/>
      <c r="C553" s="22"/>
      <c r="D553" s="25"/>
      <c r="E553" s="24"/>
      <c r="F553" s="24"/>
      <c r="G553" s="24"/>
    </row>
    <row r="554" customFormat="false" ht="15" hidden="false" customHeight="false" outlineLevel="0" collapsed="false">
      <c r="A554" s="24"/>
      <c r="B554" s="24"/>
      <c r="C554" s="22"/>
      <c r="D554" s="25"/>
      <c r="E554" s="24"/>
      <c r="F554" s="24"/>
      <c r="G554" s="24"/>
    </row>
    <row r="555" customFormat="false" ht="15" hidden="false" customHeight="false" outlineLevel="0" collapsed="false">
      <c r="A555" s="24"/>
      <c r="B555" s="24"/>
      <c r="C555" s="22"/>
      <c r="D555" s="25"/>
      <c r="E555" s="24"/>
      <c r="F555" s="24"/>
      <c r="G555" s="24"/>
    </row>
    <row r="556" customFormat="false" ht="15" hidden="false" customHeight="false" outlineLevel="0" collapsed="false">
      <c r="A556" s="24"/>
      <c r="B556" s="24"/>
      <c r="C556" s="22"/>
      <c r="D556" s="25"/>
      <c r="E556" s="24"/>
      <c r="F556" s="24"/>
      <c r="G556" s="24"/>
    </row>
    <row r="557" customFormat="false" ht="15" hidden="false" customHeight="false" outlineLevel="0" collapsed="false">
      <c r="A557" s="24"/>
      <c r="B557" s="24"/>
      <c r="C557" s="22"/>
      <c r="D557" s="25"/>
      <c r="E557" s="24"/>
      <c r="F557" s="24"/>
      <c r="G557" s="24"/>
    </row>
    <row r="558" customFormat="false" ht="15" hidden="false" customHeight="false" outlineLevel="0" collapsed="false">
      <c r="A558" s="24"/>
      <c r="B558" s="24"/>
      <c r="C558" s="22"/>
      <c r="D558" s="25"/>
      <c r="E558" s="24"/>
      <c r="F558" s="24"/>
      <c r="G558" s="24"/>
    </row>
    <row r="559" customFormat="false" ht="15" hidden="false" customHeight="false" outlineLevel="0" collapsed="false">
      <c r="A559" s="24"/>
      <c r="B559" s="24"/>
      <c r="C559" s="22"/>
      <c r="D559" s="25"/>
      <c r="E559" s="24"/>
      <c r="F559" s="24"/>
      <c r="G559" s="24"/>
    </row>
    <row r="560" customFormat="false" ht="15" hidden="false" customHeight="false" outlineLevel="0" collapsed="false">
      <c r="A560" s="24"/>
      <c r="B560" s="24"/>
      <c r="C560" s="22"/>
      <c r="D560" s="25"/>
      <c r="E560" s="24"/>
      <c r="F560" s="24"/>
      <c r="G560" s="24"/>
    </row>
    <row r="561" customFormat="false" ht="15" hidden="false" customHeight="false" outlineLevel="0" collapsed="false">
      <c r="A561" s="24"/>
      <c r="B561" s="24"/>
      <c r="C561" s="22"/>
      <c r="D561" s="25"/>
      <c r="E561" s="24"/>
      <c r="F561" s="24"/>
      <c r="G561" s="24"/>
    </row>
    <row r="562" customFormat="false" ht="15" hidden="false" customHeight="false" outlineLevel="0" collapsed="false">
      <c r="A562" s="24"/>
      <c r="B562" s="24"/>
      <c r="C562" s="22"/>
      <c r="D562" s="25"/>
      <c r="E562" s="24"/>
      <c r="F562" s="24"/>
      <c r="G562" s="24"/>
    </row>
    <row r="563" customFormat="false" ht="15" hidden="false" customHeight="false" outlineLevel="0" collapsed="false">
      <c r="A563" s="24"/>
      <c r="B563" s="24"/>
      <c r="C563" s="22"/>
      <c r="D563" s="25"/>
      <c r="E563" s="24"/>
      <c r="F563" s="24"/>
      <c r="G563" s="24"/>
    </row>
    <row r="564" customFormat="false" ht="15" hidden="false" customHeight="false" outlineLevel="0" collapsed="false">
      <c r="A564" s="24"/>
      <c r="B564" s="24"/>
      <c r="C564" s="22"/>
      <c r="D564" s="25"/>
      <c r="E564" s="24"/>
      <c r="F564" s="24"/>
      <c r="G564" s="24"/>
    </row>
    <row r="565" customFormat="false" ht="15" hidden="false" customHeight="false" outlineLevel="0" collapsed="false">
      <c r="A565" s="24"/>
      <c r="B565" s="24"/>
      <c r="C565" s="22"/>
      <c r="D565" s="25"/>
      <c r="E565" s="24"/>
      <c r="F565" s="24"/>
      <c r="G565" s="24"/>
    </row>
    <row r="566" customFormat="false" ht="15" hidden="false" customHeight="false" outlineLevel="0" collapsed="false">
      <c r="A566" s="24"/>
      <c r="B566" s="24"/>
      <c r="C566" s="22"/>
      <c r="D566" s="25"/>
      <c r="E566" s="24"/>
      <c r="F566" s="24"/>
      <c r="G566" s="24"/>
    </row>
    <row r="567" customFormat="false" ht="15" hidden="false" customHeight="false" outlineLevel="0" collapsed="false">
      <c r="A567" s="24"/>
      <c r="B567" s="24"/>
      <c r="C567" s="22"/>
      <c r="D567" s="25"/>
      <c r="E567" s="24"/>
      <c r="F567" s="24"/>
      <c r="G567" s="24"/>
    </row>
    <row r="568" customFormat="false" ht="15" hidden="false" customHeight="false" outlineLevel="0" collapsed="false">
      <c r="A568" s="24"/>
      <c r="B568" s="24"/>
      <c r="C568" s="22"/>
      <c r="D568" s="25"/>
      <c r="E568" s="24"/>
      <c r="F568" s="24"/>
      <c r="G568" s="24"/>
    </row>
    <row r="569" customFormat="false" ht="15" hidden="false" customHeight="false" outlineLevel="0" collapsed="false">
      <c r="A569" s="24"/>
      <c r="B569" s="24"/>
      <c r="C569" s="22"/>
      <c r="D569" s="25"/>
      <c r="E569" s="24"/>
      <c r="F569" s="24"/>
      <c r="G569" s="24"/>
    </row>
    <row r="570" customFormat="false" ht="15" hidden="false" customHeight="false" outlineLevel="0" collapsed="false">
      <c r="A570" s="24"/>
      <c r="B570" s="24"/>
      <c r="C570" s="22"/>
      <c r="D570" s="25"/>
      <c r="E570" s="24"/>
      <c r="F570" s="24"/>
      <c r="G570" s="24"/>
    </row>
    <row r="571" customFormat="false" ht="15" hidden="false" customHeight="false" outlineLevel="0" collapsed="false">
      <c r="A571" s="24"/>
      <c r="B571" s="24"/>
      <c r="C571" s="22"/>
      <c r="D571" s="25"/>
      <c r="E571" s="24"/>
      <c r="F571" s="24"/>
      <c r="G571" s="24"/>
    </row>
    <row r="572" customFormat="false" ht="15" hidden="false" customHeight="false" outlineLevel="0" collapsed="false">
      <c r="A572" s="24"/>
      <c r="B572" s="24"/>
      <c r="C572" s="22"/>
      <c r="D572" s="25"/>
      <c r="E572" s="24"/>
      <c r="F572" s="24"/>
      <c r="G572" s="24"/>
    </row>
    <row r="573" customFormat="false" ht="15" hidden="false" customHeight="false" outlineLevel="0" collapsed="false">
      <c r="A573" s="24"/>
      <c r="B573" s="24"/>
      <c r="C573" s="22"/>
      <c r="D573" s="25"/>
      <c r="E573" s="24"/>
      <c r="F573" s="24"/>
      <c r="G573" s="24"/>
    </row>
    <row r="574" customFormat="false" ht="15" hidden="false" customHeight="false" outlineLevel="0" collapsed="false">
      <c r="A574" s="24"/>
      <c r="B574" s="24"/>
      <c r="C574" s="22"/>
      <c r="D574" s="25"/>
      <c r="E574" s="24"/>
      <c r="F574" s="24"/>
      <c r="G574" s="24"/>
    </row>
    <row r="575" customFormat="false" ht="15" hidden="false" customHeight="false" outlineLevel="0" collapsed="false">
      <c r="A575" s="24"/>
      <c r="B575" s="24"/>
      <c r="C575" s="22"/>
      <c r="D575" s="25"/>
      <c r="E575" s="24"/>
      <c r="F575" s="24"/>
      <c r="G575" s="24"/>
    </row>
    <row r="576" customFormat="false" ht="15" hidden="false" customHeight="false" outlineLevel="0" collapsed="false">
      <c r="A576" s="24"/>
      <c r="B576" s="24"/>
      <c r="C576" s="22"/>
      <c r="D576" s="25"/>
      <c r="E576" s="24"/>
      <c r="F576" s="24"/>
      <c r="G576" s="24"/>
    </row>
    <row r="577" customFormat="false" ht="15" hidden="false" customHeight="false" outlineLevel="0" collapsed="false">
      <c r="A577" s="24"/>
      <c r="B577" s="24"/>
      <c r="C577" s="22"/>
      <c r="D577" s="25"/>
      <c r="E577" s="24"/>
      <c r="F577" s="24"/>
      <c r="G577" s="24"/>
    </row>
    <row r="578" customFormat="false" ht="15" hidden="false" customHeight="false" outlineLevel="0" collapsed="false">
      <c r="A578" s="24"/>
      <c r="B578" s="24"/>
      <c r="C578" s="22"/>
      <c r="D578" s="25"/>
      <c r="E578" s="24"/>
      <c r="F578" s="24"/>
      <c r="G578" s="24"/>
    </row>
    <row r="579" customFormat="false" ht="15" hidden="false" customHeight="false" outlineLevel="0" collapsed="false">
      <c r="A579" s="24"/>
      <c r="B579" s="24"/>
      <c r="C579" s="22"/>
      <c r="D579" s="25"/>
      <c r="E579" s="24"/>
      <c r="F579" s="24"/>
      <c r="G579" s="24"/>
    </row>
    <row r="580" customFormat="false" ht="15" hidden="false" customHeight="false" outlineLevel="0" collapsed="false">
      <c r="A580" s="24"/>
      <c r="B580" s="24"/>
      <c r="C580" s="22"/>
      <c r="D580" s="25"/>
      <c r="E580" s="24"/>
      <c r="F580" s="24"/>
      <c r="G580" s="24"/>
    </row>
    <row r="581" customFormat="false" ht="15" hidden="false" customHeight="false" outlineLevel="0" collapsed="false">
      <c r="A581" s="24"/>
      <c r="B581" s="24"/>
      <c r="C581" s="22"/>
      <c r="D581" s="25"/>
      <c r="E581" s="24"/>
      <c r="F581" s="24"/>
      <c r="G581" s="24"/>
    </row>
    <row r="582" customFormat="false" ht="15" hidden="false" customHeight="false" outlineLevel="0" collapsed="false">
      <c r="A582" s="24"/>
      <c r="B582" s="24"/>
      <c r="C582" s="22"/>
      <c r="D582" s="25"/>
      <c r="E582" s="24"/>
      <c r="F582" s="24"/>
      <c r="G582" s="24"/>
    </row>
    <row r="583" customFormat="false" ht="15" hidden="false" customHeight="false" outlineLevel="0" collapsed="false">
      <c r="A583" s="24"/>
      <c r="B583" s="24"/>
      <c r="C583" s="22"/>
      <c r="D583" s="25"/>
      <c r="E583" s="24"/>
      <c r="F583" s="24"/>
      <c r="G583" s="24"/>
    </row>
    <row r="584" customFormat="false" ht="15" hidden="false" customHeight="false" outlineLevel="0" collapsed="false">
      <c r="A584" s="24"/>
      <c r="B584" s="24"/>
      <c r="C584" s="22"/>
      <c r="D584" s="25"/>
      <c r="E584" s="24"/>
      <c r="F584" s="24"/>
      <c r="G584" s="24"/>
    </row>
    <row r="585" customFormat="false" ht="15" hidden="false" customHeight="false" outlineLevel="0" collapsed="false">
      <c r="A585" s="24"/>
      <c r="B585" s="24"/>
      <c r="C585" s="22"/>
      <c r="D585" s="25"/>
      <c r="E585" s="24"/>
      <c r="F585" s="24"/>
      <c r="G585" s="24"/>
    </row>
    <row r="586" customFormat="false" ht="15" hidden="false" customHeight="false" outlineLevel="0" collapsed="false">
      <c r="A586" s="24"/>
      <c r="B586" s="24"/>
      <c r="C586" s="22"/>
      <c r="D586" s="25"/>
      <c r="E586" s="24"/>
      <c r="F586" s="24"/>
      <c r="G586" s="24"/>
    </row>
    <row r="587" customFormat="false" ht="15" hidden="false" customHeight="false" outlineLevel="0" collapsed="false">
      <c r="A587" s="24"/>
      <c r="B587" s="24"/>
      <c r="C587" s="22"/>
      <c r="D587" s="25"/>
      <c r="E587" s="24"/>
      <c r="F587" s="24"/>
      <c r="G587" s="24"/>
    </row>
    <row r="588" customFormat="false" ht="15" hidden="false" customHeight="false" outlineLevel="0" collapsed="false">
      <c r="A588" s="24"/>
      <c r="B588" s="24"/>
      <c r="C588" s="22"/>
      <c r="D588" s="25"/>
      <c r="E588" s="24"/>
      <c r="F588" s="24"/>
      <c r="G588" s="24"/>
    </row>
    <row r="589" customFormat="false" ht="15" hidden="false" customHeight="false" outlineLevel="0" collapsed="false">
      <c r="A589" s="24"/>
      <c r="B589" s="24"/>
      <c r="C589" s="22"/>
      <c r="D589" s="25"/>
      <c r="E589" s="24"/>
      <c r="F589" s="24"/>
      <c r="G589" s="24"/>
    </row>
    <row r="590" customFormat="false" ht="15" hidden="false" customHeight="false" outlineLevel="0" collapsed="false">
      <c r="A590" s="24"/>
      <c r="B590" s="24"/>
      <c r="C590" s="22"/>
      <c r="D590" s="25"/>
      <c r="E590" s="24"/>
      <c r="F590" s="24"/>
      <c r="G590" s="24"/>
    </row>
    <row r="591" customFormat="false" ht="15" hidden="false" customHeight="false" outlineLevel="0" collapsed="false">
      <c r="A591" s="24"/>
      <c r="B591" s="24"/>
      <c r="C591" s="22"/>
      <c r="D591" s="25"/>
      <c r="E591" s="24"/>
      <c r="F591" s="24"/>
      <c r="G591" s="24"/>
    </row>
    <row r="592" customFormat="false" ht="15" hidden="false" customHeight="false" outlineLevel="0" collapsed="false">
      <c r="A592" s="24"/>
      <c r="B592" s="24"/>
      <c r="C592" s="22"/>
      <c r="D592" s="25"/>
      <c r="E592" s="24"/>
      <c r="F592" s="24"/>
      <c r="G592" s="24"/>
    </row>
    <row r="593" customFormat="false" ht="15" hidden="false" customHeight="false" outlineLevel="0" collapsed="false">
      <c r="A593" s="24"/>
      <c r="B593" s="24"/>
      <c r="C593" s="22"/>
      <c r="D593" s="25"/>
      <c r="E593" s="24"/>
      <c r="F593" s="24"/>
      <c r="G593" s="24"/>
    </row>
    <row r="594" customFormat="false" ht="15" hidden="false" customHeight="false" outlineLevel="0" collapsed="false">
      <c r="A594" s="24"/>
      <c r="B594" s="24"/>
      <c r="C594" s="22"/>
      <c r="D594" s="25"/>
      <c r="E594" s="24"/>
      <c r="F594" s="24"/>
      <c r="G594" s="24"/>
    </row>
    <row r="595" customFormat="false" ht="15" hidden="false" customHeight="false" outlineLevel="0" collapsed="false">
      <c r="A595" s="24"/>
      <c r="B595" s="24"/>
      <c r="C595" s="22"/>
      <c r="D595" s="25"/>
      <c r="E595" s="24"/>
      <c r="F595" s="24"/>
      <c r="G595" s="24"/>
    </row>
    <row r="596" customFormat="false" ht="15" hidden="false" customHeight="false" outlineLevel="0" collapsed="false">
      <c r="A596" s="24"/>
      <c r="B596" s="24"/>
      <c r="C596" s="22"/>
      <c r="D596" s="25"/>
      <c r="E596" s="24"/>
      <c r="F596" s="24"/>
      <c r="G596" s="24"/>
    </row>
    <row r="597" customFormat="false" ht="15" hidden="false" customHeight="false" outlineLevel="0" collapsed="false">
      <c r="A597" s="24"/>
      <c r="B597" s="24"/>
      <c r="C597" s="22"/>
      <c r="D597" s="25"/>
      <c r="E597" s="24"/>
      <c r="F597" s="24"/>
      <c r="G597" s="24"/>
    </row>
    <row r="598" customFormat="false" ht="15" hidden="false" customHeight="false" outlineLevel="0" collapsed="false">
      <c r="A598" s="24"/>
      <c r="B598" s="24"/>
      <c r="C598" s="22"/>
      <c r="D598" s="25"/>
      <c r="E598" s="24"/>
      <c r="F598" s="24"/>
      <c r="G598" s="24"/>
    </row>
    <row r="599" customFormat="false" ht="15" hidden="false" customHeight="false" outlineLevel="0" collapsed="false">
      <c r="A599" s="24"/>
      <c r="B599" s="24"/>
      <c r="C599" s="22"/>
      <c r="D599" s="25"/>
      <c r="E599" s="24"/>
      <c r="F599" s="24"/>
      <c r="G599" s="24"/>
    </row>
    <row r="600" customFormat="false" ht="15" hidden="false" customHeight="false" outlineLevel="0" collapsed="false">
      <c r="A600" s="24"/>
      <c r="B600" s="24"/>
      <c r="C600" s="22"/>
      <c r="D600" s="25"/>
      <c r="E600" s="24"/>
      <c r="F600" s="24"/>
      <c r="G600" s="24"/>
    </row>
    <row r="601" customFormat="false" ht="15" hidden="false" customHeight="false" outlineLevel="0" collapsed="false">
      <c r="A601" s="24"/>
      <c r="B601" s="24"/>
      <c r="C601" s="22"/>
      <c r="D601" s="25"/>
      <c r="E601" s="24"/>
      <c r="F601" s="24"/>
      <c r="G601" s="24"/>
    </row>
    <row r="602" customFormat="false" ht="15" hidden="false" customHeight="false" outlineLevel="0" collapsed="false">
      <c r="A602" s="24"/>
      <c r="B602" s="24"/>
      <c r="C602" s="22"/>
      <c r="D602" s="25"/>
      <c r="E602" s="24"/>
      <c r="F602" s="24"/>
      <c r="G602" s="24"/>
    </row>
    <row r="603" customFormat="false" ht="15" hidden="false" customHeight="false" outlineLevel="0" collapsed="false">
      <c r="A603" s="24"/>
      <c r="B603" s="24"/>
      <c r="C603" s="22"/>
      <c r="D603" s="25"/>
      <c r="E603" s="24"/>
      <c r="F603" s="24"/>
      <c r="G603" s="24"/>
    </row>
    <row r="604" customFormat="false" ht="15" hidden="false" customHeight="false" outlineLevel="0" collapsed="false">
      <c r="A604" s="24"/>
      <c r="B604" s="24"/>
      <c r="C604" s="22"/>
      <c r="D604" s="25"/>
      <c r="E604" s="24"/>
      <c r="F604" s="24"/>
      <c r="G604" s="24"/>
    </row>
    <row r="605" customFormat="false" ht="15" hidden="false" customHeight="false" outlineLevel="0" collapsed="false">
      <c r="A605" s="24"/>
      <c r="B605" s="24"/>
      <c r="C605" s="22"/>
      <c r="D605" s="25"/>
      <c r="E605" s="24"/>
      <c r="F605" s="24"/>
      <c r="G605" s="24"/>
    </row>
    <row r="606" customFormat="false" ht="15" hidden="false" customHeight="false" outlineLevel="0" collapsed="false">
      <c r="A606" s="24"/>
      <c r="B606" s="24"/>
      <c r="C606" s="22"/>
      <c r="D606" s="25"/>
      <c r="E606" s="24"/>
      <c r="F606" s="24"/>
      <c r="G606" s="24"/>
    </row>
    <row r="607" customFormat="false" ht="15" hidden="false" customHeight="false" outlineLevel="0" collapsed="false">
      <c r="A607" s="24"/>
      <c r="B607" s="24"/>
      <c r="C607" s="22"/>
      <c r="D607" s="25"/>
      <c r="E607" s="24"/>
      <c r="F607" s="24"/>
      <c r="G607" s="24"/>
    </row>
    <row r="608" customFormat="false" ht="15" hidden="false" customHeight="false" outlineLevel="0" collapsed="false">
      <c r="A608" s="24"/>
      <c r="B608" s="24"/>
      <c r="C608" s="22"/>
      <c r="D608" s="25"/>
      <c r="E608" s="24"/>
      <c r="F608" s="24"/>
      <c r="G608" s="24"/>
    </row>
    <row r="609" customFormat="false" ht="15" hidden="false" customHeight="false" outlineLevel="0" collapsed="false">
      <c r="A609" s="24"/>
      <c r="B609" s="24"/>
      <c r="C609" s="22"/>
      <c r="D609" s="25"/>
      <c r="E609" s="24"/>
      <c r="F609" s="24"/>
      <c r="G609" s="24"/>
    </row>
    <row r="610" customFormat="false" ht="15" hidden="false" customHeight="false" outlineLevel="0" collapsed="false">
      <c r="A610" s="24"/>
      <c r="B610" s="24"/>
      <c r="C610" s="22"/>
      <c r="D610" s="25"/>
      <c r="E610" s="24"/>
      <c r="F610" s="24"/>
      <c r="G610" s="24"/>
    </row>
    <row r="611" customFormat="false" ht="15" hidden="false" customHeight="false" outlineLevel="0" collapsed="false">
      <c r="A611" s="24"/>
      <c r="B611" s="24"/>
      <c r="C611" s="22"/>
      <c r="D611" s="25"/>
      <c r="E611" s="24"/>
      <c r="F611" s="24"/>
      <c r="G611" s="24"/>
    </row>
    <row r="612" customFormat="false" ht="15" hidden="false" customHeight="false" outlineLevel="0" collapsed="false">
      <c r="A612" s="24"/>
      <c r="B612" s="24"/>
      <c r="C612" s="22"/>
      <c r="D612" s="25"/>
      <c r="E612" s="24"/>
      <c r="F612" s="24"/>
      <c r="G612" s="24"/>
    </row>
    <row r="613" customFormat="false" ht="15" hidden="false" customHeight="false" outlineLevel="0" collapsed="false">
      <c r="A613" s="24"/>
      <c r="B613" s="24"/>
      <c r="C613" s="22"/>
      <c r="D613" s="25"/>
      <c r="E613" s="24"/>
      <c r="F613" s="24"/>
      <c r="G613" s="24"/>
    </row>
    <row r="614" customFormat="false" ht="15" hidden="false" customHeight="false" outlineLevel="0" collapsed="false">
      <c r="A614" s="24"/>
      <c r="B614" s="24"/>
      <c r="C614" s="22"/>
      <c r="D614" s="25"/>
      <c r="E614" s="24"/>
      <c r="F614" s="24"/>
      <c r="G614" s="24"/>
    </row>
    <row r="615" customFormat="false" ht="15" hidden="false" customHeight="false" outlineLevel="0" collapsed="false">
      <c r="A615" s="24"/>
      <c r="B615" s="24"/>
      <c r="C615" s="22"/>
      <c r="D615" s="25"/>
      <c r="E615" s="24"/>
      <c r="F615" s="24"/>
      <c r="G615" s="24"/>
    </row>
    <row r="616" customFormat="false" ht="15" hidden="false" customHeight="false" outlineLevel="0" collapsed="false">
      <c r="A616" s="24"/>
      <c r="B616" s="24"/>
      <c r="C616" s="22"/>
      <c r="D616" s="25"/>
      <c r="E616" s="24"/>
      <c r="F616" s="24"/>
      <c r="G616" s="24"/>
    </row>
    <row r="617" customFormat="false" ht="15" hidden="false" customHeight="false" outlineLevel="0" collapsed="false">
      <c r="A617" s="24"/>
      <c r="B617" s="24"/>
      <c r="C617" s="22"/>
      <c r="D617" s="25"/>
      <c r="E617" s="24"/>
      <c r="F617" s="24"/>
      <c r="G617" s="24"/>
    </row>
    <row r="618" customFormat="false" ht="15" hidden="false" customHeight="false" outlineLevel="0" collapsed="false">
      <c r="A618" s="24"/>
      <c r="B618" s="24"/>
      <c r="C618" s="22"/>
      <c r="D618" s="25"/>
      <c r="E618" s="24"/>
      <c r="F618" s="24"/>
      <c r="G618" s="24"/>
    </row>
    <row r="619" customFormat="false" ht="15" hidden="false" customHeight="false" outlineLevel="0" collapsed="false">
      <c r="A619" s="24"/>
      <c r="B619" s="24"/>
      <c r="C619" s="22"/>
      <c r="D619" s="25"/>
      <c r="E619" s="24"/>
      <c r="F619" s="24"/>
      <c r="G619" s="24"/>
    </row>
    <row r="620" customFormat="false" ht="15" hidden="false" customHeight="false" outlineLevel="0" collapsed="false">
      <c r="A620" s="24"/>
      <c r="B620" s="24"/>
      <c r="C620" s="22"/>
      <c r="D620" s="25"/>
      <c r="E620" s="24"/>
      <c r="F620" s="24"/>
      <c r="G620" s="24"/>
    </row>
    <row r="621" customFormat="false" ht="15" hidden="false" customHeight="false" outlineLevel="0" collapsed="false">
      <c r="A621" s="24"/>
      <c r="B621" s="24"/>
      <c r="C621" s="22"/>
      <c r="D621" s="25"/>
      <c r="E621" s="24"/>
      <c r="F621" s="24"/>
      <c r="G621" s="24"/>
    </row>
    <row r="622" customFormat="false" ht="15" hidden="false" customHeight="false" outlineLevel="0" collapsed="false">
      <c r="A622" s="24"/>
      <c r="B622" s="24"/>
      <c r="C622" s="22"/>
      <c r="D622" s="25"/>
      <c r="E622" s="24"/>
      <c r="F622" s="24"/>
      <c r="G622" s="24"/>
    </row>
    <row r="623" customFormat="false" ht="15" hidden="false" customHeight="false" outlineLevel="0" collapsed="false">
      <c r="A623" s="24"/>
      <c r="B623" s="24"/>
      <c r="C623" s="22"/>
      <c r="D623" s="25"/>
      <c r="E623" s="24"/>
      <c r="F623" s="24"/>
      <c r="G623" s="24"/>
    </row>
    <row r="624" customFormat="false" ht="15" hidden="false" customHeight="false" outlineLevel="0" collapsed="false">
      <c r="A624" s="24"/>
      <c r="B624" s="24"/>
      <c r="C624" s="22"/>
      <c r="D624" s="25"/>
      <c r="E624" s="24"/>
      <c r="F624" s="24"/>
      <c r="G624" s="24"/>
    </row>
    <row r="625" customFormat="false" ht="15" hidden="false" customHeight="false" outlineLevel="0" collapsed="false">
      <c r="A625" s="24"/>
      <c r="B625" s="24"/>
      <c r="C625" s="22"/>
      <c r="D625" s="25"/>
      <c r="E625" s="24"/>
      <c r="F625" s="24"/>
      <c r="G625" s="24"/>
    </row>
    <row r="626" customFormat="false" ht="15" hidden="false" customHeight="false" outlineLevel="0" collapsed="false">
      <c r="A626" s="24"/>
      <c r="B626" s="24"/>
      <c r="C626" s="22"/>
      <c r="D626" s="25"/>
      <c r="E626" s="24"/>
      <c r="F626" s="24"/>
      <c r="G626" s="24"/>
    </row>
    <row r="627" customFormat="false" ht="15" hidden="false" customHeight="false" outlineLevel="0" collapsed="false">
      <c r="A627" s="24"/>
      <c r="B627" s="24"/>
      <c r="C627" s="22"/>
      <c r="D627" s="25"/>
      <c r="E627" s="24"/>
      <c r="F627" s="24"/>
      <c r="G627" s="24"/>
    </row>
    <row r="628" customFormat="false" ht="15" hidden="false" customHeight="false" outlineLevel="0" collapsed="false">
      <c r="A628" s="24"/>
      <c r="B628" s="24"/>
      <c r="C628" s="22"/>
      <c r="D628" s="25"/>
      <c r="E628" s="24"/>
      <c r="F628" s="24"/>
      <c r="G628" s="24"/>
    </row>
    <row r="629" customFormat="false" ht="15" hidden="false" customHeight="false" outlineLevel="0" collapsed="false">
      <c r="A629" s="24"/>
      <c r="B629" s="24"/>
      <c r="C629" s="22"/>
      <c r="D629" s="25"/>
      <c r="E629" s="24"/>
      <c r="F629" s="24"/>
      <c r="G629" s="24"/>
    </row>
    <row r="630" customFormat="false" ht="15" hidden="false" customHeight="false" outlineLevel="0" collapsed="false">
      <c r="A630" s="24"/>
      <c r="B630" s="24"/>
      <c r="C630" s="22"/>
      <c r="D630" s="25"/>
      <c r="E630" s="24"/>
      <c r="F630" s="24"/>
      <c r="G630" s="24"/>
    </row>
    <row r="631" customFormat="false" ht="15" hidden="false" customHeight="false" outlineLevel="0" collapsed="false">
      <c r="A631" s="24"/>
      <c r="B631" s="24"/>
      <c r="C631" s="22"/>
      <c r="D631" s="25"/>
      <c r="E631" s="24"/>
      <c r="F631" s="24"/>
      <c r="G631" s="24"/>
    </row>
    <row r="632" customFormat="false" ht="15" hidden="false" customHeight="false" outlineLevel="0" collapsed="false">
      <c r="A632" s="24"/>
      <c r="B632" s="24"/>
      <c r="C632" s="22"/>
      <c r="D632" s="25"/>
      <c r="E632" s="24"/>
      <c r="F632" s="24"/>
      <c r="G632" s="24"/>
    </row>
    <row r="633" customFormat="false" ht="15" hidden="false" customHeight="false" outlineLevel="0" collapsed="false">
      <c r="A633" s="24"/>
      <c r="B633" s="24"/>
      <c r="C633" s="22"/>
      <c r="D633" s="25"/>
      <c r="E633" s="24"/>
      <c r="F633" s="24"/>
      <c r="G633" s="24"/>
    </row>
    <row r="634" customFormat="false" ht="15" hidden="false" customHeight="false" outlineLevel="0" collapsed="false">
      <c r="A634" s="24"/>
      <c r="B634" s="24"/>
      <c r="C634" s="22"/>
      <c r="D634" s="25"/>
      <c r="E634" s="24"/>
      <c r="F634" s="24"/>
      <c r="G634" s="24"/>
    </row>
    <row r="635" customFormat="false" ht="15" hidden="false" customHeight="false" outlineLevel="0" collapsed="false">
      <c r="A635" s="24"/>
      <c r="B635" s="24"/>
      <c r="C635" s="22"/>
      <c r="D635" s="25"/>
      <c r="E635" s="24"/>
      <c r="F635" s="24"/>
      <c r="G635" s="24"/>
    </row>
    <row r="636" customFormat="false" ht="15" hidden="false" customHeight="false" outlineLevel="0" collapsed="false">
      <c r="A636" s="24"/>
      <c r="B636" s="24"/>
      <c r="C636" s="22"/>
      <c r="D636" s="25"/>
      <c r="E636" s="24"/>
      <c r="F636" s="24"/>
      <c r="G636" s="24"/>
    </row>
    <row r="637" customFormat="false" ht="15" hidden="false" customHeight="false" outlineLevel="0" collapsed="false">
      <c r="A637" s="24"/>
      <c r="B637" s="24"/>
      <c r="C637" s="22"/>
      <c r="D637" s="25"/>
      <c r="E637" s="24"/>
      <c r="F637" s="24"/>
      <c r="G637" s="24"/>
    </row>
    <row r="638" customFormat="false" ht="15" hidden="false" customHeight="false" outlineLevel="0" collapsed="false">
      <c r="A638" s="24"/>
      <c r="B638" s="24"/>
      <c r="C638" s="22"/>
      <c r="D638" s="25"/>
      <c r="E638" s="24"/>
      <c r="F638" s="24"/>
      <c r="G638" s="24"/>
    </row>
    <row r="639" customFormat="false" ht="15" hidden="false" customHeight="false" outlineLevel="0" collapsed="false">
      <c r="A639" s="24"/>
      <c r="B639" s="24"/>
      <c r="C639" s="22"/>
      <c r="D639" s="25"/>
      <c r="E639" s="24"/>
      <c r="F639" s="24"/>
      <c r="G639" s="24"/>
    </row>
    <row r="640" customFormat="false" ht="15" hidden="false" customHeight="false" outlineLevel="0" collapsed="false">
      <c r="A640" s="24"/>
      <c r="B640" s="24"/>
      <c r="C640" s="22"/>
      <c r="D640" s="25"/>
      <c r="E640" s="24"/>
      <c r="F640" s="24"/>
      <c r="G640" s="24"/>
    </row>
    <row r="641" customFormat="false" ht="15" hidden="false" customHeight="false" outlineLevel="0" collapsed="false">
      <c r="A641" s="24"/>
      <c r="B641" s="24"/>
      <c r="C641" s="22"/>
      <c r="D641" s="25"/>
      <c r="E641" s="24"/>
      <c r="F641" s="24"/>
      <c r="G641" s="24"/>
    </row>
    <row r="642" customFormat="false" ht="15" hidden="false" customHeight="false" outlineLevel="0" collapsed="false">
      <c r="A642" s="24"/>
      <c r="B642" s="24"/>
      <c r="C642" s="22"/>
      <c r="D642" s="25"/>
      <c r="E642" s="24"/>
      <c r="F642" s="24"/>
      <c r="G642" s="24"/>
    </row>
    <row r="643" customFormat="false" ht="15" hidden="false" customHeight="false" outlineLevel="0" collapsed="false">
      <c r="A643" s="24"/>
      <c r="B643" s="24"/>
      <c r="C643" s="22"/>
      <c r="D643" s="25"/>
      <c r="E643" s="24"/>
      <c r="F643" s="24"/>
      <c r="G643" s="24"/>
    </row>
    <row r="644" customFormat="false" ht="15" hidden="false" customHeight="false" outlineLevel="0" collapsed="false">
      <c r="A644" s="24"/>
      <c r="B644" s="24"/>
      <c r="C644" s="22"/>
      <c r="D644" s="25"/>
      <c r="E644" s="24"/>
      <c r="F644" s="24"/>
      <c r="G644" s="24"/>
    </row>
    <row r="645" customFormat="false" ht="15" hidden="false" customHeight="false" outlineLevel="0" collapsed="false">
      <c r="A645" s="24"/>
      <c r="B645" s="24"/>
      <c r="C645" s="22"/>
      <c r="D645" s="25"/>
      <c r="E645" s="24"/>
      <c r="F645" s="24"/>
      <c r="G645" s="24"/>
    </row>
    <row r="646" customFormat="false" ht="15" hidden="false" customHeight="false" outlineLevel="0" collapsed="false">
      <c r="A646" s="24"/>
      <c r="B646" s="24"/>
      <c r="C646" s="22"/>
      <c r="D646" s="25"/>
      <c r="E646" s="24"/>
      <c r="F646" s="24"/>
      <c r="G646" s="24"/>
    </row>
    <row r="647" customFormat="false" ht="15" hidden="false" customHeight="false" outlineLevel="0" collapsed="false">
      <c r="A647" s="24"/>
      <c r="B647" s="24"/>
      <c r="C647" s="22"/>
      <c r="D647" s="25"/>
      <c r="E647" s="24"/>
      <c r="F647" s="24"/>
      <c r="G647" s="24"/>
    </row>
    <row r="648" customFormat="false" ht="15" hidden="false" customHeight="false" outlineLevel="0" collapsed="false">
      <c r="A648" s="24"/>
      <c r="B648" s="24"/>
      <c r="C648" s="22"/>
      <c r="D648" s="25"/>
      <c r="E648" s="24"/>
      <c r="F648" s="24"/>
      <c r="G648" s="24"/>
    </row>
    <row r="649" customFormat="false" ht="15" hidden="false" customHeight="false" outlineLevel="0" collapsed="false">
      <c r="A649" s="24"/>
      <c r="B649" s="24"/>
      <c r="C649" s="22"/>
      <c r="D649" s="25"/>
      <c r="E649" s="24"/>
      <c r="F649" s="24"/>
      <c r="G649" s="24"/>
    </row>
    <row r="650" customFormat="false" ht="15" hidden="false" customHeight="false" outlineLevel="0" collapsed="false">
      <c r="A650" s="24"/>
      <c r="B650" s="24"/>
      <c r="C650" s="22"/>
      <c r="D650" s="25"/>
      <c r="E650" s="24"/>
      <c r="F650" s="24"/>
      <c r="G650" s="24"/>
    </row>
    <row r="651" customFormat="false" ht="15" hidden="false" customHeight="false" outlineLevel="0" collapsed="false">
      <c r="A651" s="24"/>
      <c r="B651" s="24"/>
      <c r="C651" s="22"/>
      <c r="D651" s="25"/>
      <c r="E651" s="24"/>
      <c r="F651" s="24"/>
      <c r="G651" s="24"/>
    </row>
    <row r="652" customFormat="false" ht="15" hidden="false" customHeight="false" outlineLevel="0" collapsed="false">
      <c r="A652" s="24"/>
      <c r="B652" s="24"/>
      <c r="C652" s="22"/>
      <c r="D652" s="25"/>
      <c r="E652" s="24"/>
      <c r="F652" s="24"/>
      <c r="G652" s="24"/>
    </row>
    <row r="653" customFormat="false" ht="15" hidden="false" customHeight="false" outlineLevel="0" collapsed="false">
      <c r="A653" s="24"/>
      <c r="B653" s="24"/>
      <c r="C653" s="22"/>
      <c r="D653" s="25"/>
      <c r="E653" s="24"/>
      <c r="F653" s="24"/>
      <c r="G653" s="24"/>
    </row>
    <row r="654" customFormat="false" ht="15" hidden="false" customHeight="false" outlineLevel="0" collapsed="false">
      <c r="A654" s="24"/>
      <c r="B654" s="24"/>
      <c r="C654" s="22"/>
      <c r="D654" s="25"/>
      <c r="E654" s="24"/>
      <c r="F654" s="24"/>
      <c r="G654" s="24"/>
    </row>
    <row r="655" customFormat="false" ht="15" hidden="false" customHeight="false" outlineLevel="0" collapsed="false">
      <c r="A655" s="24"/>
      <c r="B655" s="24"/>
      <c r="C655" s="22"/>
      <c r="D655" s="25"/>
      <c r="E655" s="24"/>
      <c r="F655" s="24"/>
      <c r="G655" s="24"/>
    </row>
    <row r="656" customFormat="false" ht="15" hidden="false" customHeight="false" outlineLevel="0" collapsed="false">
      <c r="A656" s="24"/>
      <c r="B656" s="24"/>
      <c r="C656" s="22"/>
      <c r="D656" s="25"/>
      <c r="E656" s="24"/>
      <c r="F656" s="24"/>
      <c r="G656" s="24"/>
    </row>
    <row r="657" customFormat="false" ht="15" hidden="false" customHeight="false" outlineLevel="0" collapsed="false">
      <c r="A657" s="24"/>
      <c r="B657" s="24"/>
      <c r="C657" s="22"/>
      <c r="D657" s="25"/>
      <c r="E657" s="24"/>
      <c r="F657" s="24"/>
      <c r="G657" s="24"/>
    </row>
    <row r="658" customFormat="false" ht="15" hidden="false" customHeight="false" outlineLevel="0" collapsed="false">
      <c r="A658" s="24"/>
      <c r="B658" s="24"/>
      <c r="C658" s="22"/>
      <c r="D658" s="25"/>
      <c r="E658" s="24"/>
      <c r="F658" s="24"/>
      <c r="G658" s="24"/>
    </row>
    <row r="659" customFormat="false" ht="15" hidden="false" customHeight="false" outlineLevel="0" collapsed="false">
      <c r="A659" s="24"/>
      <c r="B659" s="24"/>
      <c r="C659" s="22"/>
      <c r="D659" s="25"/>
      <c r="E659" s="24"/>
      <c r="F659" s="24"/>
      <c r="G659" s="24"/>
    </row>
    <row r="660" customFormat="false" ht="15" hidden="false" customHeight="false" outlineLevel="0" collapsed="false">
      <c r="A660" s="24"/>
      <c r="B660" s="24"/>
      <c r="C660" s="22"/>
      <c r="D660" s="25"/>
      <c r="E660" s="24"/>
      <c r="F660" s="24"/>
      <c r="G660" s="24"/>
    </row>
    <row r="661" customFormat="false" ht="15" hidden="false" customHeight="false" outlineLevel="0" collapsed="false">
      <c r="A661" s="24"/>
      <c r="B661" s="24"/>
      <c r="C661" s="22"/>
      <c r="D661" s="25"/>
      <c r="E661" s="24"/>
      <c r="F661" s="24"/>
      <c r="G661" s="24"/>
    </row>
    <row r="662" customFormat="false" ht="15" hidden="false" customHeight="false" outlineLevel="0" collapsed="false">
      <c r="A662" s="24"/>
      <c r="B662" s="24"/>
      <c r="C662" s="22"/>
      <c r="D662" s="25"/>
      <c r="E662" s="24"/>
      <c r="F662" s="24"/>
      <c r="G662" s="24"/>
    </row>
    <row r="663" customFormat="false" ht="15" hidden="false" customHeight="false" outlineLevel="0" collapsed="false">
      <c r="A663" s="24"/>
      <c r="B663" s="24"/>
      <c r="C663" s="22"/>
      <c r="D663" s="25"/>
      <c r="E663" s="24"/>
      <c r="F663" s="24"/>
      <c r="G663" s="24"/>
    </row>
    <row r="664" customFormat="false" ht="15" hidden="false" customHeight="false" outlineLevel="0" collapsed="false">
      <c r="A664" s="24"/>
      <c r="B664" s="24"/>
      <c r="C664" s="22"/>
      <c r="D664" s="25"/>
      <c r="E664" s="24"/>
      <c r="F664" s="24"/>
      <c r="G664" s="24"/>
    </row>
    <row r="665" customFormat="false" ht="15" hidden="false" customHeight="false" outlineLevel="0" collapsed="false">
      <c r="A665" s="24"/>
      <c r="B665" s="24"/>
      <c r="C665" s="22"/>
      <c r="D665" s="25"/>
      <c r="E665" s="24"/>
      <c r="F665" s="24"/>
      <c r="G665" s="24"/>
    </row>
    <row r="666" customFormat="false" ht="15" hidden="false" customHeight="false" outlineLevel="0" collapsed="false">
      <c r="A666" s="24"/>
      <c r="B666" s="24"/>
      <c r="C666" s="22"/>
      <c r="D666" s="25"/>
      <c r="E666" s="24"/>
      <c r="F666" s="24"/>
      <c r="G666" s="24"/>
    </row>
    <row r="667" customFormat="false" ht="15" hidden="false" customHeight="false" outlineLevel="0" collapsed="false">
      <c r="A667" s="24"/>
      <c r="B667" s="24"/>
      <c r="C667" s="22"/>
      <c r="D667" s="25"/>
      <c r="E667" s="24"/>
      <c r="F667" s="24"/>
      <c r="G667" s="24"/>
    </row>
    <row r="668" customFormat="false" ht="15" hidden="false" customHeight="false" outlineLevel="0" collapsed="false">
      <c r="A668" s="24"/>
      <c r="B668" s="24"/>
      <c r="C668" s="22"/>
      <c r="D668" s="25"/>
      <c r="E668" s="24"/>
      <c r="F668" s="24"/>
      <c r="G668" s="24"/>
    </row>
    <row r="669" customFormat="false" ht="15" hidden="false" customHeight="false" outlineLevel="0" collapsed="false">
      <c r="A669" s="24"/>
      <c r="B669" s="24"/>
      <c r="C669" s="22"/>
      <c r="D669" s="25"/>
      <c r="E669" s="24"/>
      <c r="F669" s="24"/>
      <c r="G669" s="24"/>
    </row>
    <row r="670" customFormat="false" ht="15" hidden="false" customHeight="false" outlineLevel="0" collapsed="false">
      <c r="A670" s="24"/>
      <c r="B670" s="24"/>
      <c r="C670" s="22"/>
      <c r="D670" s="25"/>
      <c r="E670" s="24"/>
      <c r="F670" s="24"/>
      <c r="G670" s="24"/>
    </row>
    <row r="671" customFormat="false" ht="15" hidden="false" customHeight="false" outlineLevel="0" collapsed="false">
      <c r="A671" s="24"/>
      <c r="B671" s="24"/>
      <c r="C671" s="22"/>
      <c r="D671" s="25"/>
      <c r="E671" s="24"/>
      <c r="F671" s="24"/>
      <c r="G671" s="24"/>
    </row>
    <row r="672" customFormat="false" ht="15" hidden="false" customHeight="false" outlineLevel="0" collapsed="false">
      <c r="A672" s="24"/>
      <c r="B672" s="24"/>
      <c r="C672" s="22"/>
      <c r="D672" s="25"/>
      <c r="E672" s="24"/>
      <c r="F672" s="24"/>
      <c r="G672" s="24"/>
    </row>
    <row r="673" customFormat="false" ht="15" hidden="false" customHeight="false" outlineLevel="0" collapsed="false">
      <c r="A673" s="24"/>
      <c r="B673" s="24"/>
      <c r="C673" s="22"/>
      <c r="D673" s="25"/>
      <c r="E673" s="24"/>
      <c r="F673" s="24"/>
      <c r="G673" s="24"/>
    </row>
    <row r="674" customFormat="false" ht="15" hidden="false" customHeight="false" outlineLevel="0" collapsed="false">
      <c r="A674" s="24"/>
      <c r="B674" s="24"/>
      <c r="C674" s="22"/>
      <c r="D674" s="25"/>
      <c r="E674" s="24"/>
      <c r="F674" s="24"/>
      <c r="G674" s="24"/>
    </row>
    <row r="675" customFormat="false" ht="15" hidden="false" customHeight="false" outlineLevel="0" collapsed="false">
      <c r="A675" s="24"/>
      <c r="B675" s="24"/>
      <c r="C675" s="22"/>
      <c r="D675" s="25"/>
      <c r="E675" s="24"/>
      <c r="F675" s="24"/>
      <c r="G675" s="24"/>
    </row>
    <row r="676" customFormat="false" ht="15" hidden="false" customHeight="false" outlineLevel="0" collapsed="false">
      <c r="A676" s="24"/>
      <c r="B676" s="24"/>
      <c r="C676" s="22"/>
      <c r="D676" s="25"/>
      <c r="E676" s="24"/>
      <c r="F676" s="24"/>
      <c r="G676" s="24"/>
    </row>
    <row r="677" customFormat="false" ht="15" hidden="false" customHeight="false" outlineLevel="0" collapsed="false">
      <c r="A677" s="24"/>
      <c r="B677" s="24"/>
      <c r="C677" s="22"/>
      <c r="D677" s="25"/>
      <c r="E677" s="24"/>
      <c r="F677" s="24"/>
      <c r="G677" s="24"/>
    </row>
    <row r="678" customFormat="false" ht="15" hidden="false" customHeight="false" outlineLevel="0" collapsed="false">
      <c r="A678" s="24"/>
      <c r="B678" s="24"/>
      <c r="C678" s="22"/>
      <c r="D678" s="25"/>
      <c r="E678" s="24"/>
      <c r="F678" s="24"/>
      <c r="G678" s="24"/>
    </row>
    <row r="679" customFormat="false" ht="15" hidden="false" customHeight="false" outlineLevel="0" collapsed="false">
      <c r="A679" s="24"/>
      <c r="B679" s="24"/>
      <c r="C679" s="22"/>
      <c r="D679" s="25"/>
      <c r="E679" s="24"/>
      <c r="F679" s="24"/>
      <c r="G679" s="24"/>
    </row>
    <row r="680" customFormat="false" ht="15" hidden="false" customHeight="false" outlineLevel="0" collapsed="false">
      <c r="A680" s="24"/>
      <c r="B680" s="24"/>
      <c r="C680" s="22"/>
      <c r="D680" s="25"/>
      <c r="E680" s="24"/>
      <c r="F680" s="24"/>
      <c r="G680" s="24"/>
    </row>
    <row r="681" customFormat="false" ht="15" hidden="false" customHeight="false" outlineLevel="0" collapsed="false">
      <c r="A681" s="24"/>
      <c r="B681" s="24"/>
      <c r="C681" s="22"/>
      <c r="D681" s="25"/>
      <c r="E681" s="24"/>
      <c r="F681" s="24"/>
      <c r="G681" s="24"/>
    </row>
    <row r="682" customFormat="false" ht="15" hidden="false" customHeight="false" outlineLevel="0" collapsed="false">
      <c r="A682" s="24"/>
      <c r="B682" s="24"/>
      <c r="C682" s="22"/>
      <c r="D682" s="25"/>
      <c r="E682" s="24"/>
      <c r="F682" s="24"/>
      <c r="G682" s="24"/>
    </row>
    <row r="683" customFormat="false" ht="15" hidden="false" customHeight="false" outlineLevel="0" collapsed="false">
      <c r="A683" s="24"/>
      <c r="B683" s="24"/>
      <c r="C683" s="22"/>
      <c r="D683" s="25"/>
      <c r="E683" s="24"/>
      <c r="F683" s="24"/>
      <c r="G683" s="24"/>
    </row>
    <row r="684" customFormat="false" ht="15" hidden="false" customHeight="false" outlineLevel="0" collapsed="false">
      <c r="A684" s="24"/>
      <c r="B684" s="24"/>
      <c r="C684" s="22"/>
      <c r="D684" s="25"/>
      <c r="E684" s="24"/>
      <c r="F684" s="24"/>
      <c r="G684" s="24"/>
    </row>
    <row r="685" customFormat="false" ht="15" hidden="false" customHeight="false" outlineLevel="0" collapsed="false">
      <c r="A685" s="24"/>
      <c r="B685" s="24"/>
      <c r="C685" s="22"/>
      <c r="D685" s="25"/>
      <c r="E685" s="24"/>
      <c r="F685" s="24"/>
      <c r="G685" s="24"/>
    </row>
    <row r="686" customFormat="false" ht="15" hidden="false" customHeight="false" outlineLevel="0" collapsed="false">
      <c r="A686" s="24"/>
      <c r="B686" s="24"/>
      <c r="C686" s="22"/>
      <c r="D686" s="25"/>
      <c r="E686" s="24"/>
      <c r="F686" s="24"/>
      <c r="G686" s="24"/>
    </row>
    <row r="687" customFormat="false" ht="15" hidden="false" customHeight="false" outlineLevel="0" collapsed="false">
      <c r="A687" s="24"/>
      <c r="B687" s="24"/>
      <c r="C687" s="22"/>
      <c r="D687" s="25"/>
      <c r="E687" s="24"/>
      <c r="F687" s="24"/>
      <c r="G687" s="24"/>
    </row>
    <row r="688" customFormat="false" ht="15" hidden="false" customHeight="false" outlineLevel="0" collapsed="false">
      <c r="A688" s="24"/>
      <c r="B688" s="24"/>
      <c r="C688" s="22"/>
      <c r="D688" s="25"/>
      <c r="E688" s="24"/>
      <c r="F688" s="24"/>
      <c r="G688" s="24"/>
    </row>
    <row r="689" customFormat="false" ht="15" hidden="false" customHeight="false" outlineLevel="0" collapsed="false">
      <c r="A689" s="24"/>
      <c r="B689" s="24"/>
      <c r="C689" s="22"/>
      <c r="D689" s="25"/>
      <c r="E689" s="24"/>
      <c r="F689" s="24"/>
      <c r="G689" s="24"/>
    </row>
    <row r="690" customFormat="false" ht="15" hidden="false" customHeight="false" outlineLevel="0" collapsed="false">
      <c r="A690" s="24"/>
      <c r="B690" s="24"/>
      <c r="C690" s="22"/>
      <c r="D690" s="25"/>
      <c r="E690" s="24"/>
      <c r="F690" s="24"/>
      <c r="G690" s="24"/>
    </row>
    <row r="691" customFormat="false" ht="15" hidden="false" customHeight="false" outlineLevel="0" collapsed="false">
      <c r="A691" s="24"/>
      <c r="B691" s="24"/>
      <c r="C691" s="22"/>
      <c r="D691" s="25"/>
      <c r="E691" s="24"/>
      <c r="F691" s="24"/>
      <c r="G691" s="24"/>
    </row>
    <row r="692" customFormat="false" ht="15" hidden="false" customHeight="false" outlineLevel="0" collapsed="false">
      <c r="A692" s="24"/>
      <c r="B692" s="24"/>
      <c r="C692" s="22"/>
      <c r="D692" s="25"/>
      <c r="E692" s="24"/>
      <c r="F692" s="24"/>
      <c r="G692" s="24"/>
    </row>
    <row r="693" customFormat="false" ht="15" hidden="false" customHeight="false" outlineLevel="0" collapsed="false">
      <c r="A693" s="24"/>
      <c r="B693" s="24"/>
      <c r="C693" s="22"/>
      <c r="D693" s="25"/>
      <c r="E693" s="24"/>
      <c r="F693" s="24"/>
      <c r="G693" s="24"/>
    </row>
    <row r="694" customFormat="false" ht="15" hidden="false" customHeight="false" outlineLevel="0" collapsed="false">
      <c r="A694" s="24"/>
      <c r="B694" s="24"/>
      <c r="C694" s="22"/>
      <c r="D694" s="25"/>
      <c r="E694" s="24"/>
      <c r="F694" s="24"/>
      <c r="G694" s="24"/>
    </row>
    <row r="695" customFormat="false" ht="15" hidden="false" customHeight="false" outlineLevel="0" collapsed="false">
      <c r="A695" s="24"/>
      <c r="B695" s="24"/>
      <c r="C695" s="22"/>
      <c r="D695" s="25"/>
      <c r="E695" s="24"/>
      <c r="F695" s="24"/>
      <c r="G695" s="24"/>
    </row>
    <row r="696" customFormat="false" ht="15" hidden="false" customHeight="false" outlineLevel="0" collapsed="false">
      <c r="A696" s="24"/>
      <c r="B696" s="24"/>
      <c r="C696" s="22"/>
      <c r="D696" s="25"/>
      <c r="E696" s="24"/>
      <c r="F696" s="24"/>
      <c r="G696" s="24"/>
    </row>
    <row r="697" customFormat="false" ht="15" hidden="false" customHeight="false" outlineLevel="0" collapsed="false">
      <c r="A697" s="24"/>
      <c r="B697" s="24"/>
      <c r="C697" s="22"/>
      <c r="D697" s="25"/>
      <c r="E697" s="24"/>
      <c r="F697" s="24"/>
      <c r="G697" s="24"/>
    </row>
    <row r="698" customFormat="false" ht="15" hidden="false" customHeight="false" outlineLevel="0" collapsed="false">
      <c r="A698" s="24"/>
      <c r="B698" s="24"/>
      <c r="C698" s="22"/>
      <c r="D698" s="25"/>
      <c r="E698" s="24"/>
      <c r="F698" s="24"/>
      <c r="G698" s="24"/>
    </row>
    <row r="699" customFormat="false" ht="15" hidden="false" customHeight="false" outlineLevel="0" collapsed="false">
      <c r="A699" s="24"/>
      <c r="B699" s="24"/>
      <c r="C699" s="22"/>
      <c r="D699" s="25"/>
      <c r="E699" s="24"/>
      <c r="F699" s="24"/>
      <c r="G699" s="24"/>
    </row>
    <row r="700" customFormat="false" ht="15" hidden="false" customHeight="false" outlineLevel="0" collapsed="false">
      <c r="A700" s="24"/>
      <c r="B700" s="24"/>
      <c r="C700" s="22"/>
      <c r="D700" s="25"/>
      <c r="E700" s="24"/>
      <c r="F700" s="24"/>
      <c r="G700" s="24"/>
    </row>
    <row r="701" customFormat="false" ht="15" hidden="false" customHeight="false" outlineLevel="0" collapsed="false">
      <c r="A701" s="24"/>
      <c r="B701" s="24"/>
      <c r="C701" s="22"/>
      <c r="D701" s="25"/>
      <c r="E701" s="24"/>
      <c r="F701" s="24"/>
      <c r="G701" s="24"/>
    </row>
    <row r="702" customFormat="false" ht="15" hidden="false" customHeight="false" outlineLevel="0" collapsed="false">
      <c r="A702" s="24"/>
      <c r="B702" s="24"/>
      <c r="C702" s="22"/>
      <c r="D702" s="25"/>
      <c r="E702" s="24"/>
      <c r="F702" s="24"/>
      <c r="G702" s="24"/>
    </row>
    <row r="703" customFormat="false" ht="15" hidden="false" customHeight="false" outlineLevel="0" collapsed="false">
      <c r="A703" s="24"/>
      <c r="B703" s="24"/>
      <c r="C703" s="22"/>
      <c r="D703" s="25"/>
      <c r="E703" s="24"/>
      <c r="F703" s="24"/>
      <c r="G703" s="24"/>
    </row>
    <row r="704" customFormat="false" ht="15" hidden="false" customHeight="false" outlineLevel="0" collapsed="false">
      <c r="A704" s="24"/>
      <c r="B704" s="24"/>
      <c r="C704" s="22"/>
      <c r="D704" s="25"/>
      <c r="E704" s="24"/>
      <c r="F704" s="24"/>
      <c r="G704" s="24"/>
    </row>
    <row r="705" customFormat="false" ht="15" hidden="false" customHeight="false" outlineLevel="0" collapsed="false">
      <c r="A705" s="24"/>
      <c r="B705" s="24"/>
      <c r="C705" s="22"/>
      <c r="D705" s="25"/>
      <c r="E705" s="24"/>
      <c r="F705" s="24"/>
      <c r="G705" s="24"/>
    </row>
    <row r="706" customFormat="false" ht="15" hidden="false" customHeight="false" outlineLevel="0" collapsed="false">
      <c r="A706" s="24"/>
      <c r="B706" s="24"/>
      <c r="C706" s="22"/>
      <c r="D706" s="25"/>
      <c r="E706" s="24"/>
      <c r="F706" s="24"/>
      <c r="G706" s="24"/>
    </row>
    <row r="707" customFormat="false" ht="15" hidden="false" customHeight="false" outlineLevel="0" collapsed="false">
      <c r="A707" s="24"/>
      <c r="B707" s="24"/>
      <c r="C707" s="22"/>
      <c r="D707" s="25"/>
      <c r="E707" s="24"/>
      <c r="F707" s="24"/>
      <c r="G707" s="24"/>
    </row>
    <row r="708" customFormat="false" ht="15" hidden="false" customHeight="false" outlineLevel="0" collapsed="false">
      <c r="A708" s="24"/>
      <c r="B708" s="24"/>
      <c r="C708" s="22"/>
      <c r="D708" s="25"/>
      <c r="E708" s="24"/>
      <c r="F708" s="24"/>
      <c r="G708" s="24"/>
    </row>
    <row r="709" customFormat="false" ht="15" hidden="false" customHeight="false" outlineLevel="0" collapsed="false">
      <c r="A709" s="24"/>
      <c r="B709" s="24"/>
      <c r="C709" s="22"/>
      <c r="D709" s="25"/>
      <c r="E709" s="24"/>
      <c r="F709" s="24"/>
      <c r="G709" s="24"/>
    </row>
    <row r="710" customFormat="false" ht="15" hidden="false" customHeight="false" outlineLevel="0" collapsed="false">
      <c r="A710" s="24"/>
      <c r="B710" s="24"/>
      <c r="C710" s="22"/>
      <c r="D710" s="25"/>
      <c r="E710" s="24"/>
      <c r="F710" s="24"/>
      <c r="G710" s="24"/>
    </row>
    <row r="711" customFormat="false" ht="15" hidden="false" customHeight="false" outlineLevel="0" collapsed="false">
      <c r="A711" s="24"/>
      <c r="B711" s="24"/>
      <c r="C711" s="22"/>
      <c r="D711" s="25"/>
      <c r="E711" s="24"/>
      <c r="F711" s="24"/>
      <c r="G711" s="24"/>
    </row>
    <row r="712" customFormat="false" ht="15" hidden="false" customHeight="false" outlineLevel="0" collapsed="false">
      <c r="A712" s="24"/>
      <c r="B712" s="24"/>
      <c r="C712" s="22"/>
      <c r="D712" s="25"/>
      <c r="E712" s="24"/>
      <c r="F712" s="24"/>
      <c r="G712" s="24"/>
    </row>
    <row r="713" customFormat="false" ht="15" hidden="false" customHeight="false" outlineLevel="0" collapsed="false">
      <c r="A713" s="24"/>
      <c r="B713" s="24"/>
      <c r="C713" s="22"/>
      <c r="D713" s="25"/>
      <c r="E713" s="24"/>
      <c r="F713" s="24"/>
      <c r="G713" s="24"/>
    </row>
    <row r="714" customFormat="false" ht="15" hidden="false" customHeight="false" outlineLevel="0" collapsed="false">
      <c r="A714" s="24"/>
      <c r="B714" s="24"/>
      <c r="C714" s="22"/>
      <c r="D714" s="25"/>
      <c r="E714" s="24"/>
      <c r="F714" s="24"/>
      <c r="G714" s="24"/>
    </row>
    <row r="715" customFormat="false" ht="15" hidden="false" customHeight="false" outlineLevel="0" collapsed="false">
      <c r="A715" s="24"/>
      <c r="B715" s="24"/>
      <c r="C715" s="22"/>
      <c r="D715" s="25"/>
      <c r="E715" s="24"/>
      <c r="F715" s="24"/>
      <c r="G715" s="24"/>
    </row>
    <row r="716" customFormat="false" ht="15" hidden="false" customHeight="false" outlineLevel="0" collapsed="false">
      <c r="A716" s="24"/>
      <c r="B716" s="24"/>
      <c r="C716" s="22"/>
      <c r="D716" s="25"/>
      <c r="E716" s="24"/>
      <c r="F716" s="24"/>
      <c r="G716" s="24"/>
    </row>
    <row r="717" customFormat="false" ht="15" hidden="false" customHeight="false" outlineLevel="0" collapsed="false">
      <c r="A717" s="24"/>
      <c r="B717" s="24"/>
      <c r="C717" s="22"/>
      <c r="D717" s="25"/>
      <c r="E717" s="24"/>
      <c r="F717" s="24"/>
      <c r="G717" s="24"/>
    </row>
    <row r="718" customFormat="false" ht="15" hidden="false" customHeight="false" outlineLevel="0" collapsed="false">
      <c r="A718" s="24"/>
      <c r="B718" s="24"/>
      <c r="C718" s="22"/>
      <c r="D718" s="25"/>
      <c r="E718" s="24"/>
      <c r="F718" s="24"/>
      <c r="G718" s="24"/>
    </row>
    <row r="719" customFormat="false" ht="15" hidden="false" customHeight="false" outlineLevel="0" collapsed="false">
      <c r="A719" s="24"/>
      <c r="B719" s="24"/>
      <c r="C719" s="22"/>
      <c r="D719" s="25"/>
      <c r="E719" s="24"/>
      <c r="F719" s="24"/>
      <c r="G719" s="24"/>
    </row>
    <row r="720" customFormat="false" ht="15" hidden="false" customHeight="false" outlineLevel="0" collapsed="false">
      <c r="A720" s="24"/>
      <c r="B720" s="24"/>
      <c r="C720" s="22"/>
      <c r="D720" s="25"/>
      <c r="E720" s="24"/>
      <c r="F720" s="24"/>
      <c r="G720" s="24"/>
    </row>
    <row r="721" customFormat="false" ht="15" hidden="false" customHeight="false" outlineLevel="0" collapsed="false">
      <c r="A721" s="24"/>
      <c r="B721" s="24"/>
      <c r="C721" s="22"/>
      <c r="D721" s="25"/>
      <c r="E721" s="24"/>
      <c r="F721" s="24"/>
      <c r="G721" s="24"/>
    </row>
    <row r="722" customFormat="false" ht="15" hidden="false" customHeight="false" outlineLevel="0" collapsed="false">
      <c r="A722" s="24"/>
      <c r="B722" s="24"/>
      <c r="C722" s="22"/>
      <c r="D722" s="25"/>
      <c r="E722" s="24"/>
      <c r="F722" s="24"/>
      <c r="G722" s="24"/>
    </row>
    <row r="723" customFormat="false" ht="15" hidden="false" customHeight="false" outlineLevel="0" collapsed="false">
      <c r="A723" s="24"/>
      <c r="B723" s="24"/>
      <c r="C723" s="22"/>
      <c r="D723" s="25"/>
      <c r="E723" s="24"/>
      <c r="F723" s="24"/>
      <c r="G723" s="24"/>
    </row>
    <row r="724" customFormat="false" ht="15" hidden="false" customHeight="false" outlineLevel="0" collapsed="false">
      <c r="A724" s="24"/>
      <c r="B724" s="24"/>
      <c r="C724" s="22"/>
      <c r="D724" s="25"/>
      <c r="E724" s="24"/>
      <c r="F724" s="24"/>
      <c r="G724" s="24"/>
    </row>
    <row r="725" customFormat="false" ht="15" hidden="false" customHeight="false" outlineLevel="0" collapsed="false">
      <c r="A725" s="24"/>
      <c r="B725" s="24"/>
      <c r="C725" s="22"/>
      <c r="D725" s="25"/>
      <c r="E725" s="24"/>
      <c r="F725" s="24"/>
      <c r="G725" s="24"/>
    </row>
    <row r="726" customFormat="false" ht="15" hidden="false" customHeight="false" outlineLevel="0" collapsed="false">
      <c r="A726" s="24"/>
      <c r="B726" s="24"/>
      <c r="C726" s="22"/>
      <c r="D726" s="25"/>
      <c r="E726" s="24"/>
      <c r="F726" s="24"/>
      <c r="G726" s="24"/>
    </row>
    <row r="727" customFormat="false" ht="15" hidden="false" customHeight="false" outlineLevel="0" collapsed="false">
      <c r="A727" s="24"/>
      <c r="B727" s="24"/>
      <c r="C727" s="22"/>
      <c r="D727" s="25"/>
      <c r="E727" s="24"/>
      <c r="F727" s="24"/>
      <c r="G727" s="24"/>
    </row>
    <row r="728" customFormat="false" ht="15" hidden="false" customHeight="false" outlineLevel="0" collapsed="false">
      <c r="A728" s="24"/>
      <c r="B728" s="24"/>
      <c r="C728" s="22"/>
      <c r="D728" s="25"/>
      <c r="E728" s="24"/>
      <c r="F728" s="24"/>
      <c r="G728" s="24"/>
    </row>
    <row r="729" customFormat="false" ht="15" hidden="false" customHeight="false" outlineLevel="0" collapsed="false">
      <c r="A729" s="24"/>
      <c r="B729" s="24"/>
      <c r="C729" s="22"/>
      <c r="D729" s="25"/>
      <c r="E729" s="24"/>
      <c r="F729" s="24"/>
      <c r="G729" s="24"/>
    </row>
    <row r="730" customFormat="false" ht="15" hidden="false" customHeight="false" outlineLevel="0" collapsed="false">
      <c r="A730" s="24"/>
      <c r="B730" s="24"/>
      <c r="C730" s="22"/>
      <c r="D730" s="25"/>
      <c r="E730" s="24"/>
      <c r="F730" s="24"/>
      <c r="G730" s="24"/>
    </row>
    <row r="731" customFormat="false" ht="15" hidden="false" customHeight="false" outlineLevel="0" collapsed="false">
      <c r="A731" s="24"/>
      <c r="B731" s="24"/>
      <c r="C731" s="22"/>
      <c r="D731" s="25"/>
      <c r="E731" s="24"/>
      <c r="F731" s="24"/>
      <c r="G731" s="24"/>
    </row>
    <row r="732" customFormat="false" ht="15" hidden="false" customHeight="false" outlineLevel="0" collapsed="false">
      <c r="A732" s="24"/>
      <c r="B732" s="24"/>
      <c r="C732" s="22"/>
      <c r="D732" s="25"/>
      <c r="E732" s="24"/>
      <c r="F732" s="24"/>
      <c r="G732" s="24"/>
    </row>
    <row r="733" customFormat="false" ht="15" hidden="false" customHeight="false" outlineLevel="0" collapsed="false">
      <c r="A733" s="24"/>
      <c r="B733" s="24"/>
      <c r="C733" s="22"/>
      <c r="D733" s="25"/>
      <c r="E733" s="24"/>
      <c r="F733" s="24"/>
      <c r="G733" s="24"/>
    </row>
    <row r="734" customFormat="false" ht="15" hidden="false" customHeight="false" outlineLevel="0" collapsed="false">
      <c r="A734" s="24"/>
      <c r="B734" s="24"/>
      <c r="C734" s="22"/>
      <c r="D734" s="25"/>
      <c r="E734" s="24"/>
      <c r="F734" s="24"/>
      <c r="G734" s="24"/>
    </row>
    <row r="735" customFormat="false" ht="15" hidden="false" customHeight="false" outlineLevel="0" collapsed="false">
      <c r="A735" s="24"/>
      <c r="B735" s="24"/>
      <c r="C735" s="22"/>
      <c r="D735" s="25"/>
      <c r="E735" s="24"/>
      <c r="F735" s="24"/>
      <c r="G735" s="24"/>
    </row>
    <row r="736" customFormat="false" ht="15" hidden="false" customHeight="false" outlineLevel="0" collapsed="false">
      <c r="A736" s="24"/>
      <c r="B736" s="24"/>
      <c r="C736" s="22"/>
      <c r="D736" s="25"/>
      <c r="E736" s="24"/>
      <c r="F736" s="24"/>
      <c r="G736" s="24"/>
    </row>
    <row r="737" customFormat="false" ht="15" hidden="false" customHeight="false" outlineLevel="0" collapsed="false">
      <c r="A737" s="24"/>
      <c r="B737" s="24"/>
      <c r="C737" s="22"/>
      <c r="D737" s="25"/>
      <c r="E737" s="24"/>
      <c r="F737" s="24"/>
      <c r="G737" s="24"/>
    </row>
    <row r="738" customFormat="false" ht="15" hidden="false" customHeight="false" outlineLevel="0" collapsed="false">
      <c r="A738" s="24"/>
      <c r="B738" s="24"/>
      <c r="C738" s="22"/>
      <c r="D738" s="25"/>
      <c r="E738" s="24"/>
      <c r="F738" s="24"/>
      <c r="G738" s="24"/>
    </row>
    <row r="739" customFormat="false" ht="15" hidden="false" customHeight="false" outlineLevel="0" collapsed="false">
      <c r="A739" s="24"/>
      <c r="B739" s="24"/>
      <c r="C739" s="22"/>
      <c r="D739" s="25"/>
      <c r="E739" s="24"/>
      <c r="F739" s="24"/>
      <c r="G739" s="24"/>
    </row>
    <row r="740" customFormat="false" ht="15" hidden="false" customHeight="false" outlineLevel="0" collapsed="false">
      <c r="A740" s="24"/>
      <c r="B740" s="24"/>
      <c r="C740" s="22"/>
      <c r="D740" s="25"/>
      <c r="E740" s="24"/>
      <c r="F740" s="24"/>
      <c r="G740" s="24"/>
    </row>
    <row r="741" customFormat="false" ht="15" hidden="false" customHeight="false" outlineLevel="0" collapsed="false">
      <c r="A741" s="24"/>
      <c r="B741" s="24"/>
      <c r="C741" s="22"/>
      <c r="D741" s="25"/>
      <c r="E741" s="24"/>
      <c r="F741" s="24"/>
      <c r="G741" s="24"/>
    </row>
    <row r="742" customFormat="false" ht="15" hidden="false" customHeight="false" outlineLevel="0" collapsed="false">
      <c r="A742" s="24"/>
      <c r="B742" s="24"/>
      <c r="C742" s="22"/>
      <c r="D742" s="25"/>
      <c r="E742" s="24"/>
      <c r="F742" s="24"/>
      <c r="G742" s="24"/>
    </row>
    <row r="743" customFormat="false" ht="15" hidden="false" customHeight="false" outlineLevel="0" collapsed="false">
      <c r="A743" s="24"/>
      <c r="B743" s="24"/>
      <c r="C743" s="22"/>
      <c r="D743" s="25"/>
      <c r="E743" s="24"/>
      <c r="F743" s="24"/>
      <c r="G743" s="24"/>
    </row>
    <row r="744" customFormat="false" ht="15" hidden="false" customHeight="false" outlineLevel="0" collapsed="false">
      <c r="A744" s="24"/>
      <c r="B744" s="24"/>
      <c r="C744" s="22"/>
      <c r="D744" s="25"/>
      <c r="E744" s="24"/>
      <c r="F744" s="24"/>
      <c r="G744" s="24"/>
    </row>
    <row r="745" customFormat="false" ht="15" hidden="false" customHeight="false" outlineLevel="0" collapsed="false">
      <c r="A745" s="24"/>
      <c r="B745" s="24"/>
      <c r="C745" s="22"/>
      <c r="D745" s="25"/>
      <c r="E745" s="24"/>
      <c r="F745" s="24"/>
      <c r="G745" s="24"/>
    </row>
    <row r="746" customFormat="false" ht="15" hidden="false" customHeight="false" outlineLevel="0" collapsed="false">
      <c r="A746" s="24"/>
      <c r="B746" s="24"/>
      <c r="C746" s="22"/>
      <c r="D746" s="25"/>
      <c r="E746" s="24"/>
      <c r="F746" s="24"/>
      <c r="G746" s="24"/>
    </row>
    <row r="747" customFormat="false" ht="15" hidden="false" customHeight="false" outlineLevel="0" collapsed="false">
      <c r="A747" s="24"/>
      <c r="B747" s="24"/>
      <c r="C747" s="22"/>
      <c r="D747" s="25"/>
      <c r="E747" s="24"/>
      <c r="F747" s="24"/>
      <c r="G747" s="24"/>
    </row>
    <row r="748" customFormat="false" ht="15" hidden="false" customHeight="false" outlineLevel="0" collapsed="false">
      <c r="A748" s="24"/>
      <c r="B748" s="24"/>
      <c r="C748" s="22"/>
      <c r="D748" s="25"/>
      <c r="E748" s="24"/>
      <c r="F748" s="24"/>
      <c r="G748" s="24"/>
    </row>
    <row r="749" customFormat="false" ht="15" hidden="false" customHeight="false" outlineLevel="0" collapsed="false">
      <c r="A749" s="24"/>
      <c r="B749" s="24"/>
      <c r="C749" s="22"/>
      <c r="D749" s="25"/>
      <c r="E749" s="24"/>
      <c r="F749" s="24"/>
      <c r="G749" s="24"/>
    </row>
    <row r="750" customFormat="false" ht="15" hidden="false" customHeight="false" outlineLevel="0" collapsed="false">
      <c r="A750" s="24"/>
      <c r="B750" s="24"/>
      <c r="C750" s="22"/>
      <c r="D750" s="25"/>
      <c r="E750" s="24"/>
      <c r="F750" s="24"/>
      <c r="G750" s="24"/>
    </row>
    <row r="751" customFormat="false" ht="15" hidden="false" customHeight="false" outlineLevel="0" collapsed="false">
      <c r="A751" s="24"/>
      <c r="B751" s="24"/>
      <c r="C751" s="22"/>
      <c r="D751" s="25"/>
      <c r="E751" s="24"/>
      <c r="F751" s="24"/>
      <c r="G751" s="24"/>
    </row>
    <row r="752" customFormat="false" ht="15" hidden="false" customHeight="false" outlineLevel="0" collapsed="false">
      <c r="A752" s="24"/>
      <c r="B752" s="24"/>
      <c r="C752" s="22"/>
      <c r="D752" s="25"/>
      <c r="E752" s="24"/>
      <c r="F752" s="24"/>
      <c r="G752" s="24"/>
    </row>
    <row r="753" customFormat="false" ht="15" hidden="false" customHeight="false" outlineLevel="0" collapsed="false">
      <c r="A753" s="24"/>
      <c r="B753" s="24"/>
      <c r="C753" s="22"/>
      <c r="D753" s="25"/>
      <c r="E753" s="24"/>
      <c r="F753" s="24"/>
      <c r="G753" s="24"/>
    </row>
    <row r="754" customFormat="false" ht="15" hidden="false" customHeight="false" outlineLevel="0" collapsed="false">
      <c r="A754" s="24"/>
      <c r="B754" s="24"/>
      <c r="C754" s="22"/>
      <c r="D754" s="25"/>
      <c r="E754" s="24"/>
      <c r="F754" s="24"/>
      <c r="G754" s="24"/>
    </row>
    <row r="755" customFormat="false" ht="15" hidden="false" customHeight="false" outlineLevel="0" collapsed="false">
      <c r="A755" s="24"/>
      <c r="B755" s="24"/>
      <c r="C755" s="22"/>
      <c r="D755" s="25"/>
      <c r="E755" s="24"/>
      <c r="F755" s="24"/>
      <c r="G755" s="24"/>
    </row>
    <row r="756" customFormat="false" ht="15" hidden="false" customHeight="false" outlineLevel="0" collapsed="false">
      <c r="A756" s="24"/>
      <c r="B756" s="24"/>
      <c r="C756" s="22"/>
      <c r="D756" s="25"/>
      <c r="E756" s="24"/>
      <c r="F756" s="24"/>
      <c r="G756" s="24"/>
    </row>
    <row r="757" customFormat="false" ht="15" hidden="false" customHeight="false" outlineLevel="0" collapsed="false">
      <c r="A757" s="24"/>
      <c r="B757" s="24"/>
      <c r="C757" s="22"/>
      <c r="D757" s="25"/>
      <c r="E757" s="24"/>
      <c r="F757" s="24"/>
      <c r="G757" s="24"/>
    </row>
    <row r="758" customFormat="false" ht="15" hidden="false" customHeight="false" outlineLevel="0" collapsed="false">
      <c r="A758" s="24"/>
      <c r="B758" s="24"/>
      <c r="C758" s="22"/>
      <c r="D758" s="25"/>
      <c r="E758" s="24"/>
      <c r="F758" s="24"/>
      <c r="G758" s="24"/>
    </row>
    <row r="759" customFormat="false" ht="15" hidden="false" customHeight="false" outlineLevel="0" collapsed="false">
      <c r="A759" s="24"/>
      <c r="B759" s="24"/>
      <c r="C759" s="22"/>
      <c r="D759" s="25"/>
      <c r="E759" s="24"/>
      <c r="F759" s="24"/>
      <c r="G759" s="24"/>
    </row>
    <row r="760" customFormat="false" ht="15" hidden="false" customHeight="false" outlineLevel="0" collapsed="false">
      <c r="A760" s="24"/>
      <c r="B760" s="24"/>
      <c r="C760" s="22"/>
      <c r="D760" s="25"/>
      <c r="E760" s="24"/>
      <c r="F760" s="24"/>
      <c r="G760" s="24"/>
    </row>
    <row r="761" customFormat="false" ht="15" hidden="false" customHeight="false" outlineLevel="0" collapsed="false">
      <c r="A761" s="24"/>
      <c r="B761" s="24"/>
      <c r="C761" s="22"/>
      <c r="D761" s="25"/>
      <c r="E761" s="24"/>
      <c r="F761" s="24"/>
      <c r="G761" s="24"/>
    </row>
    <row r="762" customFormat="false" ht="15" hidden="false" customHeight="false" outlineLevel="0" collapsed="false">
      <c r="A762" s="24"/>
      <c r="B762" s="24"/>
      <c r="C762" s="22"/>
      <c r="D762" s="25"/>
      <c r="E762" s="24"/>
      <c r="F762" s="24"/>
      <c r="G762" s="24"/>
    </row>
    <row r="763" customFormat="false" ht="15" hidden="false" customHeight="false" outlineLevel="0" collapsed="false">
      <c r="A763" s="24"/>
      <c r="B763" s="24"/>
      <c r="C763" s="22"/>
      <c r="D763" s="25"/>
      <c r="E763" s="24"/>
      <c r="F763" s="24"/>
      <c r="G763" s="24"/>
    </row>
    <row r="764" customFormat="false" ht="15" hidden="false" customHeight="false" outlineLevel="0" collapsed="false">
      <c r="A764" s="24"/>
      <c r="B764" s="24"/>
      <c r="C764" s="22"/>
      <c r="D764" s="25"/>
      <c r="E764" s="24"/>
      <c r="F764" s="24"/>
      <c r="G764" s="24"/>
    </row>
    <row r="765" customFormat="false" ht="15" hidden="false" customHeight="false" outlineLevel="0" collapsed="false">
      <c r="A765" s="24"/>
      <c r="B765" s="24"/>
      <c r="C765" s="22"/>
      <c r="D765" s="25"/>
      <c r="E765" s="24"/>
      <c r="F765" s="24"/>
      <c r="G765" s="24"/>
    </row>
    <row r="766" customFormat="false" ht="15" hidden="false" customHeight="false" outlineLevel="0" collapsed="false">
      <c r="A766" s="24"/>
      <c r="B766" s="24"/>
      <c r="C766" s="22"/>
      <c r="D766" s="25"/>
      <c r="E766" s="24"/>
      <c r="F766" s="24"/>
      <c r="G766" s="24"/>
    </row>
    <row r="767" customFormat="false" ht="15" hidden="false" customHeight="false" outlineLevel="0" collapsed="false">
      <c r="A767" s="24"/>
      <c r="B767" s="24"/>
      <c r="C767" s="22"/>
      <c r="D767" s="25"/>
      <c r="E767" s="24"/>
      <c r="F767" s="24"/>
      <c r="G767" s="24"/>
    </row>
    <row r="768" customFormat="false" ht="15" hidden="false" customHeight="false" outlineLevel="0" collapsed="false">
      <c r="A768" s="24"/>
      <c r="B768" s="24"/>
      <c r="C768" s="22"/>
      <c r="D768" s="25"/>
      <c r="E768" s="24"/>
      <c r="F768" s="24"/>
      <c r="G768" s="24"/>
    </row>
    <row r="769" customFormat="false" ht="15" hidden="false" customHeight="false" outlineLevel="0" collapsed="false">
      <c r="A769" s="24"/>
      <c r="B769" s="24"/>
      <c r="C769" s="22"/>
      <c r="D769" s="25"/>
      <c r="E769" s="24"/>
      <c r="F769" s="24"/>
      <c r="G769" s="24"/>
    </row>
    <row r="770" customFormat="false" ht="15" hidden="false" customHeight="false" outlineLevel="0" collapsed="false">
      <c r="A770" s="24"/>
      <c r="B770" s="24"/>
      <c r="C770" s="22"/>
      <c r="D770" s="25"/>
      <c r="E770" s="24"/>
      <c r="F770" s="24"/>
      <c r="G770" s="24"/>
    </row>
    <row r="771" customFormat="false" ht="15" hidden="false" customHeight="false" outlineLevel="0" collapsed="false">
      <c r="A771" s="24"/>
      <c r="B771" s="24"/>
      <c r="C771" s="22"/>
      <c r="D771" s="25"/>
      <c r="E771" s="24"/>
      <c r="F771" s="24"/>
      <c r="G771" s="24"/>
    </row>
    <row r="772" customFormat="false" ht="15" hidden="false" customHeight="false" outlineLevel="0" collapsed="false">
      <c r="A772" s="24"/>
      <c r="B772" s="24"/>
      <c r="C772" s="22"/>
      <c r="D772" s="25"/>
      <c r="E772" s="24"/>
      <c r="F772" s="24"/>
      <c r="G772" s="24"/>
    </row>
    <row r="773" customFormat="false" ht="15" hidden="false" customHeight="false" outlineLevel="0" collapsed="false">
      <c r="A773" s="24"/>
      <c r="B773" s="24"/>
      <c r="C773" s="22"/>
      <c r="D773" s="25"/>
      <c r="E773" s="24"/>
      <c r="F773" s="24"/>
      <c r="G773" s="24"/>
    </row>
    <row r="774" customFormat="false" ht="15" hidden="false" customHeight="false" outlineLevel="0" collapsed="false">
      <c r="A774" s="24"/>
      <c r="B774" s="24"/>
      <c r="C774" s="22"/>
      <c r="D774" s="25"/>
      <c r="E774" s="24"/>
      <c r="F774" s="24"/>
      <c r="G774" s="24"/>
    </row>
    <row r="775" customFormat="false" ht="15" hidden="false" customHeight="false" outlineLevel="0" collapsed="false">
      <c r="A775" s="24"/>
      <c r="B775" s="24"/>
      <c r="C775" s="22"/>
      <c r="D775" s="25"/>
      <c r="E775" s="24"/>
      <c r="F775" s="24"/>
      <c r="G775" s="24"/>
    </row>
    <row r="776" customFormat="false" ht="15" hidden="false" customHeight="false" outlineLevel="0" collapsed="false">
      <c r="A776" s="24"/>
      <c r="B776" s="24"/>
      <c r="C776" s="22"/>
      <c r="D776" s="25"/>
      <c r="E776" s="24"/>
      <c r="F776" s="24"/>
      <c r="G776" s="24"/>
    </row>
    <row r="777" customFormat="false" ht="15" hidden="false" customHeight="false" outlineLevel="0" collapsed="false">
      <c r="A777" s="24"/>
      <c r="B777" s="24"/>
      <c r="C777" s="22"/>
      <c r="D777" s="25"/>
      <c r="E777" s="24"/>
      <c r="F777" s="24"/>
      <c r="G777" s="24"/>
    </row>
    <row r="778" customFormat="false" ht="15" hidden="false" customHeight="false" outlineLevel="0" collapsed="false">
      <c r="A778" s="24"/>
      <c r="B778" s="24"/>
      <c r="C778" s="22"/>
      <c r="D778" s="25"/>
      <c r="E778" s="24"/>
      <c r="F778" s="24"/>
      <c r="G778" s="24"/>
    </row>
    <row r="779" customFormat="false" ht="15" hidden="false" customHeight="false" outlineLevel="0" collapsed="false">
      <c r="A779" s="24"/>
      <c r="B779" s="24"/>
      <c r="C779" s="22"/>
      <c r="D779" s="25"/>
      <c r="E779" s="24"/>
      <c r="F779" s="24"/>
      <c r="G779" s="24"/>
    </row>
    <row r="780" customFormat="false" ht="15" hidden="false" customHeight="false" outlineLevel="0" collapsed="false">
      <c r="A780" s="24"/>
      <c r="B780" s="24"/>
      <c r="C780" s="22"/>
      <c r="D780" s="25"/>
      <c r="E780" s="24"/>
      <c r="F780" s="24"/>
      <c r="G780" s="24"/>
    </row>
    <row r="781" customFormat="false" ht="15" hidden="false" customHeight="false" outlineLevel="0" collapsed="false">
      <c r="A781" s="24"/>
      <c r="B781" s="24"/>
      <c r="C781" s="22"/>
      <c r="D781" s="25"/>
      <c r="E781" s="24"/>
      <c r="F781" s="24"/>
      <c r="G781" s="24"/>
    </row>
    <row r="782" customFormat="false" ht="15" hidden="false" customHeight="false" outlineLevel="0" collapsed="false">
      <c r="A782" s="24"/>
      <c r="B782" s="24"/>
      <c r="C782" s="22"/>
      <c r="D782" s="25"/>
      <c r="E782" s="24"/>
      <c r="F782" s="24"/>
      <c r="G782" s="24"/>
    </row>
    <row r="783" customFormat="false" ht="15" hidden="false" customHeight="false" outlineLevel="0" collapsed="false">
      <c r="A783" s="24"/>
      <c r="B783" s="24"/>
      <c r="C783" s="22"/>
      <c r="D783" s="25"/>
      <c r="E783" s="24"/>
      <c r="F783" s="24"/>
      <c r="G783" s="24"/>
    </row>
    <row r="784" customFormat="false" ht="15" hidden="false" customHeight="false" outlineLevel="0" collapsed="false">
      <c r="A784" s="24"/>
      <c r="B784" s="24"/>
      <c r="C784" s="22"/>
      <c r="D784" s="25"/>
      <c r="E784" s="24"/>
      <c r="F784" s="24"/>
      <c r="G784" s="24"/>
    </row>
    <row r="785" customFormat="false" ht="15" hidden="false" customHeight="false" outlineLevel="0" collapsed="false">
      <c r="A785" s="24"/>
      <c r="B785" s="24"/>
      <c r="C785" s="22"/>
      <c r="D785" s="25"/>
      <c r="E785" s="24"/>
      <c r="F785" s="24"/>
      <c r="G785" s="24"/>
    </row>
    <row r="786" customFormat="false" ht="15" hidden="false" customHeight="false" outlineLevel="0" collapsed="false">
      <c r="A786" s="24"/>
      <c r="B786" s="24"/>
      <c r="C786" s="22"/>
      <c r="D786" s="25"/>
      <c r="E786" s="24"/>
      <c r="F786" s="24"/>
      <c r="G786" s="24"/>
    </row>
    <row r="787" customFormat="false" ht="15" hidden="false" customHeight="false" outlineLevel="0" collapsed="false">
      <c r="A787" s="24"/>
      <c r="B787" s="24"/>
      <c r="C787" s="22"/>
      <c r="D787" s="25"/>
      <c r="E787" s="24"/>
      <c r="F787" s="24"/>
      <c r="G787" s="24"/>
    </row>
    <row r="788" customFormat="false" ht="15" hidden="false" customHeight="false" outlineLevel="0" collapsed="false">
      <c r="A788" s="24"/>
      <c r="B788" s="24"/>
      <c r="C788" s="22"/>
      <c r="D788" s="25"/>
      <c r="E788" s="24"/>
      <c r="F788" s="24"/>
      <c r="G788" s="24"/>
    </row>
    <row r="789" customFormat="false" ht="15" hidden="false" customHeight="false" outlineLevel="0" collapsed="false">
      <c r="A789" s="24"/>
      <c r="B789" s="24"/>
      <c r="C789" s="22"/>
      <c r="D789" s="25"/>
      <c r="E789" s="24"/>
      <c r="F789" s="24"/>
      <c r="G789" s="24"/>
    </row>
    <row r="790" customFormat="false" ht="15" hidden="false" customHeight="false" outlineLevel="0" collapsed="false">
      <c r="A790" s="24"/>
      <c r="B790" s="24"/>
      <c r="C790" s="22"/>
      <c r="D790" s="25"/>
      <c r="E790" s="24"/>
      <c r="F790" s="24"/>
      <c r="G790" s="24"/>
    </row>
    <row r="791" customFormat="false" ht="15" hidden="false" customHeight="false" outlineLevel="0" collapsed="false">
      <c r="A791" s="24"/>
      <c r="B791" s="24"/>
      <c r="C791" s="22"/>
      <c r="D791" s="25"/>
      <c r="E791" s="24"/>
      <c r="F791" s="24"/>
      <c r="G791" s="24"/>
    </row>
    <row r="792" customFormat="false" ht="15" hidden="false" customHeight="false" outlineLevel="0" collapsed="false">
      <c r="A792" s="24"/>
      <c r="B792" s="24"/>
      <c r="C792" s="22"/>
      <c r="D792" s="25"/>
      <c r="E792" s="24"/>
      <c r="F792" s="24"/>
      <c r="G792" s="24"/>
    </row>
    <row r="793" customFormat="false" ht="15" hidden="false" customHeight="false" outlineLevel="0" collapsed="false">
      <c r="A793" s="24"/>
      <c r="B793" s="24"/>
      <c r="C793" s="22"/>
      <c r="D793" s="25"/>
      <c r="E793" s="24"/>
      <c r="F793" s="24"/>
      <c r="G793" s="24"/>
    </row>
    <row r="794" customFormat="false" ht="15" hidden="false" customHeight="false" outlineLevel="0" collapsed="false">
      <c r="A794" s="24"/>
      <c r="B794" s="24"/>
      <c r="C794" s="22"/>
      <c r="D794" s="25"/>
      <c r="E794" s="24"/>
      <c r="F794" s="24"/>
      <c r="G794" s="24"/>
    </row>
    <row r="795" customFormat="false" ht="15" hidden="false" customHeight="false" outlineLevel="0" collapsed="false">
      <c r="A795" s="24"/>
      <c r="B795" s="24"/>
      <c r="C795" s="22"/>
      <c r="D795" s="25"/>
      <c r="E795" s="24"/>
      <c r="F795" s="24"/>
      <c r="G795" s="24"/>
    </row>
    <row r="796" customFormat="false" ht="15" hidden="false" customHeight="false" outlineLevel="0" collapsed="false">
      <c r="A796" s="24"/>
      <c r="B796" s="24"/>
      <c r="C796" s="22"/>
      <c r="D796" s="25"/>
      <c r="E796" s="24"/>
      <c r="F796" s="24"/>
      <c r="G796" s="24"/>
    </row>
    <row r="797" customFormat="false" ht="15" hidden="false" customHeight="false" outlineLevel="0" collapsed="false">
      <c r="A797" s="24"/>
      <c r="B797" s="24"/>
      <c r="C797" s="22"/>
      <c r="D797" s="25"/>
      <c r="E797" s="24"/>
      <c r="F797" s="24"/>
      <c r="G797" s="24"/>
    </row>
    <row r="798" customFormat="false" ht="15" hidden="false" customHeight="false" outlineLevel="0" collapsed="false">
      <c r="A798" s="24"/>
      <c r="B798" s="24"/>
      <c r="C798" s="22"/>
      <c r="D798" s="25"/>
      <c r="E798" s="24"/>
      <c r="F798" s="24"/>
      <c r="G798" s="24"/>
    </row>
    <row r="799" customFormat="false" ht="15" hidden="false" customHeight="false" outlineLevel="0" collapsed="false">
      <c r="A799" s="24"/>
      <c r="B799" s="24"/>
      <c r="C799" s="22"/>
      <c r="D799" s="25"/>
      <c r="E799" s="24"/>
      <c r="F799" s="24"/>
      <c r="G799" s="24"/>
    </row>
    <row r="800" customFormat="false" ht="15" hidden="false" customHeight="false" outlineLevel="0" collapsed="false">
      <c r="A800" s="24"/>
      <c r="B800" s="24"/>
      <c r="C800" s="22"/>
      <c r="D800" s="25"/>
      <c r="E800" s="24"/>
      <c r="F800" s="24"/>
      <c r="G800" s="24"/>
    </row>
    <row r="801" customFormat="false" ht="15" hidden="false" customHeight="false" outlineLevel="0" collapsed="false">
      <c r="A801" s="24"/>
      <c r="B801" s="24"/>
      <c r="C801" s="22"/>
      <c r="D801" s="25"/>
      <c r="E801" s="24"/>
      <c r="F801" s="24"/>
      <c r="G801" s="24"/>
    </row>
    <row r="802" customFormat="false" ht="15" hidden="false" customHeight="false" outlineLevel="0" collapsed="false">
      <c r="A802" s="24"/>
      <c r="B802" s="24"/>
      <c r="C802" s="22"/>
      <c r="D802" s="25"/>
      <c r="E802" s="24"/>
      <c r="F802" s="24"/>
      <c r="G802" s="24"/>
    </row>
    <row r="803" customFormat="false" ht="15" hidden="false" customHeight="false" outlineLevel="0" collapsed="false">
      <c r="A803" s="24"/>
      <c r="B803" s="24"/>
      <c r="C803" s="22"/>
      <c r="D803" s="25"/>
      <c r="E803" s="24"/>
      <c r="F803" s="24"/>
      <c r="G803" s="24"/>
    </row>
    <row r="804" customFormat="false" ht="15" hidden="false" customHeight="false" outlineLevel="0" collapsed="false">
      <c r="A804" s="24"/>
      <c r="B804" s="24"/>
      <c r="C804" s="22"/>
      <c r="D804" s="25"/>
      <c r="E804" s="24"/>
      <c r="F804" s="24"/>
      <c r="G804" s="24"/>
    </row>
    <row r="805" customFormat="false" ht="15" hidden="false" customHeight="false" outlineLevel="0" collapsed="false">
      <c r="A805" s="24"/>
      <c r="B805" s="24"/>
      <c r="C805" s="22"/>
      <c r="D805" s="25"/>
      <c r="E805" s="24"/>
      <c r="F805" s="24"/>
      <c r="G805" s="24"/>
    </row>
    <row r="806" customFormat="false" ht="15" hidden="false" customHeight="false" outlineLevel="0" collapsed="false">
      <c r="A806" s="24"/>
      <c r="B806" s="24"/>
      <c r="C806" s="22"/>
      <c r="D806" s="25"/>
      <c r="E806" s="24"/>
      <c r="F806" s="24"/>
      <c r="G806" s="24"/>
    </row>
    <row r="807" customFormat="false" ht="15" hidden="false" customHeight="false" outlineLevel="0" collapsed="false">
      <c r="A807" s="24"/>
      <c r="B807" s="24"/>
      <c r="C807" s="22"/>
      <c r="D807" s="25"/>
      <c r="E807" s="24"/>
      <c r="F807" s="24"/>
      <c r="G807" s="24"/>
    </row>
    <row r="808" customFormat="false" ht="15" hidden="false" customHeight="false" outlineLevel="0" collapsed="false">
      <c r="A808" s="24"/>
      <c r="B808" s="24"/>
      <c r="C808" s="22"/>
      <c r="D808" s="25"/>
      <c r="E808" s="24"/>
      <c r="F808" s="24"/>
      <c r="G808" s="24"/>
    </row>
    <row r="809" customFormat="false" ht="15" hidden="false" customHeight="false" outlineLevel="0" collapsed="false">
      <c r="A809" s="24"/>
      <c r="B809" s="24"/>
      <c r="C809" s="22"/>
      <c r="D809" s="25"/>
      <c r="E809" s="24"/>
      <c r="F809" s="24"/>
      <c r="G809" s="24"/>
    </row>
    <row r="810" customFormat="false" ht="15" hidden="false" customHeight="false" outlineLevel="0" collapsed="false">
      <c r="A810" s="24"/>
      <c r="B810" s="24"/>
      <c r="C810" s="22"/>
      <c r="D810" s="25"/>
      <c r="E810" s="24"/>
      <c r="F810" s="24"/>
      <c r="G810" s="24"/>
    </row>
    <row r="811" customFormat="false" ht="15" hidden="false" customHeight="false" outlineLevel="0" collapsed="false">
      <c r="A811" s="24"/>
      <c r="B811" s="24"/>
      <c r="C811" s="22"/>
      <c r="D811" s="25"/>
      <c r="E811" s="24"/>
      <c r="F811" s="24"/>
      <c r="G811" s="24"/>
    </row>
    <row r="812" customFormat="false" ht="15" hidden="false" customHeight="false" outlineLevel="0" collapsed="false">
      <c r="A812" s="24"/>
      <c r="B812" s="24"/>
      <c r="C812" s="22"/>
      <c r="D812" s="25"/>
      <c r="E812" s="24"/>
      <c r="F812" s="24"/>
      <c r="G812" s="24"/>
    </row>
    <row r="813" customFormat="false" ht="15" hidden="false" customHeight="false" outlineLevel="0" collapsed="false">
      <c r="A813" s="24"/>
      <c r="B813" s="24"/>
      <c r="C813" s="22"/>
      <c r="D813" s="25"/>
      <c r="E813" s="24"/>
      <c r="F813" s="24"/>
      <c r="G813" s="24"/>
    </row>
    <row r="814" customFormat="false" ht="15" hidden="false" customHeight="false" outlineLevel="0" collapsed="false">
      <c r="A814" s="24"/>
      <c r="B814" s="24"/>
      <c r="C814" s="22"/>
      <c r="D814" s="25"/>
      <c r="E814" s="24"/>
      <c r="F814" s="24"/>
      <c r="G814" s="24"/>
    </row>
    <row r="815" customFormat="false" ht="15" hidden="false" customHeight="false" outlineLevel="0" collapsed="false">
      <c r="A815" s="24"/>
      <c r="B815" s="24"/>
      <c r="C815" s="22"/>
      <c r="D815" s="25"/>
      <c r="E815" s="24"/>
      <c r="F815" s="24"/>
      <c r="G815" s="24"/>
    </row>
    <row r="816" customFormat="false" ht="15" hidden="false" customHeight="false" outlineLevel="0" collapsed="false">
      <c r="A816" s="24"/>
      <c r="B816" s="24"/>
      <c r="C816" s="22"/>
      <c r="D816" s="25"/>
      <c r="E816" s="24"/>
      <c r="F816" s="24"/>
      <c r="G816" s="24"/>
    </row>
    <row r="817" customFormat="false" ht="15" hidden="false" customHeight="false" outlineLevel="0" collapsed="false">
      <c r="A817" s="24"/>
      <c r="B817" s="24"/>
      <c r="C817" s="22"/>
      <c r="D817" s="25"/>
      <c r="E817" s="24"/>
      <c r="F817" s="24"/>
      <c r="G817" s="24"/>
    </row>
    <row r="818" customFormat="false" ht="15" hidden="false" customHeight="false" outlineLevel="0" collapsed="false">
      <c r="A818" s="24"/>
      <c r="B818" s="24"/>
      <c r="C818" s="22"/>
      <c r="D818" s="25"/>
      <c r="E818" s="24"/>
      <c r="F818" s="24"/>
      <c r="G818" s="24"/>
    </row>
    <row r="819" customFormat="false" ht="15" hidden="false" customHeight="false" outlineLevel="0" collapsed="false">
      <c r="A819" s="24"/>
      <c r="B819" s="24"/>
      <c r="C819" s="22"/>
      <c r="D819" s="25"/>
      <c r="E819" s="24"/>
      <c r="F819" s="24"/>
      <c r="G819" s="24"/>
    </row>
    <row r="820" customFormat="false" ht="15" hidden="false" customHeight="false" outlineLevel="0" collapsed="false">
      <c r="A820" s="24"/>
      <c r="B820" s="24"/>
      <c r="C820" s="22"/>
      <c r="D820" s="25"/>
      <c r="E820" s="24"/>
      <c r="F820" s="24"/>
      <c r="G820" s="24"/>
    </row>
    <row r="821" customFormat="false" ht="15" hidden="false" customHeight="false" outlineLevel="0" collapsed="false">
      <c r="A821" s="24"/>
      <c r="B821" s="24"/>
      <c r="C821" s="22"/>
      <c r="D821" s="25"/>
      <c r="E821" s="24"/>
      <c r="F821" s="24"/>
      <c r="G821" s="24"/>
    </row>
    <row r="822" customFormat="false" ht="15" hidden="false" customHeight="false" outlineLevel="0" collapsed="false">
      <c r="A822" s="24"/>
      <c r="B822" s="24"/>
      <c r="C822" s="22"/>
      <c r="D822" s="25"/>
      <c r="E822" s="24"/>
      <c r="F822" s="24"/>
      <c r="G822" s="24"/>
    </row>
    <row r="823" customFormat="false" ht="15" hidden="false" customHeight="false" outlineLevel="0" collapsed="false">
      <c r="A823" s="24"/>
      <c r="B823" s="24"/>
      <c r="C823" s="22"/>
      <c r="D823" s="25"/>
      <c r="E823" s="24"/>
      <c r="F823" s="24"/>
      <c r="G823" s="24"/>
    </row>
    <row r="824" customFormat="false" ht="15" hidden="false" customHeight="false" outlineLevel="0" collapsed="false">
      <c r="A824" s="24"/>
      <c r="B824" s="24"/>
      <c r="C824" s="22"/>
      <c r="D824" s="25"/>
      <c r="E824" s="24"/>
      <c r="F824" s="24"/>
      <c r="G824" s="24"/>
    </row>
    <row r="825" customFormat="false" ht="15" hidden="false" customHeight="false" outlineLevel="0" collapsed="false">
      <c r="A825" s="24"/>
      <c r="B825" s="24"/>
      <c r="C825" s="22"/>
      <c r="D825" s="25"/>
      <c r="E825" s="24"/>
      <c r="F825" s="24"/>
      <c r="G825" s="24"/>
    </row>
    <row r="826" customFormat="false" ht="15" hidden="false" customHeight="false" outlineLevel="0" collapsed="false">
      <c r="A826" s="24"/>
      <c r="B826" s="24"/>
      <c r="C826" s="22"/>
      <c r="D826" s="25"/>
      <c r="E826" s="24"/>
      <c r="F826" s="24"/>
      <c r="G826" s="24"/>
    </row>
    <row r="827" customFormat="false" ht="15" hidden="false" customHeight="false" outlineLevel="0" collapsed="false">
      <c r="A827" s="24"/>
      <c r="B827" s="24"/>
      <c r="C827" s="22"/>
      <c r="D827" s="25"/>
      <c r="E827" s="24"/>
      <c r="F827" s="24"/>
      <c r="G827" s="24"/>
    </row>
    <row r="828" customFormat="false" ht="15" hidden="false" customHeight="false" outlineLevel="0" collapsed="false">
      <c r="A828" s="24"/>
      <c r="B828" s="24"/>
      <c r="C828" s="22"/>
      <c r="D828" s="25"/>
      <c r="E828" s="24"/>
      <c r="F828" s="24"/>
      <c r="G828" s="24"/>
    </row>
    <row r="829" customFormat="false" ht="15" hidden="false" customHeight="false" outlineLevel="0" collapsed="false">
      <c r="A829" s="24"/>
      <c r="B829" s="24"/>
      <c r="C829" s="22"/>
      <c r="D829" s="25"/>
      <c r="E829" s="24"/>
      <c r="F829" s="24"/>
      <c r="G829" s="24"/>
    </row>
    <row r="830" customFormat="false" ht="15" hidden="false" customHeight="false" outlineLevel="0" collapsed="false">
      <c r="A830" s="24"/>
      <c r="B830" s="24"/>
      <c r="C830" s="22"/>
      <c r="D830" s="25"/>
      <c r="E830" s="24"/>
      <c r="F830" s="24"/>
      <c r="G830" s="24"/>
    </row>
    <row r="831" customFormat="false" ht="15" hidden="false" customHeight="false" outlineLevel="0" collapsed="false">
      <c r="A831" s="24"/>
      <c r="B831" s="24"/>
      <c r="C831" s="22"/>
      <c r="D831" s="25"/>
      <c r="E831" s="24"/>
      <c r="F831" s="24"/>
      <c r="G831" s="24"/>
    </row>
    <row r="832" customFormat="false" ht="15" hidden="false" customHeight="false" outlineLevel="0" collapsed="false">
      <c r="A832" s="24"/>
      <c r="B832" s="24"/>
      <c r="C832" s="22"/>
      <c r="D832" s="25"/>
      <c r="E832" s="24"/>
      <c r="F832" s="24"/>
      <c r="G832" s="24"/>
    </row>
    <row r="833" customFormat="false" ht="15" hidden="false" customHeight="false" outlineLevel="0" collapsed="false">
      <c r="A833" s="24"/>
      <c r="B833" s="24"/>
      <c r="C833" s="22"/>
      <c r="D833" s="25"/>
      <c r="E833" s="24"/>
      <c r="F833" s="24"/>
      <c r="G833" s="24"/>
    </row>
    <row r="834" customFormat="false" ht="15" hidden="false" customHeight="false" outlineLevel="0" collapsed="false">
      <c r="A834" s="24"/>
      <c r="B834" s="24"/>
      <c r="C834" s="22"/>
      <c r="D834" s="25"/>
      <c r="E834" s="24"/>
      <c r="F834" s="24"/>
      <c r="G834" s="24"/>
    </row>
    <row r="835" customFormat="false" ht="15" hidden="false" customHeight="false" outlineLevel="0" collapsed="false">
      <c r="A835" s="24"/>
      <c r="B835" s="24"/>
      <c r="C835" s="22"/>
      <c r="D835" s="25"/>
      <c r="E835" s="24"/>
      <c r="F835" s="24"/>
      <c r="G835" s="24"/>
    </row>
    <row r="836" customFormat="false" ht="15" hidden="false" customHeight="false" outlineLevel="0" collapsed="false">
      <c r="A836" s="24"/>
      <c r="B836" s="24"/>
      <c r="C836" s="22"/>
      <c r="D836" s="25"/>
      <c r="E836" s="24"/>
      <c r="F836" s="24"/>
      <c r="G836" s="24"/>
    </row>
    <row r="837" customFormat="false" ht="15" hidden="false" customHeight="false" outlineLevel="0" collapsed="false">
      <c r="A837" s="24"/>
      <c r="B837" s="24"/>
      <c r="C837" s="22"/>
      <c r="D837" s="25"/>
      <c r="E837" s="24"/>
      <c r="F837" s="24"/>
      <c r="G837" s="24"/>
    </row>
    <row r="838" customFormat="false" ht="15" hidden="false" customHeight="false" outlineLevel="0" collapsed="false">
      <c r="A838" s="24"/>
      <c r="B838" s="24"/>
      <c r="C838" s="22"/>
      <c r="D838" s="25"/>
      <c r="E838" s="24"/>
      <c r="F838" s="24"/>
      <c r="G838" s="24"/>
    </row>
    <row r="839" customFormat="false" ht="15" hidden="false" customHeight="false" outlineLevel="0" collapsed="false">
      <c r="A839" s="24"/>
      <c r="B839" s="24"/>
      <c r="C839" s="22"/>
      <c r="D839" s="25"/>
      <c r="E839" s="24"/>
      <c r="F839" s="24"/>
      <c r="G839" s="24"/>
    </row>
    <row r="840" customFormat="false" ht="15" hidden="false" customHeight="false" outlineLevel="0" collapsed="false">
      <c r="A840" s="24"/>
      <c r="B840" s="24"/>
      <c r="C840" s="22"/>
      <c r="D840" s="25"/>
      <c r="E840" s="24"/>
      <c r="F840" s="24"/>
      <c r="G840" s="24"/>
    </row>
    <row r="841" customFormat="false" ht="15" hidden="false" customHeight="false" outlineLevel="0" collapsed="false">
      <c r="A841" s="24"/>
      <c r="B841" s="24"/>
      <c r="C841" s="22"/>
      <c r="D841" s="25"/>
      <c r="E841" s="24"/>
      <c r="F841" s="24"/>
      <c r="G841" s="24"/>
    </row>
    <row r="842" customFormat="false" ht="15" hidden="false" customHeight="false" outlineLevel="0" collapsed="false">
      <c r="A842" s="24"/>
      <c r="B842" s="24"/>
      <c r="C842" s="22"/>
      <c r="D842" s="25"/>
      <c r="E842" s="24"/>
      <c r="F842" s="24"/>
      <c r="G842" s="24"/>
    </row>
    <row r="843" customFormat="false" ht="15" hidden="false" customHeight="false" outlineLevel="0" collapsed="false">
      <c r="A843" s="24"/>
      <c r="B843" s="24"/>
      <c r="C843" s="22"/>
      <c r="D843" s="25"/>
      <c r="E843" s="24"/>
      <c r="F843" s="24"/>
      <c r="G843" s="24"/>
    </row>
    <row r="844" customFormat="false" ht="15" hidden="false" customHeight="false" outlineLevel="0" collapsed="false">
      <c r="A844" s="24"/>
      <c r="B844" s="24"/>
      <c r="C844" s="22"/>
      <c r="D844" s="25"/>
      <c r="E844" s="24"/>
      <c r="F844" s="24"/>
      <c r="G844" s="24"/>
    </row>
    <row r="845" customFormat="false" ht="15" hidden="false" customHeight="false" outlineLevel="0" collapsed="false">
      <c r="A845" s="24"/>
      <c r="B845" s="24"/>
      <c r="C845" s="22"/>
      <c r="D845" s="25"/>
      <c r="E845" s="24"/>
      <c r="F845" s="24"/>
      <c r="G845" s="24"/>
    </row>
    <row r="846" customFormat="false" ht="15" hidden="false" customHeight="false" outlineLevel="0" collapsed="false">
      <c r="A846" s="24"/>
      <c r="B846" s="24"/>
      <c r="C846" s="22"/>
      <c r="D846" s="25"/>
      <c r="E846" s="24"/>
      <c r="F846" s="24"/>
      <c r="G846" s="24"/>
    </row>
    <row r="847" customFormat="false" ht="15" hidden="false" customHeight="false" outlineLevel="0" collapsed="false">
      <c r="A847" s="24"/>
      <c r="B847" s="24"/>
      <c r="C847" s="22"/>
      <c r="D847" s="25"/>
      <c r="E847" s="24"/>
      <c r="F847" s="24"/>
      <c r="G847" s="24"/>
    </row>
    <row r="848" customFormat="false" ht="15" hidden="false" customHeight="false" outlineLevel="0" collapsed="false">
      <c r="A848" s="24"/>
      <c r="B848" s="24"/>
      <c r="C848" s="22"/>
      <c r="D848" s="25"/>
      <c r="E848" s="24"/>
      <c r="F848" s="24"/>
      <c r="G848" s="24"/>
    </row>
    <row r="849" customFormat="false" ht="15" hidden="false" customHeight="false" outlineLevel="0" collapsed="false">
      <c r="A849" s="24"/>
      <c r="B849" s="24"/>
      <c r="C849" s="22"/>
      <c r="D849" s="25"/>
      <c r="E849" s="24"/>
      <c r="F849" s="24"/>
      <c r="G849" s="24"/>
    </row>
    <row r="850" customFormat="false" ht="15" hidden="false" customHeight="false" outlineLevel="0" collapsed="false">
      <c r="A850" s="24"/>
      <c r="B850" s="24"/>
      <c r="C850" s="22"/>
      <c r="D850" s="25"/>
      <c r="E850" s="24"/>
      <c r="F850" s="24"/>
      <c r="G850" s="24"/>
    </row>
    <row r="851" customFormat="false" ht="15" hidden="false" customHeight="false" outlineLevel="0" collapsed="false">
      <c r="A851" s="24"/>
      <c r="B851" s="24"/>
      <c r="C851" s="22"/>
      <c r="D851" s="25"/>
      <c r="E851" s="24"/>
      <c r="F851" s="24"/>
      <c r="G851" s="24"/>
    </row>
    <row r="852" customFormat="false" ht="15" hidden="false" customHeight="false" outlineLevel="0" collapsed="false">
      <c r="A852" s="24"/>
      <c r="B852" s="24"/>
      <c r="C852" s="22"/>
      <c r="D852" s="25"/>
      <c r="E852" s="24"/>
      <c r="F852" s="24"/>
      <c r="G852" s="24"/>
    </row>
    <row r="853" customFormat="false" ht="15" hidden="false" customHeight="false" outlineLevel="0" collapsed="false">
      <c r="A853" s="24"/>
      <c r="B853" s="24"/>
      <c r="C853" s="22"/>
      <c r="D853" s="25"/>
      <c r="E853" s="24"/>
      <c r="F853" s="24"/>
      <c r="G853" s="24"/>
    </row>
    <row r="854" customFormat="false" ht="15" hidden="false" customHeight="false" outlineLevel="0" collapsed="false">
      <c r="A854" s="24"/>
      <c r="B854" s="24"/>
      <c r="C854" s="22"/>
      <c r="D854" s="25"/>
      <c r="E854" s="24"/>
      <c r="F854" s="24"/>
      <c r="G854" s="24"/>
    </row>
    <row r="855" customFormat="false" ht="15" hidden="false" customHeight="false" outlineLevel="0" collapsed="false">
      <c r="A855" s="24"/>
      <c r="B855" s="24"/>
      <c r="C855" s="22"/>
      <c r="D855" s="25"/>
      <c r="E855" s="24"/>
      <c r="F855" s="24"/>
      <c r="G855" s="24"/>
    </row>
    <row r="856" customFormat="false" ht="15" hidden="false" customHeight="false" outlineLevel="0" collapsed="false">
      <c r="A856" s="24"/>
      <c r="B856" s="24"/>
      <c r="C856" s="22"/>
      <c r="D856" s="25"/>
      <c r="E856" s="24"/>
      <c r="F856" s="24"/>
      <c r="G856" s="24"/>
    </row>
    <row r="857" customFormat="false" ht="15" hidden="false" customHeight="false" outlineLevel="0" collapsed="false">
      <c r="A857" s="24"/>
      <c r="B857" s="24"/>
      <c r="C857" s="22"/>
      <c r="D857" s="25"/>
      <c r="E857" s="24"/>
      <c r="F857" s="24"/>
      <c r="G857" s="24"/>
    </row>
    <row r="858" customFormat="false" ht="15" hidden="false" customHeight="false" outlineLevel="0" collapsed="false">
      <c r="A858" s="24"/>
      <c r="B858" s="24"/>
      <c r="C858" s="22"/>
      <c r="D858" s="25"/>
      <c r="E858" s="24"/>
      <c r="F858" s="24"/>
      <c r="G858" s="24"/>
    </row>
    <row r="859" customFormat="false" ht="15" hidden="false" customHeight="false" outlineLevel="0" collapsed="false">
      <c r="A859" s="24"/>
      <c r="B859" s="24"/>
      <c r="C859" s="22"/>
      <c r="D859" s="25"/>
      <c r="E859" s="24"/>
      <c r="F859" s="24"/>
      <c r="G859" s="24"/>
    </row>
    <row r="860" customFormat="false" ht="15" hidden="false" customHeight="false" outlineLevel="0" collapsed="false">
      <c r="A860" s="24"/>
      <c r="B860" s="24"/>
      <c r="C860" s="22"/>
      <c r="D860" s="25"/>
      <c r="E860" s="24"/>
      <c r="F860" s="24"/>
      <c r="G860" s="24"/>
    </row>
    <row r="861" customFormat="false" ht="15" hidden="false" customHeight="false" outlineLevel="0" collapsed="false">
      <c r="A861" s="24"/>
      <c r="B861" s="24"/>
      <c r="C861" s="22"/>
      <c r="D861" s="25"/>
      <c r="E861" s="24"/>
      <c r="F861" s="24"/>
      <c r="G861" s="24"/>
    </row>
    <row r="862" customFormat="false" ht="15" hidden="false" customHeight="false" outlineLevel="0" collapsed="false">
      <c r="A862" s="24"/>
      <c r="B862" s="24"/>
      <c r="C862" s="22"/>
      <c r="D862" s="25"/>
      <c r="E862" s="24"/>
      <c r="F862" s="24"/>
      <c r="G862" s="24"/>
    </row>
    <row r="863" customFormat="false" ht="15" hidden="false" customHeight="false" outlineLevel="0" collapsed="false">
      <c r="A863" s="24"/>
      <c r="B863" s="24"/>
      <c r="C863" s="22"/>
      <c r="D863" s="25"/>
      <c r="E863" s="24"/>
      <c r="F863" s="24"/>
      <c r="G863" s="24"/>
    </row>
    <row r="864" customFormat="false" ht="15" hidden="false" customHeight="false" outlineLevel="0" collapsed="false">
      <c r="A864" s="24"/>
      <c r="B864" s="24"/>
      <c r="C864" s="22"/>
      <c r="D864" s="25"/>
      <c r="E864" s="24"/>
      <c r="F864" s="24"/>
      <c r="G864" s="24"/>
    </row>
    <row r="865" customFormat="false" ht="15" hidden="false" customHeight="false" outlineLevel="0" collapsed="false">
      <c r="A865" s="24"/>
      <c r="B865" s="24"/>
      <c r="C865" s="22"/>
      <c r="D865" s="25"/>
      <c r="E865" s="24"/>
      <c r="F865" s="24"/>
      <c r="G865" s="24"/>
    </row>
    <row r="866" customFormat="false" ht="15" hidden="false" customHeight="false" outlineLevel="0" collapsed="false">
      <c r="A866" s="24"/>
      <c r="B866" s="24"/>
      <c r="C866" s="22"/>
      <c r="D866" s="25"/>
      <c r="E866" s="24"/>
      <c r="F866" s="24"/>
      <c r="G866" s="24"/>
    </row>
    <row r="867" customFormat="false" ht="15" hidden="false" customHeight="false" outlineLevel="0" collapsed="false">
      <c r="A867" s="24"/>
      <c r="B867" s="24"/>
      <c r="C867" s="22"/>
      <c r="D867" s="25"/>
      <c r="E867" s="24"/>
      <c r="F867" s="24"/>
      <c r="G867" s="24"/>
    </row>
    <row r="868" customFormat="false" ht="15" hidden="false" customHeight="false" outlineLevel="0" collapsed="false">
      <c r="A868" s="24"/>
      <c r="B868" s="24"/>
      <c r="C868" s="22"/>
      <c r="D868" s="25"/>
      <c r="E868" s="24"/>
      <c r="F868" s="24"/>
      <c r="G868" s="24"/>
    </row>
    <row r="869" customFormat="false" ht="15" hidden="false" customHeight="false" outlineLevel="0" collapsed="false">
      <c r="A869" s="24"/>
      <c r="B869" s="24"/>
      <c r="C869" s="22"/>
      <c r="D869" s="25"/>
      <c r="E869" s="24"/>
      <c r="F869" s="24"/>
      <c r="G869" s="24"/>
    </row>
    <row r="870" customFormat="false" ht="15" hidden="false" customHeight="false" outlineLevel="0" collapsed="false">
      <c r="A870" s="24"/>
      <c r="B870" s="24"/>
      <c r="C870" s="22"/>
      <c r="D870" s="25"/>
      <c r="E870" s="24"/>
      <c r="F870" s="24"/>
      <c r="G870" s="24"/>
    </row>
    <row r="871" customFormat="false" ht="15" hidden="false" customHeight="false" outlineLevel="0" collapsed="false">
      <c r="A871" s="24"/>
      <c r="B871" s="24"/>
      <c r="C871" s="22"/>
      <c r="D871" s="25"/>
      <c r="E871" s="24"/>
      <c r="F871" s="24"/>
      <c r="G871" s="24"/>
    </row>
    <row r="872" customFormat="false" ht="15" hidden="false" customHeight="false" outlineLevel="0" collapsed="false">
      <c r="A872" s="24"/>
      <c r="B872" s="24"/>
      <c r="C872" s="22"/>
      <c r="D872" s="25"/>
      <c r="E872" s="24"/>
      <c r="F872" s="24"/>
      <c r="G872" s="24"/>
    </row>
    <row r="873" customFormat="false" ht="15" hidden="false" customHeight="false" outlineLevel="0" collapsed="false">
      <c r="A873" s="24"/>
      <c r="B873" s="24"/>
      <c r="C873" s="22"/>
      <c r="D873" s="25"/>
      <c r="E873" s="24"/>
      <c r="F873" s="24"/>
      <c r="G873" s="24"/>
    </row>
    <row r="874" customFormat="false" ht="15" hidden="false" customHeight="false" outlineLevel="0" collapsed="false">
      <c r="A874" s="24"/>
      <c r="B874" s="24"/>
      <c r="C874" s="22"/>
      <c r="D874" s="25"/>
      <c r="E874" s="24"/>
      <c r="F874" s="24"/>
      <c r="G874" s="24"/>
    </row>
    <row r="875" customFormat="false" ht="15" hidden="false" customHeight="false" outlineLevel="0" collapsed="false">
      <c r="A875" s="24"/>
      <c r="B875" s="24"/>
      <c r="C875" s="22"/>
      <c r="D875" s="25"/>
      <c r="E875" s="24"/>
      <c r="F875" s="24"/>
      <c r="G875" s="24"/>
    </row>
    <row r="876" customFormat="false" ht="15" hidden="false" customHeight="false" outlineLevel="0" collapsed="false">
      <c r="A876" s="24"/>
      <c r="B876" s="24"/>
      <c r="C876" s="22"/>
      <c r="D876" s="25"/>
      <c r="E876" s="24"/>
      <c r="F876" s="24"/>
      <c r="G876" s="24"/>
    </row>
    <row r="877" customFormat="false" ht="15" hidden="false" customHeight="false" outlineLevel="0" collapsed="false">
      <c r="A877" s="24"/>
      <c r="B877" s="24"/>
      <c r="C877" s="22"/>
      <c r="D877" s="25"/>
      <c r="E877" s="24"/>
      <c r="F877" s="24"/>
      <c r="G877" s="24"/>
    </row>
    <row r="878" customFormat="false" ht="15" hidden="false" customHeight="false" outlineLevel="0" collapsed="false">
      <c r="A878" s="24"/>
      <c r="B878" s="24"/>
      <c r="C878" s="22"/>
      <c r="D878" s="25"/>
      <c r="E878" s="24"/>
      <c r="F878" s="24"/>
      <c r="G878" s="24"/>
    </row>
    <row r="879" customFormat="false" ht="15" hidden="false" customHeight="false" outlineLevel="0" collapsed="false">
      <c r="A879" s="24"/>
      <c r="B879" s="24"/>
      <c r="C879" s="22"/>
      <c r="D879" s="25"/>
      <c r="E879" s="24"/>
      <c r="F879" s="24"/>
      <c r="G879" s="24"/>
    </row>
    <row r="880" customFormat="false" ht="15" hidden="false" customHeight="false" outlineLevel="0" collapsed="false">
      <c r="A880" s="24"/>
      <c r="B880" s="24"/>
      <c r="C880" s="22"/>
      <c r="D880" s="25"/>
      <c r="E880" s="24"/>
      <c r="F880" s="24"/>
      <c r="G880" s="24"/>
    </row>
    <row r="881" customFormat="false" ht="15" hidden="false" customHeight="false" outlineLevel="0" collapsed="false">
      <c r="A881" s="24"/>
      <c r="B881" s="24"/>
      <c r="C881" s="22"/>
      <c r="D881" s="25"/>
      <c r="E881" s="24"/>
      <c r="F881" s="24"/>
      <c r="G881" s="24"/>
    </row>
    <row r="882" customFormat="false" ht="15" hidden="false" customHeight="false" outlineLevel="0" collapsed="false">
      <c r="A882" s="24"/>
      <c r="B882" s="24"/>
      <c r="C882" s="22"/>
      <c r="D882" s="25"/>
      <c r="E882" s="24"/>
      <c r="F882" s="24"/>
      <c r="G882" s="24"/>
    </row>
    <row r="883" customFormat="false" ht="15" hidden="false" customHeight="false" outlineLevel="0" collapsed="false">
      <c r="A883" s="24"/>
      <c r="B883" s="24"/>
      <c r="C883" s="22"/>
      <c r="D883" s="25"/>
      <c r="E883" s="24"/>
      <c r="F883" s="24"/>
      <c r="G883" s="24"/>
    </row>
    <row r="884" customFormat="false" ht="15" hidden="false" customHeight="false" outlineLevel="0" collapsed="false">
      <c r="A884" s="24"/>
      <c r="B884" s="24"/>
      <c r="C884" s="22"/>
      <c r="D884" s="25"/>
      <c r="E884" s="24"/>
      <c r="F884" s="24"/>
      <c r="G884" s="24"/>
    </row>
    <row r="885" customFormat="false" ht="15" hidden="false" customHeight="false" outlineLevel="0" collapsed="false">
      <c r="A885" s="24"/>
      <c r="B885" s="24"/>
      <c r="C885" s="22"/>
      <c r="D885" s="25"/>
      <c r="E885" s="24"/>
      <c r="F885" s="24"/>
      <c r="G885" s="24"/>
    </row>
    <row r="886" customFormat="false" ht="15" hidden="false" customHeight="false" outlineLevel="0" collapsed="false">
      <c r="A886" s="24"/>
      <c r="B886" s="24"/>
      <c r="C886" s="22"/>
      <c r="D886" s="25"/>
      <c r="E886" s="24"/>
      <c r="F886" s="24"/>
      <c r="G886" s="24"/>
    </row>
    <row r="887" customFormat="false" ht="15" hidden="false" customHeight="false" outlineLevel="0" collapsed="false">
      <c r="A887" s="24"/>
      <c r="B887" s="24"/>
      <c r="C887" s="22"/>
      <c r="D887" s="25"/>
      <c r="E887" s="24"/>
      <c r="F887" s="24"/>
      <c r="G887" s="24"/>
    </row>
    <row r="888" customFormat="false" ht="15" hidden="false" customHeight="false" outlineLevel="0" collapsed="false">
      <c r="A888" s="24"/>
      <c r="B888" s="24"/>
      <c r="C888" s="22"/>
      <c r="D888" s="25"/>
      <c r="E888" s="24"/>
      <c r="F888" s="24"/>
      <c r="G888" s="24"/>
    </row>
    <row r="889" customFormat="false" ht="15" hidden="false" customHeight="false" outlineLevel="0" collapsed="false">
      <c r="A889" s="24"/>
      <c r="B889" s="24"/>
      <c r="C889" s="22"/>
      <c r="D889" s="25"/>
      <c r="E889" s="24"/>
      <c r="F889" s="24"/>
      <c r="G889" s="24"/>
    </row>
    <row r="890" customFormat="false" ht="15" hidden="false" customHeight="false" outlineLevel="0" collapsed="false">
      <c r="A890" s="24"/>
      <c r="B890" s="24"/>
      <c r="C890" s="22"/>
      <c r="D890" s="25"/>
      <c r="E890" s="24"/>
      <c r="F890" s="24"/>
      <c r="G890" s="24"/>
    </row>
    <row r="891" customFormat="false" ht="15" hidden="false" customHeight="false" outlineLevel="0" collapsed="false">
      <c r="A891" s="24"/>
      <c r="B891" s="24"/>
      <c r="C891" s="22"/>
      <c r="D891" s="25"/>
      <c r="E891" s="24"/>
      <c r="F891" s="24"/>
      <c r="G891" s="24"/>
    </row>
    <row r="892" customFormat="false" ht="15" hidden="false" customHeight="false" outlineLevel="0" collapsed="false">
      <c r="A892" s="24"/>
      <c r="B892" s="24"/>
      <c r="C892" s="22"/>
      <c r="D892" s="25"/>
      <c r="E892" s="24"/>
      <c r="F892" s="24"/>
      <c r="G892" s="24"/>
    </row>
    <row r="893" customFormat="false" ht="15" hidden="false" customHeight="false" outlineLevel="0" collapsed="false">
      <c r="A893" s="24"/>
      <c r="B893" s="24"/>
      <c r="C893" s="22"/>
      <c r="D893" s="25"/>
      <c r="E893" s="24"/>
      <c r="F893" s="24"/>
      <c r="G893" s="24"/>
    </row>
    <row r="894" customFormat="false" ht="15" hidden="false" customHeight="false" outlineLevel="0" collapsed="false">
      <c r="A894" s="24"/>
      <c r="B894" s="24"/>
      <c r="C894" s="22"/>
      <c r="D894" s="25"/>
      <c r="E894" s="24"/>
      <c r="F894" s="24"/>
      <c r="G894" s="24"/>
    </row>
    <row r="895" customFormat="false" ht="15" hidden="false" customHeight="false" outlineLevel="0" collapsed="false">
      <c r="A895" s="24"/>
      <c r="B895" s="24"/>
      <c r="C895" s="22"/>
      <c r="D895" s="25"/>
      <c r="E895" s="24"/>
      <c r="F895" s="24"/>
      <c r="G895" s="24"/>
    </row>
    <row r="896" customFormat="false" ht="15" hidden="false" customHeight="false" outlineLevel="0" collapsed="false">
      <c r="A896" s="24"/>
      <c r="B896" s="24"/>
      <c r="C896" s="22"/>
      <c r="D896" s="25"/>
      <c r="E896" s="24"/>
      <c r="F896" s="24"/>
      <c r="G896" s="24"/>
    </row>
    <row r="897" customFormat="false" ht="15" hidden="false" customHeight="false" outlineLevel="0" collapsed="false">
      <c r="A897" s="24"/>
      <c r="B897" s="24"/>
      <c r="C897" s="22"/>
      <c r="D897" s="25"/>
      <c r="E897" s="24"/>
      <c r="F897" s="24"/>
      <c r="G897" s="24"/>
    </row>
    <row r="898" customFormat="false" ht="15" hidden="false" customHeight="false" outlineLevel="0" collapsed="false">
      <c r="A898" s="24"/>
      <c r="B898" s="24"/>
      <c r="C898" s="22"/>
      <c r="D898" s="25"/>
      <c r="E898" s="24"/>
      <c r="F898" s="24"/>
      <c r="G898" s="24"/>
    </row>
    <row r="899" customFormat="false" ht="15" hidden="false" customHeight="false" outlineLevel="0" collapsed="false">
      <c r="A899" s="24"/>
      <c r="B899" s="24"/>
      <c r="C899" s="22"/>
      <c r="D899" s="25"/>
      <c r="E899" s="24"/>
      <c r="F899" s="24"/>
      <c r="G899" s="24"/>
    </row>
    <row r="900" customFormat="false" ht="15" hidden="false" customHeight="false" outlineLevel="0" collapsed="false">
      <c r="A900" s="24"/>
      <c r="B900" s="24"/>
      <c r="C900" s="22"/>
      <c r="D900" s="25"/>
      <c r="E900" s="24"/>
      <c r="F900" s="24"/>
      <c r="G900" s="24"/>
    </row>
    <row r="901" customFormat="false" ht="15" hidden="false" customHeight="false" outlineLevel="0" collapsed="false">
      <c r="A901" s="24"/>
      <c r="B901" s="24"/>
      <c r="C901" s="22"/>
      <c r="D901" s="25"/>
      <c r="E901" s="24"/>
      <c r="F901" s="24"/>
      <c r="G901" s="24"/>
    </row>
    <row r="902" customFormat="false" ht="15" hidden="false" customHeight="false" outlineLevel="0" collapsed="false">
      <c r="A902" s="24"/>
      <c r="B902" s="24"/>
      <c r="C902" s="22"/>
      <c r="D902" s="25"/>
      <c r="E902" s="24"/>
      <c r="F902" s="24"/>
      <c r="G902" s="24"/>
    </row>
    <row r="903" customFormat="false" ht="15" hidden="false" customHeight="false" outlineLevel="0" collapsed="false">
      <c r="A903" s="24"/>
      <c r="B903" s="24"/>
      <c r="C903" s="22"/>
      <c r="D903" s="25"/>
      <c r="E903" s="24"/>
      <c r="F903" s="24"/>
      <c r="G903" s="24"/>
    </row>
    <row r="904" customFormat="false" ht="15" hidden="false" customHeight="false" outlineLevel="0" collapsed="false">
      <c r="A904" s="24"/>
      <c r="B904" s="24"/>
      <c r="C904" s="22"/>
      <c r="D904" s="25"/>
      <c r="E904" s="24"/>
      <c r="F904" s="24"/>
      <c r="G904" s="24"/>
    </row>
    <row r="905" customFormat="false" ht="15" hidden="false" customHeight="false" outlineLevel="0" collapsed="false">
      <c r="A905" s="24"/>
      <c r="B905" s="24"/>
      <c r="C905" s="22"/>
      <c r="D905" s="25"/>
      <c r="E905" s="24"/>
      <c r="F905" s="24"/>
      <c r="G905" s="24"/>
    </row>
    <row r="906" customFormat="false" ht="15" hidden="false" customHeight="false" outlineLevel="0" collapsed="false">
      <c r="A906" s="24"/>
      <c r="B906" s="24"/>
      <c r="C906" s="22"/>
      <c r="D906" s="25"/>
      <c r="E906" s="24"/>
      <c r="F906" s="24"/>
      <c r="G906" s="24"/>
    </row>
    <row r="907" customFormat="false" ht="15" hidden="false" customHeight="false" outlineLevel="0" collapsed="false">
      <c r="A907" s="24"/>
      <c r="B907" s="24"/>
      <c r="C907" s="22"/>
      <c r="D907" s="25"/>
      <c r="E907" s="24"/>
      <c r="F907" s="24"/>
      <c r="G907" s="24"/>
    </row>
    <row r="908" customFormat="false" ht="15" hidden="false" customHeight="false" outlineLevel="0" collapsed="false">
      <c r="A908" s="24"/>
      <c r="B908" s="24"/>
      <c r="C908" s="22"/>
      <c r="D908" s="25"/>
      <c r="E908" s="24"/>
      <c r="F908" s="24"/>
      <c r="G908" s="24"/>
    </row>
    <row r="909" customFormat="false" ht="15" hidden="false" customHeight="false" outlineLevel="0" collapsed="false">
      <c r="A909" s="24"/>
      <c r="B909" s="24"/>
      <c r="C909" s="22"/>
      <c r="D909" s="25"/>
      <c r="E909" s="24"/>
      <c r="F909" s="24"/>
      <c r="G909" s="24"/>
    </row>
    <row r="910" customFormat="false" ht="15" hidden="false" customHeight="false" outlineLevel="0" collapsed="false">
      <c r="A910" s="24"/>
      <c r="B910" s="24"/>
      <c r="C910" s="22"/>
      <c r="D910" s="25"/>
      <c r="E910" s="24"/>
      <c r="F910" s="24"/>
      <c r="G910" s="24"/>
    </row>
    <row r="911" customFormat="false" ht="15" hidden="false" customHeight="false" outlineLevel="0" collapsed="false">
      <c r="A911" s="24"/>
      <c r="B911" s="24"/>
      <c r="C911" s="22"/>
      <c r="D911" s="25"/>
      <c r="E911" s="24"/>
      <c r="F911" s="24"/>
      <c r="G911" s="24"/>
    </row>
    <row r="912" customFormat="false" ht="15" hidden="false" customHeight="false" outlineLevel="0" collapsed="false">
      <c r="A912" s="24"/>
      <c r="B912" s="24"/>
      <c r="C912" s="22"/>
      <c r="D912" s="25"/>
      <c r="E912" s="24"/>
      <c r="F912" s="24"/>
      <c r="G912" s="24"/>
    </row>
    <row r="913" customFormat="false" ht="15" hidden="false" customHeight="false" outlineLevel="0" collapsed="false">
      <c r="A913" s="24"/>
      <c r="B913" s="24"/>
      <c r="C913" s="22"/>
      <c r="D913" s="25"/>
      <c r="E913" s="24"/>
      <c r="F913" s="24"/>
      <c r="G913" s="24"/>
    </row>
    <row r="914" customFormat="false" ht="15" hidden="false" customHeight="false" outlineLevel="0" collapsed="false">
      <c r="A914" s="24"/>
      <c r="B914" s="24"/>
      <c r="C914" s="22"/>
      <c r="D914" s="25"/>
      <c r="E914" s="24"/>
      <c r="F914" s="24"/>
      <c r="G914" s="24"/>
    </row>
    <row r="915" customFormat="false" ht="15" hidden="false" customHeight="false" outlineLevel="0" collapsed="false">
      <c r="A915" s="24"/>
      <c r="B915" s="24"/>
      <c r="C915" s="22"/>
      <c r="D915" s="25"/>
      <c r="E915" s="24"/>
      <c r="F915" s="24"/>
      <c r="G915" s="24"/>
    </row>
    <row r="916" customFormat="false" ht="15" hidden="false" customHeight="false" outlineLevel="0" collapsed="false">
      <c r="A916" s="24"/>
      <c r="B916" s="24"/>
      <c r="C916" s="22"/>
      <c r="D916" s="25"/>
      <c r="E916" s="24"/>
      <c r="F916" s="24"/>
      <c r="G916" s="24"/>
    </row>
    <row r="917" customFormat="false" ht="15" hidden="false" customHeight="false" outlineLevel="0" collapsed="false">
      <c r="A917" s="24"/>
      <c r="B917" s="24"/>
      <c r="C917" s="22"/>
      <c r="D917" s="25"/>
      <c r="E917" s="24"/>
      <c r="F917" s="24"/>
      <c r="G917" s="24"/>
    </row>
    <row r="918" customFormat="false" ht="15" hidden="false" customHeight="false" outlineLevel="0" collapsed="false">
      <c r="A918" s="24"/>
      <c r="B918" s="24"/>
      <c r="C918" s="22"/>
      <c r="D918" s="25"/>
      <c r="E918" s="24"/>
      <c r="F918" s="24"/>
      <c r="G918" s="24"/>
    </row>
    <row r="919" customFormat="false" ht="15" hidden="false" customHeight="false" outlineLevel="0" collapsed="false">
      <c r="A919" s="24"/>
      <c r="B919" s="24"/>
      <c r="C919" s="22"/>
      <c r="D919" s="25"/>
      <c r="E919" s="24"/>
      <c r="F919" s="24"/>
      <c r="G919" s="24"/>
    </row>
    <row r="920" customFormat="false" ht="15" hidden="false" customHeight="false" outlineLevel="0" collapsed="false">
      <c r="A920" s="24"/>
      <c r="B920" s="24"/>
      <c r="C920" s="22"/>
      <c r="D920" s="25"/>
      <c r="E920" s="24"/>
      <c r="F920" s="24"/>
      <c r="G920" s="24"/>
    </row>
    <row r="921" customFormat="false" ht="15" hidden="false" customHeight="false" outlineLevel="0" collapsed="false">
      <c r="A921" s="24"/>
      <c r="B921" s="24"/>
      <c r="C921" s="22"/>
      <c r="D921" s="25"/>
      <c r="E921" s="24"/>
      <c r="F921" s="24"/>
      <c r="G921" s="24"/>
    </row>
    <row r="922" customFormat="false" ht="15" hidden="false" customHeight="false" outlineLevel="0" collapsed="false">
      <c r="A922" s="24"/>
      <c r="B922" s="24"/>
      <c r="C922" s="22"/>
      <c r="D922" s="25"/>
      <c r="E922" s="24"/>
      <c r="F922" s="24"/>
      <c r="G922" s="24"/>
    </row>
    <row r="923" customFormat="false" ht="15" hidden="false" customHeight="false" outlineLevel="0" collapsed="false">
      <c r="A923" s="24"/>
      <c r="B923" s="24"/>
      <c r="C923" s="22"/>
      <c r="D923" s="25"/>
      <c r="E923" s="24"/>
      <c r="F923" s="24"/>
      <c r="G923" s="24"/>
    </row>
    <row r="924" customFormat="false" ht="15" hidden="false" customHeight="false" outlineLevel="0" collapsed="false">
      <c r="A924" s="24"/>
      <c r="B924" s="24"/>
      <c r="C924" s="22"/>
      <c r="D924" s="25"/>
      <c r="E924" s="24"/>
      <c r="F924" s="24"/>
      <c r="G924" s="24"/>
    </row>
    <row r="925" customFormat="false" ht="15" hidden="false" customHeight="false" outlineLevel="0" collapsed="false">
      <c r="A925" s="24"/>
      <c r="B925" s="24"/>
      <c r="C925" s="22"/>
      <c r="D925" s="25"/>
      <c r="E925" s="24"/>
      <c r="F925" s="24"/>
      <c r="G925" s="24"/>
    </row>
    <row r="926" customFormat="false" ht="15" hidden="false" customHeight="false" outlineLevel="0" collapsed="false">
      <c r="A926" s="24"/>
      <c r="B926" s="24"/>
      <c r="C926" s="22"/>
      <c r="D926" s="25"/>
      <c r="E926" s="24"/>
      <c r="F926" s="24"/>
      <c r="G926" s="24"/>
    </row>
    <row r="927" customFormat="false" ht="15" hidden="false" customHeight="false" outlineLevel="0" collapsed="false">
      <c r="A927" s="24"/>
      <c r="B927" s="24"/>
      <c r="C927" s="22"/>
      <c r="D927" s="25"/>
      <c r="E927" s="24"/>
      <c r="F927" s="24"/>
      <c r="G927" s="24"/>
    </row>
    <row r="928" customFormat="false" ht="15" hidden="false" customHeight="false" outlineLevel="0" collapsed="false">
      <c r="A928" s="24"/>
      <c r="B928" s="24"/>
      <c r="C928" s="22"/>
      <c r="D928" s="25"/>
      <c r="E928" s="24"/>
      <c r="F928" s="24"/>
      <c r="G928" s="24"/>
    </row>
    <row r="929" customFormat="false" ht="15" hidden="false" customHeight="false" outlineLevel="0" collapsed="false">
      <c r="A929" s="24"/>
      <c r="B929" s="24"/>
      <c r="C929" s="22"/>
      <c r="D929" s="25"/>
      <c r="E929" s="24"/>
      <c r="F929" s="24"/>
      <c r="G929" s="24"/>
    </row>
    <row r="930" customFormat="false" ht="15" hidden="false" customHeight="false" outlineLevel="0" collapsed="false">
      <c r="A930" s="24"/>
      <c r="B930" s="24"/>
      <c r="C930" s="22"/>
      <c r="D930" s="25"/>
      <c r="E930" s="24"/>
      <c r="F930" s="24"/>
      <c r="G930" s="24"/>
    </row>
    <row r="931" customFormat="false" ht="15" hidden="false" customHeight="false" outlineLevel="0" collapsed="false">
      <c r="A931" s="24"/>
      <c r="B931" s="24"/>
      <c r="C931" s="22"/>
      <c r="D931" s="25"/>
      <c r="E931" s="24"/>
      <c r="F931" s="24"/>
      <c r="G931" s="24"/>
    </row>
    <row r="932" customFormat="false" ht="15" hidden="false" customHeight="false" outlineLevel="0" collapsed="false">
      <c r="A932" s="24"/>
      <c r="B932" s="24"/>
      <c r="C932" s="22"/>
      <c r="D932" s="25"/>
      <c r="E932" s="24"/>
      <c r="F932" s="24"/>
      <c r="G932" s="24"/>
    </row>
    <row r="933" customFormat="false" ht="15" hidden="false" customHeight="false" outlineLevel="0" collapsed="false">
      <c r="A933" s="24"/>
      <c r="B933" s="24"/>
      <c r="C933" s="22"/>
      <c r="D933" s="25"/>
      <c r="E933" s="24"/>
      <c r="F933" s="24"/>
      <c r="G933" s="24"/>
    </row>
    <row r="934" customFormat="false" ht="15" hidden="false" customHeight="false" outlineLevel="0" collapsed="false">
      <c r="A934" s="24"/>
      <c r="B934" s="24"/>
      <c r="C934" s="22"/>
      <c r="D934" s="25"/>
      <c r="E934" s="24"/>
      <c r="F934" s="24"/>
      <c r="G934" s="24"/>
    </row>
    <row r="935" customFormat="false" ht="15" hidden="false" customHeight="false" outlineLevel="0" collapsed="false">
      <c r="A935" s="24"/>
      <c r="B935" s="24"/>
      <c r="C935" s="22"/>
      <c r="D935" s="25"/>
      <c r="E935" s="24"/>
      <c r="F935" s="24"/>
      <c r="G935" s="24"/>
    </row>
    <row r="936" customFormat="false" ht="15" hidden="false" customHeight="false" outlineLevel="0" collapsed="false">
      <c r="A936" s="24"/>
      <c r="B936" s="24"/>
      <c r="C936" s="22"/>
      <c r="D936" s="25"/>
      <c r="E936" s="24"/>
      <c r="F936" s="24"/>
      <c r="G936" s="24"/>
    </row>
    <row r="937" customFormat="false" ht="15" hidden="false" customHeight="false" outlineLevel="0" collapsed="false">
      <c r="A937" s="24"/>
      <c r="B937" s="24"/>
      <c r="C937" s="22"/>
      <c r="D937" s="25"/>
      <c r="E937" s="24"/>
      <c r="F937" s="24"/>
      <c r="G937" s="24"/>
    </row>
    <row r="938" customFormat="false" ht="15" hidden="false" customHeight="false" outlineLevel="0" collapsed="false">
      <c r="A938" s="24"/>
      <c r="B938" s="24"/>
      <c r="C938" s="22"/>
      <c r="D938" s="25"/>
      <c r="E938" s="24"/>
      <c r="F938" s="24"/>
      <c r="G938" s="24"/>
    </row>
    <row r="939" customFormat="false" ht="15" hidden="false" customHeight="false" outlineLevel="0" collapsed="false">
      <c r="A939" s="24"/>
      <c r="B939" s="24"/>
      <c r="C939" s="22"/>
      <c r="D939" s="25"/>
      <c r="E939" s="24"/>
      <c r="F939" s="24"/>
      <c r="G939" s="24"/>
    </row>
    <row r="940" customFormat="false" ht="15" hidden="false" customHeight="false" outlineLevel="0" collapsed="false">
      <c r="A940" s="24"/>
      <c r="B940" s="24"/>
      <c r="C940" s="22"/>
      <c r="D940" s="25"/>
      <c r="E940" s="24"/>
      <c r="F940" s="24"/>
      <c r="G940" s="24"/>
    </row>
    <row r="941" customFormat="false" ht="15" hidden="false" customHeight="false" outlineLevel="0" collapsed="false">
      <c r="A941" s="24"/>
      <c r="B941" s="24"/>
      <c r="C941" s="22"/>
      <c r="D941" s="25"/>
      <c r="E941" s="24"/>
      <c r="F941" s="24"/>
      <c r="G941" s="24"/>
    </row>
    <row r="942" customFormat="false" ht="15" hidden="false" customHeight="false" outlineLevel="0" collapsed="false">
      <c r="A942" s="24"/>
      <c r="B942" s="24"/>
      <c r="C942" s="22"/>
      <c r="D942" s="25"/>
      <c r="E942" s="24"/>
      <c r="F942" s="24"/>
      <c r="G942" s="24"/>
    </row>
    <row r="943" customFormat="false" ht="15" hidden="false" customHeight="false" outlineLevel="0" collapsed="false">
      <c r="A943" s="24"/>
      <c r="B943" s="24"/>
      <c r="C943" s="22"/>
      <c r="D943" s="25"/>
      <c r="E943" s="24"/>
      <c r="F943" s="24"/>
      <c r="G943" s="24"/>
    </row>
    <row r="944" customFormat="false" ht="15" hidden="false" customHeight="false" outlineLevel="0" collapsed="false">
      <c r="A944" s="24"/>
      <c r="B944" s="24"/>
      <c r="C944" s="22"/>
      <c r="D944" s="25"/>
      <c r="E944" s="24"/>
      <c r="F944" s="24"/>
      <c r="G944" s="24"/>
    </row>
    <row r="945" customFormat="false" ht="15" hidden="false" customHeight="false" outlineLevel="0" collapsed="false">
      <c r="A945" s="24"/>
      <c r="B945" s="24"/>
      <c r="C945" s="22"/>
      <c r="D945" s="25"/>
      <c r="E945" s="24"/>
      <c r="F945" s="24"/>
      <c r="G945" s="24"/>
    </row>
    <row r="946" customFormat="false" ht="15" hidden="false" customHeight="false" outlineLevel="0" collapsed="false">
      <c r="A946" s="24"/>
      <c r="B946" s="24"/>
      <c r="C946" s="22"/>
      <c r="D946" s="25"/>
      <c r="E946" s="24"/>
      <c r="F946" s="24"/>
      <c r="G946" s="24"/>
    </row>
    <row r="947" customFormat="false" ht="15" hidden="false" customHeight="false" outlineLevel="0" collapsed="false">
      <c r="A947" s="24"/>
      <c r="B947" s="24"/>
      <c r="C947" s="22"/>
      <c r="D947" s="25"/>
      <c r="E947" s="24"/>
      <c r="F947" s="24"/>
      <c r="G947" s="24"/>
    </row>
    <row r="948" customFormat="false" ht="15" hidden="false" customHeight="false" outlineLevel="0" collapsed="false">
      <c r="A948" s="24"/>
      <c r="B948" s="24"/>
      <c r="C948" s="22"/>
      <c r="D948" s="25"/>
      <c r="E948" s="24"/>
      <c r="F948" s="24"/>
      <c r="G948" s="24"/>
    </row>
    <row r="949" customFormat="false" ht="15" hidden="false" customHeight="false" outlineLevel="0" collapsed="false">
      <c r="A949" s="24"/>
      <c r="B949" s="24"/>
      <c r="C949" s="22"/>
      <c r="D949" s="25"/>
      <c r="E949" s="24"/>
      <c r="F949" s="24"/>
      <c r="G949" s="24"/>
    </row>
    <row r="950" customFormat="false" ht="15" hidden="false" customHeight="false" outlineLevel="0" collapsed="false">
      <c r="A950" s="24"/>
      <c r="B950" s="24"/>
      <c r="C950" s="22"/>
      <c r="D950" s="25"/>
      <c r="E950" s="24"/>
      <c r="F950" s="24"/>
      <c r="G950" s="24"/>
    </row>
    <row r="951" customFormat="false" ht="15" hidden="false" customHeight="false" outlineLevel="0" collapsed="false">
      <c r="A951" s="24"/>
      <c r="B951" s="24"/>
      <c r="C951" s="22"/>
      <c r="D951" s="25"/>
      <c r="E951" s="24"/>
      <c r="F951" s="24"/>
      <c r="G951" s="24"/>
    </row>
    <row r="952" customFormat="false" ht="15" hidden="false" customHeight="false" outlineLevel="0" collapsed="false">
      <c r="A952" s="24"/>
      <c r="B952" s="24"/>
      <c r="C952" s="22"/>
      <c r="D952" s="25"/>
      <c r="E952" s="24"/>
      <c r="F952" s="24"/>
      <c r="G952" s="24"/>
    </row>
    <row r="953" customFormat="false" ht="15" hidden="false" customHeight="false" outlineLevel="0" collapsed="false">
      <c r="A953" s="24"/>
      <c r="B953" s="24"/>
      <c r="C953" s="22"/>
      <c r="D953" s="25"/>
      <c r="E953" s="24"/>
      <c r="F953" s="24"/>
      <c r="G953" s="24"/>
    </row>
    <row r="954" customFormat="false" ht="15" hidden="false" customHeight="false" outlineLevel="0" collapsed="false">
      <c r="A954" s="24"/>
      <c r="B954" s="24"/>
      <c r="C954" s="22"/>
      <c r="D954" s="25"/>
      <c r="E954" s="24"/>
      <c r="F954" s="24"/>
      <c r="G954" s="24"/>
    </row>
    <row r="955" customFormat="false" ht="15" hidden="false" customHeight="false" outlineLevel="0" collapsed="false">
      <c r="A955" s="24"/>
      <c r="B955" s="24"/>
      <c r="C955" s="22"/>
      <c r="D955" s="25"/>
      <c r="E955" s="24"/>
      <c r="F955" s="24"/>
      <c r="G955" s="24"/>
    </row>
    <row r="956" customFormat="false" ht="15" hidden="false" customHeight="false" outlineLevel="0" collapsed="false">
      <c r="A956" s="24"/>
      <c r="B956" s="24"/>
      <c r="C956" s="22"/>
      <c r="D956" s="25"/>
      <c r="E956" s="24"/>
      <c r="F956" s="24"/>
      <c r="G956" s="24"/>
    </row>
    <row r="957" customFormat="false" ht="15" hidden="false" customHeight="false" outlineLevel="0" collapsed="false">
      <c r="A957" s="24"/>
      <c r="B957" s="24"/>
      <c r="C957" s="22"/>
      <c r="D957" s="25"/>
      <c r="E957" s="24"/>
      <c r="F957" s="24"/>
      <c r="G957" s="24"/>
    </row>
    <row r="958" customFormat="false" ht="15" hidden="false" customHeight="false" outlineLevel="0" collapsed="false">
      <c r="A958" s="24"/>
      <c r="B958" s="24"/>
      <c r="C958" s="22"/>
      <c r="D958" s="25"/>
      <c r="E958" s="24"/>
      <c r="F958" s="24"/>
      <c r="G958" s="24"/>
    </row>
    <row r="959" customFormat="false" ht="15" hidden="false" customHeight="false" outlineLevel="0" collapsed="false">
      <c r="A959" s="24"/>
      <c r="B959" s="24"/>
      <c r="C959" s="22"/>
      <c r="D959" s="25"/>
      <c r="E959" s="24"/>
      <c r="F959" s="24"/>
      <c r="G959" s="24"/>
    </row>
    <row r="960" customFormat="false" ht="15" hidden="false" customHeight="false" outlineLevel="0" collapsed="false">
      <c r="A960" s="24"/>
      <c r="B960" s="24"/>
      <c r="C960" s="22"/>
      <c r="D960" s="25"/>
      <c r="E960" s="24"/>
      <c r="F960" s="24"/>
      <c r="G960" s="24"/>
    </row>
    <row r="961" customFormat="false" ht="15" hidden="false" customHeight="false" outlineLevel="0" collapsed="false">
      <c r="A961" s="24"/>
      <c r="B961" s="24"/>
      <c r="C961" s="22"/>
      <c r="D961" s="25"/>
      <c r="E961" s="24"/>
      <c r="F961" s="24"/>
      <c r="G961" s="24"/>
    </row>
    <row r="962" customFormat="false" ht="15" hidden="false" customHeight="false" outlineLevel="0" collapsed="false">
      <c r="A962" s="24"/>
      <c r="B962" s="24"/>
      <c r="C962" s="22"/>
      <c r="D962" s="25"/>
      <c r="E962" s="24"/>
      <c r="F962" s="24"/>
      <c r="G962" s="24"/>
    </row>
    <row r="963" customFormat="false" ht="15" hidden="false" customHeight="false" outlineLevel="0" collapsed="false">
      <c r="A963" s="24"/>
      <c r="B963" s="24"/>
      <c r="C963" s="22"/>
      <c r="D963" s="25"/>
      <c r="E963" s="24"/>
      <c r="F963" s="24"/>
      <c r="G963" s="24"/>
    </row>
    <row r="964" customFormat="false" ht="15" hidden="false" customHeight="false" outlineLevel="0" collapsed="false">
      <c r="A964" s="24"/>
      <c r="B964" s="24"/>
      <c r="C964" s="22"/>
      <c r="D964" s="25"/>
      <c r="E964" s="24"/>
      <c r="F964" s="24"/>
      <c r="G964" s="24"/>
    </row>
    <row r="965" customFormat="false" ht="15" hidden="false" customHeight="false" outlineLevel="0" collapsed="false">
      <c r="A965" s="24"/>
      <c r="B965" s="24"/>
      <c r="C965" s="22"/>
      <c r="D965" s="25"/>
      <c r="E965" s="24"/>
      <c r="F965" s="24"/>
      <c r="G965" s="24"/>
    </row>
    <row r="966" customFormat="false" ht="15" hidden="false" customHeight="false" outlineLevel="0" collapsed="false">
      <c r="A966" s="24"/>
      <c r="B966" s="24"/>
      <c r="C966" s="22"/>
      <c r="D966" s="25"/>
      <c r="E966" s="24"/>
      <c r="F966" s="24"/>
      <c r="G966" s="24"/>
    </row>
    <row r="967" customFormat="false" ht="15" hidden="false" customHeight="false" outlineLevel="0" collapsed="false">
      <c r="A967" s="24"/>
      <c r="B967" s="24"/>
      <c r="C967" s="22"/>
      <c r="D967" s="25"/>
      <c r="E967" s="24"/>
      <c r="F967" s="24"/>
      <c r="G967" s="24"/>
    </row>
    <row r="968" customFormat="false" ht="15" hidden="false" customHeight="false" outlineLevel="0" collapsed="false">
      <c r="A968" s="24"/>
      <c r="B968" s="24"/>
      <c r="C968" s="22"/>
      <c r="D968" s="25"/>
      <c r="E968" s="24"/>
      <c r="F968" s="24"/>
      <c r="G968" s="24"/>
    </row>
    <row r="969" customFormat="false" ht="15" hidden="false" customHeight="false" outlineLevel="0" collapsed="false">
      <c r="A969" s="24"/>
      <c r="B969" s="24"/>
      <c r="C969" s="22"/>
      <c r="D969" s="25"/>
      <c r="E969" s="24"/>
      <c r="F969" s="24"/>
      <c r="G969" s="24"/>
    </row>
    <row r="970" customFormat="false" ht="15" hidden="false" customHeight="false" outlineLevel="0" collapsed="false">
      <c r="A970" s="24"/>
      <c r="B970" s="24"/>
      <c r="C970" s="22"/>
      <c r="D970" s="25"/>
      <c r="E970" s="24"/>
      <c r="F970" s="24"/>
      <c r="G970" s="24"/>
    </row>
    <row r="971" customFormat="false" ht="15" hidden="false" customHeight="false" outlineLevel="0" collapsed="false">
      <c r="A971" s="24"/>
      <c r="B971" s="24"/>
      <c r="C971" s="22"/>
      <c r="D971" s="25"/>
      <c r="E971" s="24"/>
      <c r="F971" s="24"/>
      <c r="G971" s="24"/>
    </row>
    <row r="972" customFormat="false" ht="15" hidden="false" customHeight="false" outlineLevel="0" collapsed="false">
      <c r="A972" s="24"/>
      <c r="B972" s="24"/>
      <c r="C972" s="22"/>
      <c r="D972" s="25"/>
      <c r="E972" s="24"/>
      <c r="F972" s="24"/>
      <c r="G972" s="24"/>
    </row>
    <row r="973" customFormat="false" ht="15" hidden="false" customHeight="false" outlineLevel="0" collapsed="false">
      <c r="A973" s="24"/>
      <c r="B973" s="24"/>
      <c r="C973" s="22"/>
      <c r="D973" s="25"/>
      <c r="E973" s="24"/>
      <c r="F973" s="24"/>
      <c r="G973" s="24"/>
    </row>
    <row r="974" customFormat="false" ht="15" hidden="false" customHeight="false" outlineLevel="0" collapsed="false">
      <c r="A974" s="24"/>
      <c r="B974" s="24"/>
      <c r="C974" s="22"/>
      <c r="D974" s="25"/>
      <c r="E974" s="24"/>
      <c r="F974" s="24"/>
      <c r="G974" s="24"/>
    </row>
    <row r="975" customFormat="false" ht="15" hidden="false" customHeight="false" outlineLevel="0" collapsed="false">
      <c r="A975" s="24"/>
      <c r="B975" s="24"/>
      <c r="C975" s="22"/>
      <c r="D975" s="25"/>
      <c r="E975" s="24"/>
      <c r="F975" s="24"/>
      <c r="G975" s="24"/>
    </row>
    <row r="976" customFormat="false" ht="15" hidden="false" customHeight="false" outlineLevel="0" collapsed="false">
      <c r="A976" s="24"/>
      <c r="B976" s="24"/>
      <c r="C976" s="22"/>
      <c r="D976" s="25"/>
      <c r="E976" s="24"/>
      <c r="F976" s="24"/>
      <c r="G976" s="24"/>
    </row>
    <row r="977" customFormat="false" ht="15" hidden="false" customHeight="false" outlineLevel="0" collapsed="false">
      <c r="A977" s="24"/>
      <c r="B977" s="24"/>
      <c r="C977" s="22"/>
      <c r="D977" s="25"/>
      <c r="E977" s="24"/>
      <c r="F977" s="24"/>
      <c r="G977" s="24"/>
    </row>
    <row r="978" customFormat="false" ht="15" hidden="false" customHeight="false" outlineLevel="0" collapsed="false">
      <c r="A978" s="24"/>
      <c r="B978" s="24"/>
      <c r="C978" s="22"/>
      <c r="D978" s="25"/>
      <c r="E978" s="24"/>
      <c r="F978" s="24"/>
      <c r="G978" s="24"/>
    </row>
    <row r="979" customFormat="false" ht="15" hidden="false" customHeight="false" outlineLevel="0" collapsed="false">
      <c r="A979" s="24"/>
      <c r="B979" s="24"/>
      <c r="C979" s="22"/>
      <c r="D979" s="25"/>
      <c r="E979" s="24"/>
      <c r="F979" s="24"/>
      <c r="G979" s="24"/>
    </row>
    <row r="980" customFormat="false" ht="15" hidden="false" customHeight="false" outlineLevel="0" collapsed="false">
      <c r="A980" s="24"/>
      <c r="B980" s="24"/>
      <c r="C980" s="22"/>
      <c r="D980" s="25"/>
      <c r="E980" s="24"/>
      <c r="F980" s="24"/>
      <c r="G980" s="24"/>
    </row>
    <row r="981" customFormat="false" ht="15" hidden="false" customHeight="false" outlineLevel="0" collapsed="false">
      <c r="A981" s="24"/>
      <c r="B981" s="24"/>
      <c r="C981" s="22"/>
      <c r="D981" s="25"/>
      <c r="E981" s="24"/>
      <c r="F981" s="24"/>
      <c r="G981" s="24"/>
    </row>
    <row r="982" customFormat="false" ht="15" hidden="false" customHeight="false" outlineLevel="0" collapsed="false">
      <c r="A982" s="24"/>
      <c r="B982" s="24"/>
      <c r="C982" s="22"/>
      <c r="D982" s="25"/>
      <c r="E982" s="24"/>
      <c r="F982" s="24"/>
      <c r="G982" s="24"/>
    </row>
    <row r="983" customFormat="false" ht="15" hidden="false" customHeight="false" outlineLevel="0" collapsed="false">
      <c r="A983" s="24"/>
      <c r="B983" s="24"/>
      <c r="C983" s="22"/>
      <c r="D983" s="25"/>
      <c r="E983" s="24"/>
      <c r="F983" s="24"/>
      <c r="G983" s="24"/>
    </row>
    <row r="984" customFormat="false" ht="15" hidden="false" customHeight="false" outlineLevel="0" collapsed="false">
      <c r="A984" s="24"/>
      <c r="B984" s="24"/>
      <c r="C984" s="22"/>
      <c r="D984" s="25"/>
      <c r="E984" s="24"/>
      <c r="F984" s="24"/>
      <c r="G984" s="24"/>
    </row>
    <row r="985" customFormat="false" ht="15" hidden="false" customHeight="false" outlineLevel="0" collapsed="false">
      <c r="A985" s="24"/>
      <c r="B985" s="24"/>
      <c r="C985" s="22"/>
      <c r="D985" s="25"/>
      <c r="E985" s="24"/>
      <c r="F985" s="24"/>
      <c r="G985" s="24"/>
    </row>
    <row r="986" customFormat="false" ht="15" hidden="false" customHeight="false" outlineLevel="0" collapsed="false">
      <c r="A986" s="24"/>
      <c r="B986" s="24"/>
      <c r="C986" s="22"/>
      <c r="D986" s="25"/>
      <c r="E986" s="24"/>
      <c r="F986" s="24"/>
      <c r="G986" s="24"/>
    </row>
    <row r="987" customFormat="false" ht="15" hidden="false" customHeight="false" outlineLevel="0" collapsed="false">
      <c r="A987" s="24"/>
      <c r="B987" s="24"/>
      <c r="C987" s="22"/>
      <c r="D987" s="25"/>
      <c r="E987" s="24"/>
      <c r="F987" s="24"/>
      <c r="G987" s="24"/>
    </row>
    <row r="988" customFormat="false" ht="15" hidden="false" customHeight="false" outlineLevel="0" collapsed="false">
      <c r="A988" s="24"/>
      <c r="B988" s="24"/>
      <c r="C988" s="22"/>
      <c r="D988" s="25"/>
      <c r="E988" s="24"/>
      <c r="F988" s="24"/>
      <c r="G988" s="24"/>
    </row>
    <row r="989" customFormat="false" ht="15" hidden="false" customHeight="false" outlineLevel="0" collapsed="false">
      <c r="A989" s="24"/>
      <c r="B989" s="24"/>
      <c r="C989" s="22"/>
      <c r="D989" s="25"/>
      <c r="E989" s="24"/>
      <c r="F989" s="24"/>
      <c r="G989" s="24"/>
    </row>
    <row r="990" customFormat="false" ht="15" hidden="false" customHeight="false" outlineLevel="0" collapsed="false">
      <c r="A990" s="24"/>
      <c r="B990" s="24"/>
      <c r="C990" s="22"/>
      <c r="D990" s="25"/>
      <c r="E990" s="24"/>
      <c r="F990" s="24"/>
      <c r="G990" s="24"/>
    </row>
    <row r="991" customFormat="false" ht="15" hidden="false" customHeight="false" outlineLevel="0" collapsed="false">
      <c r="A991" s="24"/>
      <c r="B991" s="24"/>
      <c r="C991" s="22"/>
      <c r="D991" s="25"/>
      <c r="E991" s="24"/>
      <c r="F991" s="24"/>
      <c r="G991" s="24"/>
    </row>
    <row r="992" customFormat="false" ht="15" hidden="false" customHeight="false" outlineLevel="0" collapsed="false">
      <c r="A992" s="24"/>
      <c r="B992" s="24"/>
      <c r="C992" s="22"/>
      <c r="D992" s="25"/>
      <c r="E992" s="24"/>
      <c r="F992" s="24"/>
      <c r="G992" s="24"/>
    </row>
    <row r="993" customFormat="false" ht="15" hidden="false" customHeight="false" outlineLevel="0" collapsed="false">
      <c r="A993" s="24"/>
      <c r="B993" s="24"/>
      <c r="C993" s="22"/>
      <c r="D993" s="25"/>
      <c r="E993" s="24"/>
      <c r="F993" s="24"/>
      <c r="G993" s="24"/>
    </row>
    <row r="994" customFormat="false" ht="15" hidden="false" customHeight="false" outlineLevel="0" collapsed="false">
      <c r="A994" s="24"/>
      <c r="B994" s="24"/>
      <c r="C994" s="22"/>
      <c r="D994" s="25"/>
      <c r="E994" s="24"/>
      <c r="F994" s="24"/>
      <c r="G994" s="24"/>
    </row>
    <row r="995" customFormat="false" ht="15" hidden="false" customHeight="false" outlineLevel="0" collapsed="false">
      <c r="A995" s="24"/>
      <c r="B995" s="24"/>
      <c r="C995" s="22"/>
      <c r="D995" s="25"/>
      <c r="E995" s="24"/>
      <c r="F995" s="24"/>
      <c r="G995" s="24"/>
    </row>
    <row r="996" customFormat="false" ht="15" hidden="false" customHeight="false" outlineLevel="0" collapsed="false">
      <c r="A996" s="24"/>
      <c r="B996" s="24"/>
      <c r="C996" s="22"/>
      <c r="D996" s="25"/>
      <c r="E996" s="24"/>
      <c r="F996" s="24"/>
      <c r="G996" s="24"/>
    </row>
    <row r="997" customFormat="false" ht="15" hidden="false" customHeight="false" outlineLevel="0" collapsed="false">
      <c r="A997" s="24"/>
      <c r="B997" s="24"/>
      <c r="C997" s="22"/>
      <c r="D997" s="25"/>
      <c r="E997" s="24"/>
      <c r="F997" s="24"/>
      <c r="G997" s="24"/>
    </row>
    <row r="998" customFormat="false" ht="15" hidden="false" customHeight="false" outlineLevel="0" collapsed="false">
      <c r="A998" s="24"/>
      <c r="B998" s="24"/>
      <c r="C998" s="22"/>
      <c r="D998" s="25"/>
      <c r="E998" s="24"/>
      <c r="F998" s="24"/>
      <c r="G998" s="24"/>
    </row>
    <row r="999" customFormat="false" ht="15" hidden="false" customHeight="false" outlineLevel="0" collapsed="false">
      <c r="A999" s="24"/>
      <c r="B999" s="24"/>
      <c r="C999" s="22"/>
      <c r="D999" s="25"/>
      <c r="E999" s="24"/>
      <c r="F999" s="24"/>
      <c r="G999" s="24"/>
    </row>
    <row r="1000" customFormat="false" ht="15" hidden="false" customHeight="false" outlineLevel="0" collapsed="false">
      <c r="A1000" s="24"/>
      <c r="B1000" s="24"/>
      <c r="C1000" s="22"/>
      <c r="D1000" s="25"/>
      <c r="E1000" s="24"/>
      <c r="F1000" s="24"/>
      <c r="G1000" s="24"/>
    </row>
    <row r="1001" customFormat="false" ht="15" hidden="false" customHeight="false" outlineLevel="0" collapsed="false">
      <c r="A1001" s="24"/>
      <c r="B1001" s="24"/>
      <c r="C1001" s="22"/>
      <c r="D1001" s="25"/>
      <c r="E1001" s="24"/>
      <c r="F1001" s="24"/>
      <c r="G1001" s="24"/>
    </row>
  </sheetData>
  <autoFilter ref="A1:G1001"/>
  <dataValidations count="3">
    <dataValidation allowBlank="true" errorStyle="stop" operator="between" showDropDown="false" showErrorMessage="false" showInputMessage="false" sqref="B2:B1001" type="list">
      <formula1>Listas!$E$2:$E$40</formula1>
      <formula2>0</formula2>
    </dataValidation>
    <dataValidation allowBlank="true" errorStyle="stop" operator="between" showDropDown="false" showErrorMessage="false" showInputMessage="false" sqref="E2:E1001" type="list">
      <formula1>Listas!$C$2:$C$40</formula1>
      <formula2>0</formula2>
    </dataValidation>
    <dataValidation allowBlank="true" errorStyle="stop" operator="between" showDropDown="false" showErrorMessage="false" showInputMessage="false" sqref="F2:F1001" type="list">
      <formula1>Listas!$G$2:$G$40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BBBBB"/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4"/>
  </cols>
  <sheetData>
    <row r="1" customFormat="false" ht="30" hidden="false" customHeight="true" outlineLevel="0" collapsed="false">
      <c r="A1" s="29" t="s">
        <v>214</v>
      </c>
      <c r="B1" s="29" t="s">
        <v>215</v>
      </c>
      <c r="C1" s="29" t="s">
        <v>82</v>
      </c>
      <c r="D1" s="29" t="s">
        <v>216</v>
      </c>
      <c r="E1" s="29" t="s">
        <v>217</v>
      </c>
      <c r="F1" s="29" t="s">
        <v>218</v>
      </c>
      <c r="G1" s="29" t="s">
        <v>219</v>
      </c>
      <c r="H1" s="29" t="s">
        <v>220</v>
      </c>
      <c r="J1" s="2" t="s">
        <v>221</v>
      </c>
    </row>
    <row r="2" customFormat="false" ht="15" hidden="false" customHeight="false" outlineLevel="0" collapsed="false">
      <c r="A2" s="11" t="s">
        <v>88</v>
      </c>
      <c r="B2" s="11" t="s">
        <v>161</v>
      </c>
      <c r="C2" s="11" t="s">
        <v>91</v>
      </c>
      <c r="D2" s="11" t="s">
        <v>222</v>
      </c>
      <c r="E2" s="11" t="s">
        <v>204</v>
      </c>
      <c r="F2" s="11" t="s">
        <v>166</v>
      </c>
      <c r="G2" s="11" t="s">
        <v>205</v>
      </c>
      <c r="H2" s="11" t="s">
        <v>223</v>
      </c>
    </row>
    <row r="3" customFormat="false" ht="15" hidden="false" customHeight="false" outlineLevel="0" collapsed="false">
      <c r="A3" s="11" t="s">
        <v>95</v>
      </c>
      <c r="B3" s="11" t="s">
        <v>146</v>
      </c>
      <c r="C3" s="11" t="s">
        <v>224</v>
      </c>
      <c r="D3" s="11" t="s">
        <v>225</v>
      </c>
      <c r="E3" s="11" t="s">
        <v>207</v>
      </c>
      <c r="F3" s="11" t="s">
        <v>172</v>
      </c>
      <c r="G3" s="11" t="s">
        <v>226</v>
      </c>
      <c r="H3" s="11" t="s">
        <v>49</v>
      </c>
    </row>
    <row r="4" customFormat="false" ht="15" hidden="false" customHeight="false" outlineLevel="0" collapsed="false">
      <c r="A4" s="11" t="s">
        <v>114</v>
      </c>
      <c r="B4" s="11" t="s">
        <v>149</v>
      </c>
      <c r="C4" s="11" t="s">
        <v>123</v>
      </c>
      <c r="D4" s="11" t="s">
        <v>191</v>
      </c>
      <c r="E4" s="11" t="s">
        <v>227</v>
      </c>
      <c r="F4" s="11" t="s">
        <v>175</v>
      </c>
      <c r="G4" s="11" t="s">
        <v>228</v>
      </c>
      <c r="H4" s="11" t="s">
        <v>51</v>
      </c>
    </row>
    <row r="5" customFormat="false" ht="15" hidden="false" customHeight="false" outlineLevel="0" collapsed="false">
      <c r="A5" s="11" t="s">
        <v>99</v>
      </c>
      <c r="B5" s="11"/>
      <c r="C5" s="11" t="s">
        <v>229</v>
      </c>
      <c r="D5" s="11" t="s">
        <v>195</v>
      </c>
      <c r="E5" s="11" t="s">
        <v>209</v>
      </c>
      <c r="F5" s="11" t="s">
        <v>179</v>
      </c>
      <c r="G5" s="11"/>
      <c r="H5" s="11" t="s">
        <v>53</v>
      </c>
    </row>
    <row r="6" customFormat="false" ht="15" hidden="false" customHeight="false" outlineLevel="0" collapsed="false">
      <c r="A6" s="11" t="s">
        <v>129</v>
      </c>
      <c r="B6" s="11"/>
      <c r="C6" s="11" t="s">
        <v>110</v>
      </c>
      <c r="D6" s="11" t="s">
        <v>193</v>
      </c>
      <c r="E6" s="11" t="s">
        <v>211</v>
      </c>
      <c r="F6" s="11" t="s">
        <v>165</v>
      </c>
      <c r="G6" s="11"/>
      <c r="H6" s="11" t="s">
        <v>55</v>
      </c>
    </row>
    <row r="7" customFormat="false" ht="15" hidden="false" customHeight="false" outlineLevel="0" collapsed="false">
      <c r="A7" s="11" t="s">
        <v>112</v>
      </c>
      <c r="B7" s="11"/>
      <c r="C7" s="11" t="s">
        <v>230</v>
      </c>
      <c r="D7" s="11" t="s">
        <v>197</v>
      </c>
      <c r="E7" s="11" t="s">
        <v>231</v>
      </c>
      <c r="F7" s="11" t="s">
        <v>232</v>
      </c>
      <c r="G7" s="11"/>
      <c r="H7" s="11" t="s">
        <v>57</v>
      </c>
    </row>
    <row r="8" customFormat="false" ht="15" hidden="false" customHeight="false" outlineLevel="0" collapsed="false">
      <c r="A8" s="11" t="s">
        <v>104</v>
      </c>
      <c r="B8" s="11"/>
      <c r="C8" s="11" t="s">
        <v>101</v>
      </c>
      <c r="D8" s="11" t="s">
        <v>233</v>
      </c>
      <c r="E8" s="11" t="s">
        <v>213</v>
      </c>
      <c r="F8" s="11" t="s">
        <v>234</v>
      </c>
      <c r="G8" s="11"/>
      <c r="H8" s="11" t="s">
        <v>59</v>
      </c>
    </row>
    <row r="9" customFormat="false" ht="15" hidden="false" customHeight="false" outlineLevel="0" collapsed="false">
      <c r="A9" s="11" t="s">
        <v>234</v>
      </c>
      <c r="B9" s="11"/>
      <c r="C9" s="11"/>
      <c r="D9" s="11" t="s">
        <v>235</v>
      </c>
      <c r="E9" s="11" t="s">
        <v>236</v>
      </c>
      <c r="F9" s="11"/>
      <c r="G9" s="11"/>
      <c r="H9" s="11" t="s">
        <v>61</v>
      </c>
    </row>
    <row r="10" customFormat="false" ht="15" hidden="false" customHeight="false" outlineLevel="0" collapsed="false">
      <c r="A10" s="11"/>
      <c r="B10" s="11"/>
      <c r="C10" s="11"/>
      <c r="D10" s="11" t="s">
        <v>234</v>
      </c>
      <c r="E10" s="11" t="s">
        <v>237</v>
      </c>
      <c r="F10" s="11"/>
      <c r="G10" s="11"/>
      <c r="H10" s="11" t="s">
        <v>63</v>
      </c>
    </row>
    <row r="11" customFormat="false" ht="15" hidden="false" customHeight="false" outlineLevel="0" collapsed="false">
      <c r="A11" s="11"/>
      <c r="B11" s="11"/>
      <c r="C11" s="11"/>
      <c r="D11" s="11"/>
      <c r="E11" s="11" t="s">
        <v>234</v>
      </c>
      <c r="F11" s="11"/>
      <c r="G11" s="11"/>
      <c r="H11" s="11" t="s">
        <v>64</v>
      </c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 t="s">
        <v>38</v>
      </c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 t="s">
        <v>67</v>
      </c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 t="s">
        <v>69</v>
      </c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2026-10-14T20:50:22Z</dcterms:created>
  <dc:creator>openpyxl</dc:creator>
  <dc:description/>
  <dc:language>en-US</dc:language>
  <cp:lastModifiedBy/>
  <dcterms:modified xsi:type="dcterms:W3CDTF">2026-10-14T20:50:28Z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